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t18\Downloads\"/>
    </mc:Choice>
  </mc:AlternateContent>
  <xr:revisionPtr revIDLastSave="0" documentId="8_{87636F71-EBC6-4ACD-811E-D66BC9ABA19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GTBI Panel" sheetId="1" r:id="rId1"/>
    <sheet name="Notes and Formula" sheetId="3" r:id="rId2"/>
    <sheet name="Severity Scale" sheetId="5" r:id="rId3"/>
    <sheet name="Public Health Threats" sheetId="7" r:id="rId4"/>
    <sheet name="APA Sourc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H2" i="1"/>
  <c r="P3" i="1"/>
  <c r="H755" i="1"/>
  <c r="P4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2" i="1"/>
  <c r="L16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2" i="1"/>
  <c r="L22" i="1" l="1"/>
  <c r="H22" i="1" s="1"/>
  <c r="L23" i="1"/>
  <c r="L24" i="1"/>
  <c r="H24" i="1" s="1"/>
  <c r="L25" i="1"/>
  <c r="H25" i="1" s="1"/>
  <c r="L26" i="1"/>
  <c r="L27" i="1"/>
  <c r="L28" i="1"/>
  <c r="H28" i="1" s="1"/>
  <c r="L29" i="1"/>
  <c r="H29" i="1" s="1"/>
  <c r="L30" i="1"/>
  <c r="H30" i="1" s="1"/>
  <c r="L31" i="1"/>
  <c r="H31" i="1" s="1"/>
  <c r="P31" i="1" s="1"/>
  <c r="L32" i="1"/>
  <c r="H32" i="1" s="1"/>
  <c r="P32" i="1" s="1"/>
  <c r="L33" i="1"/>
  <c r="H33" i="1" s="1"/>
  <c r="L34" i="1"/>
  <c r="H34" i="1" s="1"/>
  <c r="L35" i="1"/>
  <c r="H35" i="1" s="1"/>
  <c r="L36" i="1"/>
  <c r="H36" i="1" s="1"/>
  <c r="L37" i="1"/>
  <c r="H37" i="1" s="1"/>
  <c r="L38" i="1"/>
  <c r="L39" i="1"/>
  <c r="H39" i="1" s="1"/>
  <c r="L40" i="1"/>
  <c r="H40" i="1" s="1"/>
  <c r="L41" i="1"/>
  <c r="H41" i="1" s="1"/>
  <c r="L42" i="1"/>
  <c r="H42" i="1" s="1"/>
  <c r="L43" i="1"/>
  <c r="H43" i="1" s="1"/>
  <c r="L44" i="1"/>
  <c r="H44" i="1" s="1"/>
  <c r="L45" i="1"/>
  <c r="H45" i="1" s="1"/>
  <c r="L46" i="1"/>
  <c r="H46" i="1" s="1"/>
  <c r="P46" i="1" s="1"/>
  <c r="L47" i="1"/>
  <c r="H47" i="1" s="1"/>
  <c r="L48" i="1"/>
  <c r="H48" i="1" s="1"/>
  <c r="L49" i="1"/>
  <c r="H49" i="1" s="1"/>
  <c r="L50" i="1"/>
  <c r="L51" i="1"/>
  <c r="H51" i="1" s="1"/>
  <c r="L52" i="1"/>
  <c r="H52" i="1" s="1"/>
  <c r="L53" i="1"/>
  <c r="H53" i="1" s="1"/>
  <c r="P53" i="1" s="1"/>
  <c r="L54" i="1"/>
  <c r="L55" i="1"/>
  <c r="H55" i="1" s="1"/>
  <c r="L56" i="1"/>
  <c r="H56" i="1" s="1"/>
  <c r="L57" i="1"/>
  <c r="H57" i="1" s="1"/>
  <c r="L58" i="1"/>
  <c r="L59" i="1"/>
  <c r="H59" i="1" s="1"/>
  <c r="L60" i="1"/>
  <c r="L61" i="1"/>
  <c r="H61" i="1" s="1"/>
  <c r="L62" i="1"/>
  <c r="H62" i="1" s="1"/>
  <c r="L63" i="1"/>
  <c r="H63" i="1" s="1"/>
  <c r="L64" i="1"/>
  <c r="H64" i="1" s="1"/>
  <c r="L65" i="1"/>
  <c r="H65" i="1" s="1"/>
  <c r="L66" i="1"/>
  <c r="L67" i="1"/>
  <c r="L68" i="1"/>
  <c r="L69" i="1"/>
  <c r="H69" i="1" s="1"/>
  <c r="L70" i="1"/>
  <c r="H70" i="1" s="1"/>
  <c r="L71" i="1"/>
  <c r="H71" i="1" s="1"/>
  <c r="L72" i="1"/>
  <c r="H72" i="1" s="1"/>
  <c r="L73" i="1"/>
  <c r="H73" i="1" s="1"/>
  <c r="L74" i="1"/>
  <c r="H74" i="1" s="1"/>
  <c r="L75" i="1"/>
  <c r="H75" i="1" s="1"/>
  <c r="L76" i="1"/>
  <c r="H76" i="1" s="1"/>
  <c r="L77" i="1"/>
  <c r="H77" i="1" s="1"/>
  <c r="L78" i="1"/>
  <c r="H78" i="1" s="1"/>
  <c r="L79" i="1"/>
  <c r="H79" i="1" s="1"/>
  <c r="P79" i="1" s="1"/>
  <c r="L80" i="1"/>
  <c r="L81" i="1"/>
  <c r="H81" i="1" s="1"/>
  <c r="L82" i="1"/>
  <c r="L83" i="1"/>
  <c r="H83" i="1" s="1"/>
  <c r="L84" i="1"/>
  <c r="L85" i="1"/>
  <c r="H85" i="1" s="1"/>
  <c r="P85" i="1" s="1"/>
  <c r="L86" i="1"/>
  <c r="H86" i="1" s="1"/>
  <c r="L87" i="1"/>
  <c r="H87" i="1" s="1"/>
  <c r="P87" i="1" s="1"/>
  <c r="L88" i="1"/>
  <c r="H88" i="1" s="1"/>
  <c r="P88" i="1" s="1"/>
  <c r="L89" i="1"/>
  <c r="H89" i="1" s="1"/>
  <c r="L90" i="1"/>
  <c r="L91" i="1"/>
  <c r="H91" i="1" s="1"/>
  <c r="L92" i="1"/>
  <c r="L93" i="1"/>
  <c r="H93" i="1" s="1"/>
  <c r="L94" i="1"/>
  <c r="L95" i="1"/>
  <c r="H95" i="1" s="1"/>
  <c r="L96" i="1"/>
  <c r="H96" i="1" s="1"/>
  <c r="L97" i="1"/>
  <c r="H97" i="1" s="1"/>
  <c r="L98" i="1"/>
  <c r="H98" i="1" s="1"/>
  <c r="L99" i="1"/>
  <c r="H99" i="1" s="1"/>
  <c r="L100" i="1"/>
  <c r="H100" i="1" s="1"/>
  <c r="L101" i="1"/>
  <c r="H101" i="1" s="1"/>
  <c r="L102" i="1"/>
  <c r="H102" i="1" s="1"/>
  <c r="L103" i="1"/>
  <c r="L104" i="1"/>
  <c r="L105" i="1"/>
  <c r="H105" i="1" s="1"/>
  <c r="L106" i="1"/>
  <c r="H106" i="1" s="1"/>
  <c r="L107" i="1"/>
  <c r="H107" i="1" s="1"/>
  <c r="L108" i="1"/>
  <c r="H108" i="1" s="1"/>
  <c r="L109" i="1"/>
  <c r="H109" i="1" s="1"/>
  <c r="L110" i="1"/>
  <c r="H110" i="1" s="1"/>
  <c r="L111" i="1"/>
  <c r="H111" i="1" s="1"/>
  <c r="L112" i="1"/>
  <c r="H112" i="1" s="1"/>
  <c r="L113" i="1"/>
  <c r="H113" i="1" s="1"/>
  <c r="L114" i="1"/>
  <c r="L115" i="1"/>
  <c r="H115" i="1" s="1"/>
  <c r="P115" i="1" s="1"/>
  <c r="L116" i="1"/>
  <c r="L117" i="1"/>
  <c r="H117" i="1" s="1"/>
  <c r="L118" i="1"/>
  <c r="H118" i="1" s="1"/>
  <c r="L119" i="1"/>
  <c r="H119" i="1" s="1"/>
  <c r="L120" i="1"/>
  <c r="H120" i="1" s="1"/>
  <c r="L121" i="1"/>
  <c r="H121" i="1" s="1"/>
  <c r="L122" i="1"/>
  <c r="H122" i="1" s="1"/>
  <c r="L123" i="1"/>
  <c r="H123" i="1" s="1"/>
  <c r="L124" i="1"/>
  <c r="H124" i="1" s="1"/>
  <c r="L125" i="1"/>
  <c r="H125" i="1" s="1"/>
  <c r="L126" i="1"/>
  <c r="H126" i="1" s="1"/>
  <c r="L127" i="1"/>
  <c r="L128" i="1"/>
  <c r="L129" i="1"/>
  <c r="H129" i="1" s="1"/>
  <c r="L130" i="1"/>
  <c r="H130" i="1" s="1"/>
  <c r="L131" i="1"/>
  <c r="H131" i="1" s="1"/>
  <c r="L132" i="1"/>
  <c r="H132" i="1" s="1"/>
  <c r="L133" i="1"/>
  <c r="H133" i="1" s="1"/>
  <c r="L134" i="1"/>
  <c r="H134" i="1" s="1"/>
  <c r="L135" i="1"/>
  <c r="H135" i="1" s="1"/>
  <c r="L136" i="1"/>
  <c r="H136" i="1" s="1"/>
  <c r="L137" i="1"/>
  <c r="H137" i="1" s="1"/>
  <c r="L138" i="1"/>
  <c r="L139" i="1"/>
  <c r="L140" i="1"/>
  <c r="H140" i="1" s="1"/>
  <c r="L141" i="1"/>
  <c r="H141" i="1" s="1"/>
  <c r="L142" i="1"/>
  <c r="L143" i="1"/>
  <c r="H143" i="1" s="1"/>
  <c r="L144" i="1"/>
  <c r="H144" i="1" s="1"/>
  <c r="L145" i="1"/>
  <c r="H145" i="1" s="1"/>
  <c r="L146" i="1"/>
  <c r="H146" i="1" s="1"/>
  <c r="L147" i="1"/>
  <c r="H147" i="1" s="1"/>
  <c r="L148" i="1"/>
  <c r="H148" i="1" s="1"/>
  <c r="L149" i="1"/>
  <c r="H149" i="1" s="1"/>
  <c r="L150" i="1"/>
  <c r="H150" i="1" s="1"/>
  <c r="L151" i="1"/>
  <c r="L152" i="1"/>
  <c r="L153" i="1"/>
  <c r="H153" i="1" s="1"/>
  <c r="L154" i="1"/>
  <c r="H154" i="1" s="1"/>
  <c r="L155" i="1"/>
  <c r="H155" i="1" s="1"/>
  <c r="L156" i="1"/>
  <c r="H156" i="1" s="1"/>
  <c r="L157" i="1"/>
  <c r="H157" i="1" s="1"/>
  <c r="P157" i="1" s="1"/>
  <c r="L158" i="1"/>
  <c r="H158" i="1" s="1"/>
  <c r="L159" i="1"/>
  <c r="H159" i="1" s="1"/>
  <c r="L160" i="1"/>
  <c r="H160" i="1" s="1"/>
  <c r="P160" i="1" s="1"/>
  <c r="L161" i="1"/>
  <c r="H161" i="1" s="1"/>
  <c r="L163" i="1"/>
  <c r="L164" i="1"/>
  <c r="L165" i="1"/>
  <c r="H165" i="1" s="1"/>
  <c r="L166" i="1"/>
  <c r="H166" i="1" s="1"/>
  <c r="L167" i="1"/>
  <c r="H167" i="1" s="1"/>
  <c r="L168" i="1"/>
  <c r="H168" i="1" s="1"/>
  <c r="L169" i="1"/>
  <c r="H169" i="1" s="1"/>
  <c r="L170" i="1"/>
  <c r="H170" i="1" s="1"/>
  <c r="L171" i="1"/>
  <c r="H171" i="1" s="1"/>
  <c r="L172" i="1"/>
  <c r="H172" i="1" s="1"/>
  <c r="L173" i="1"/>
  <c r="H173" i="1" s="1"/>
  <c r="P173" i="1" s="1"/>
  <c r="L174" i="1"/>
  <c r="H174" i="1" s="1"/>
  <c r="L175" i="1"/>
  <c r="L176" i="1"/>
  <c r="L177" i="1"/>
  <c r="H177" i="1" s="1"/>
  <c r="L178" i="1"/>
  <c r="H178" i="1" s="1"/>
  <c r="L179" i="1"/>
  <c r="H179" i="1" s="1"/>
  <c r="L180" i="1"/>
  <c r="H180" i="1" s="1"/>
  <c r="L181" i="1"/>
  <c r="H181" i="1" s="1"/>
  <c r="L182" i="1"/>
  <c r="H182" i="1" s="1"/>
  <c r="L183" i="1"/>
  <c r="H183" i="1" s="1"/>
  <c r="L184" i="1"/>
  <c r="H184" i="1" s="1"/>
  <c r="L185" i="1"/>
  <c r="H185" i="1" s="1"/>
  <c r="P185" i="1" s="1"/>
  <c r="L186" i="1"/>
  <c r="L187" i="1"/>
  <c r="L188" i="1"/>
  <c r="L189" i="1"/>
  <c r="H189" i="1" s="1"/>
  <c r="L190" i="1"/>
  <c r="L191" i="1"/>
  <c r="H191" i="1" s="1"/>
  <c r="L192" i="1"/>
  <c r="H192" i="1" s="1"/>
  <c r="L193" i="1"/>
  <c r="H193" i="1" s="1"/>
  <c r="L194" i="1"/>
  <c r="H194" i="1" s="1"/>
  <c r="L195" i="1"/>
  <c r="H195" i="1" s="1"/>
  <c r="L196" i="1"/>
  <c r="H196" i="1" s="1"/>
  <c r="L197" i="1"/>
  <c r="H197" i="1" s="1"/>
  <c r="P197" i="1" s="1"/>
  <c r="L198" i="1"/>
  <c r="H198" i="1" s="1"/>
  <c r="P198" i="1" s="1"/>
  <c r="L199" i="1"/>
  <c r="H199" i="1" s="1"/>
  <c r="P199" i="1" s="1"/>
  <c r="L200" i="1"/>
  <c r="L201" i="1"/>
  <c r="H201" i="1" s="1"/>
  <c r="L202" i="1"/>
  <c r="L203" i="1"/>
  <c r="H203" i="1" s="1"/>
  <c r="L204" i="1"/>
  <c r="L205" i="1"/>
  <c r="H205" i="1" s="1"/>
  <c r="L206" i="1"/>
  <c r="H206" i="1" s="1"/>
  <c r="L207" i="1"/>
  <c r="H207" i="1" s="1"/>
  <c r="L208" i="1"/>
  <c r="H208" i="1" s="1"/>
  <c r="L209" i="1"/>
  <c r="H209" i="1" s="1"/>
  <c r="P209" i="1" s="1"/>
  <c r="L210" i="1"/>
  <c r="H210" i="1" s="1"/>
  <c r="L211" i="1"/>
  <c r="L212" i="1"/>
  <c r="L213" i="1"/>
  <c r="H213" i="1" s="1"/>
  <c r="L214" i="1"/>
  <c r="H214" i="1" s="1"/>
  <c r="L215" i="1"/>
  <c r="H215" i="1" s="1"/>
  <c r="L216" i="1"/>
  <c r="H216" i="1" s="1"/>
  <c r="L217" i="1"/>
  <c r="H217" i="1" s="1"/>
  <c r="L218" i="1"/>
  <c r="H218" i="1" s="1"/>
  <c r="L219" i="1"/>
  <c r="H219" i="1" s="1"/>
  <c r="L220" i="1"/>
  <c r="H220" i="1" s="1"/>
  <c r="L221" i="1"/>
  <c r="H221" i="1" s="1"/>
  <c r="L222" i="1"/>
  <c r="L223" i="1"/>
  <c r="H223" i="1" s="1"/>
  <c r="P223" i="1" s="1"/>
  <c r="L224" i="1"/>
  <c r="L225" i="1"/>
  <c r="H225" i="1" s="1"/>
  <c r="L226" i="1"/>
  <c r="L227" i="1"/>
  <c r="H227" i="1" s="1"/>
  <c r="L228" i="1"/>
  <c r="L229" i="1"/>
  <c r="H229" i="1" s="1"/>
  <c r="L230" i="1"/>
  <c r="H230" i="1" s="1"/>
  <c r="L231" i="1"/>
  <c r="H231" i="1" s="1"/>
  <c r="P231" i="1" s="1"/>
  <c r="L232" i="1"/>
  <c r="H232" i="1" s="1"/>
  <c r="L233" i="1"/>
  <c r="H233" i="1" s="1"/>
  <c r="P233" i="1" s="1"/>
  <c r="L234" i="1"/>
  <c r="H234" i="1" s="1"/>
  <c r="L235" i="1"/>
  <c r="L236" i="1"/>
  <c r="L237" i="1"/>
  <c r="H237" i="1" s="1"/>
  <c r="L238" i="1"/>
  <c r="L239" i="1"/>
  <c r="H239" i="1" s="1"/>
  <c r="L240" i="1"/>
  <c r="H240" i="1" s="1"/>
  <c r="L241" i="1"/>
  <c r="H241" i="1" s="1"/>
  <c r="L242" i="1"/>
  <c r="H242" i="1" s="1"/>
  <c r="L243" i="1"/>
  <c r="H243" i="1" s="1"/>
  <c r="L244" i="1"/>
  <c r="H244" i="1" s="1"/>
  <c r="L245" i="1"/>
  <c r="H245" i="1" s="1"/>
  <c r="P245" i="1" s="1"/>
  <c r="L246" i="1"/>
  <c r="H246" i="1" s="1"/>
  <c r="L247" i="1"/>
  <c r="L248" i="1"/>
  <c r="L249" i="1"/>
  <c r="H249" i="1" s="1"/>
  <c r="L250" i="1"/>
  <c r="H250" i="1" s="1"/>
  <c r="L251" i="1"/>
  <c r="H251" i="1" s="1"/>
  <c r="L252" i="1"/>
  <c r="H252" i="1" s="1"/>
  <c r="L253" i="1"/>
  <c r="H253" i="1" s="1"/>
  <c r="L254" i="1"/>
  <c r="H254" i="1" s="1"/>
  <c r="L255" i="1"/>
  <c r="H255" i="1" s="1"/>
  <c r="L256" i="1"/>
  <c r="H256" i="1" s="1"/>
  <c r="L257" i="1"/>
  <c r="H257" i="1" s="1"/>
  <c r="L258" i="1"/>
  <c r="H258" i="1" s="1"/>
  <c r="L259" i="1"/>
  <c r="L260" i="1"/>
  <c r="H260" i="1" s="1"/>
  <c r="P260" i="1" s="1"/>
  <c r="L261" i="1"/>
  <c r="H261" i="1" s="1"/>
  <c r="L262" i="1"/>
  <c r="H262" i="1" s="1"/>
  <c r="L263" i="1"/>
  <c r="H263" i="1" s="1"/>
  <c r="L264" i="1"/>
  <c r="H264" i="1" s="1"/>
  <c r="L265" i="1"/>
  <c r="H265" i="1" s="1"/>
  <c r="L266" i="1"/>
  <c r="H266" i="1" s="1"/>
  <c r="L267" i="1"/>
  <c r="H267" i="1" s="1"/>
  <c r="L268" i="1"/>
  <c r="H268" i="1" s="1"/>
  <c r="L269" i="1"/>
  <c r="H269" i="1" s="1"/>
  <c r="P269" i="1" s="1"/>
  <c r="L270" i="1"/>
  <c r="L271" i="1"/>
  <c r="H271" i="1" s="1"/>
  <c r="L272" i="1"/>
  <c r="L273" i="1"/>
  <c r="H273" i="1" s="1"/>
  <c r="L274" i="1"/>
  <c r="H274" i="1" s="1"/>
  <c r="L275" i="1"/>
  <c r="H275" i="1" s="1"/>
  <c r="L276" i="1"/>
  <c r="H276" i="1" s="1"/>
  <c r="L277" i="1"/>
  <c r="H277" i="1" s="1"/>
  <c r="L278" i="1"/>
  <c r="H278" i="1" s="1"/>
  <c r="L279" i="1"/>
  <c r="H279" i="1" s="1"/>
  <c r="L280" i="1"/>
  <c r="H280" i="1" s="1"/>
  <c r="L281" i="1"/>
  <c r="H281" i="1" s="1"/>
  <c r="P281" i="1" s="1"/>
  <c r="L282" i="1"/>
  <c r="H282" i="1" s="1"/>
  <c r="L283" i="1"/>
  <c r="H283" i="1" s="1"/>
  <c r="P283" i="1" s="1"/>
  <c r="L284" i="1"/>
  <c r="H284" i="1" s="1"/>
  <c r="P284" i="1" s="1"/>
  <c r="L285" i="1"/>
  <c r="H285" i="1" s="1"/>
  <c r="L286" i="1"/>
  <c r="H286" i="1" s="1"/>
  <c r="L287" i="1"/>
  <c r="H287" i="1" s="1"/>
  <c r="L288" i="1"/>
  <c r="H288" i="1" s="1"/>
  <c r="L289" i="1"/>
  <c r="H289" i="1" s="1"/>
  <c r="L290" i="1"/>
  <c r="H290" i="1" s="1"/>
  <c r="L291" i="1"/>
  <c r="H291" i="1" s="1"/>
  <c r="L292" i="1"/>
  <c r="H292" i="1" s="1"/>
  <c r="L293" i="1"/>
  <c r="H293" i="1" s="1"/>
  <c r="L294" i="1"/>
  <c r="L295" i="1"/>
  <c r="L296" i="1"/>
  <c r="L297" i="1"/>
  <c r="H297" i="1" s="1"/>
  <c r="L298" i="1"/>
  <c r="H298" i="1" s="1"/>
  <c r="L299" i="1"/>
  <c r="H299" i="1" s="1"/>
  <c r="L300" i="1"/>
  <c r="L301" i="1"/>
  <c r="H301" i="1" s="1"/>
  <c r="P301" i="1" s="1"/>
  <c r="L302" i="1"/>
  <c r="H302" i="1" s="1"/>
  <c r="L303" i="1"/>
  <c r="H303" i="1" s="1"/>
  <c r="L304" i="1"/>
  <c r="H304" i="1" s="1"/>
  <c r="L305" i="1"/>
  <c r="H305" i="1" s="1"/>
  <c r="P305" i="1" s="1"/>
  <c r="L306" i="1"/>
  <c r="H306" i="1" s="1"/>
  <c r="L307" i="1"/>
  <c r="L308" i="1"/>
  <c r="L309" i="1"/>
  <c r="H309" i="1" s="1"/>
  <c r="L310" i="1"/>
  <c r="H310" i="1" s="1"/>
  <c r="L311" i="1"/>
  <c r="H311" i="1" s="1"/>
  <c r="L312" i="1"/>
  <c r="H312" i="1" s="1"/>
  <c r="L313" i="1"/>
  <c r="H313" i="1" s="1"/>
  <c r="L314" i="1"/>
  <c r="H314" i="1" s="1"/>
  <c r="L315" i="1"/>
  <c r="H315" i="1" s="1"/>
  <c r="L316" i="1"/>
  <c r="H316" i="1" s="1"/>
  <c r="L317" i="1"/>
  <c r="H317" i="1" s="1"/>
  <c r="P317" i="1" s="1"/>
  <c r="L318" i="1"/>
  <c r="H318" i="1" s="1"/>
  <c r="L319" i="1"/>
  <c r="L320" i="1"/>
  <c r="L321" i="1"/>
  <c r="H321" i="1" s="1"/>
  <c r="L322" i="1"/>
  <c r="H322" i="1" s="1"/>
  <c r="L323" i="1"/>
  <c r="H323" i="1" s="1"/>
  <c r="L324" i="1"/>
  <c r="H324" i="1" s="1"/>
  <c r="L325" i="1"/>
  <c r="H325" i="1" s="1"/>
  <c r="L326" i="1"/>
  <c r="H326" i="1" s="1"/>
  <c r="L327" i="1"/>
  <c r="H327" i="1" s="1"/>
  <c r="L328" i="1"/>
  <c r="H328" i="1" s="1"/>
  <c r="L329" i="1"/>
  <c r="H329" i="1" s="1"/>
  <c r="L330" i="1"/>
  <c r="H330" i="1" s="1"/>
  <c r="L331" i="1"/>
  <c r="L332" i="1"/>
  <c r="H332" i="1" s="1"/>
  <c r="L333" i="1"/>
  <c r="H333" i="1" s="1"/>
  <c r="L334" i="1"/>
  <c r="L335" i="1"/>
  <c r="H335" i="1" s="1"/>
  <c r="L336" i="1"/>
  <c r="H336" i="1" s="1"/>
  <c r="L337" i="1"/>
  <c r="H337" i="1" s="1"/>
  <c r="L338" i="1"/>
  <c r="H338" i="1" s="1"/>
  <c r="L339" i="1"/>
  <c r="H339" i="1" s="1"/>
  <c r="L340" i="1"/>
  <c r="H340" i="1" s="1"/>
  <c r="L341" i="1"/>
  <c r="H341" i="1" s="1"/>
  <c r="P341" i="1" s="1"/>
  <c r="L342" i="1"/>
  <c r="H342" i="1" s="1"/>
  <c r="P342" i="1" s="1"/>
  <c r="L343" i="1"/>
  <c r="H343" i="1" s="1"/>
  <c r="P343" i="1" s="1"/>
  <c r="L344" i="1"/>
  <c r="L345" i="1"/>
  <c r="H345" i="1" s="1"/>
  <c r="L346" i="1"/>
  <c r="L347" i="1"/>
  <c r="H347" i="1" s="1"/>
  <c r="L348" i="1"/>
  <c r="L349" i="1"/>
  <c r="H349" i="1" s="1"/>
  <c r="L350" i="1"/>
  <c r="H350" i="1" s="1"/>
  <c r="L351" i="1"/>
  <c r="H351" i="1" s="1"/>
  <c r="L352" i="1"/>
  <c r="H352" i="1" s="1"/>
  <c r="L353" i="1"/>
  <c r="H353" i="1" s="1"/>
  <c r="P353" i="1" s="1"/>
  <c r="L354" i="1"/>
  <c r="H354" i="1" s="1"/>
  <c r="L355" i="1"/>
  <c r="L356" i="1"/>
  <c r="L357" i="1"/>
  <c r="H357" i="1" s="1"/>
  <c r="L358" i="1"/>
  <c r="L359" i="1"/>
  <c r="H359" i="1" s="1"/>
  <c r="L360" i="1"/>
  <c r="H360" i="1" s="1"/>
  <c r="L361" i="1"/>
  <c r="H361" i="1" s="1"/>
  <c r="L362" i="1"/>
  <c r="H362" i="1" s="1"/>
  <c r="L363" i="1"/>
  <c r="H363" i="1" s="1"/>
  <c r="L364" i="1"/>
  <c r="H364" i="1" s="1"/>
  <c r="L365" i="1"/>
  <c r="H365" i="1" s="1"/>
  <c r="P365" i="1" s="1"/>
  <c r="L366" i="1"/>
  <c r="L367" i="1"/>
  <c r="H367" i="1" s="1"/>
  <c r="P367" i="1" s="1"/>
  <c r="L368" i="1"/>
  <c r="L369" i="1"/>
  <c r="H369" i="1" s="1"/>
  <c r="L370" i="1"/>
  <c r="L371" i="1"/>
  <c r="H371" i="1" s="1"/>
  <c r="L372" i="1"/>
  <c r="L373" i="1"/>
  <c r="H373" i="1" s="1"/>
  <c r="P373" i="1" s="1"/>
  <c r="L374" i="1"/>
  <c r="L375" i="1"/>
  <c r="H375" i="1" s="1"/>
  <c r="P375" i="1" s="1"/>
  <c r="L376" i="1"/>
  <c r="H376" i="1" s="1"/>
  <c r="L377" i="1"/>
  <c r="H377" i="1" s="1"/>
  <c r="P377" i="1" s="1"/>
  <c r="L378" i="1"/>
  <c r="L379" i="1"/>
  <c r="L380" i="1"/>
  <c r="L381" i="1"/>
  <c r="H381" i="1" s="1"/>
  <c r="L382" i="1"/>
  <c r="L383" i="1"/>
  <c r="H383" i="1" s="1"/>
  <c r="L384" i="1"/>
  <c r="H384" i="1" s="1"/>
  <c r="L385" i="1"/>
  <c r="H385" i="1" s="1"/>
  <c r="L386" i="1"/>
  <c r="H386" i="1" s="1"/>
  <c r="L387" i="1"/>
  <c r="H387" i="1" s="1"/>
  <c r="L388" i="1"/>
  <c r="H388" i="1" s="1"/>
  <c r="L389" i="1"/>
  <c r="H389" i="1" s="1"/>
  <c r="P389" i="1" s="1"/>
  <c r="L390" i="1"/>
  <c r="L391" i="1"/>
  <c r="L392" i="1"/>
  <c r="H392" i="1" s="1"/>
  <c r="P392" i="1" s="1"/>
  <c r="L393" i="1"/>
  <c r="H393" i="1" s="1"/>
  <c r="L394" i="1"/>
  <c r="H394" i="1" s="1"/>
  <c r="L395" i="1"/>
  <c r="H395" i="1" s="1"/>
  <c r="L396" i="1"/>
  <c r="H396" i="1" s="1"/>
  <c r="L397" i="1"/>
  <c r="H397" i="1" s="1"/>
  <c r="L398" i="1"/>
  <c r="H398" i="1" s="1"/>
  <c r="L399" i="1"/>
  <c r="H399" i="1" s="1"/>
  <c r="L400" i="1"/>
  <c r="H400" i="1" s="1"/>
  <c r="L401" i="1"/>
  <c r="H401" i="1" s="1"/>
  <c r="P401" i="1" s="1"/>
  <c r="L402" i="1"/>
  <c r="H402" i="1" s="1"/>
  <c r="L403" i="1"/>
  <c r="L404" i="1"/>
  <c r="L405" i="1"/>
  <c r="H405" i="1" s="1"/>
  <c r="L406" i="1"/>
  <c r="H406" i="1" s="1"/>
  <c r="L407" i="1"/>
  <c r="H407" i="1" s="1"/>
  <c r="L408" i="1"/>
  <c r="H408" i="1" s="1"/>
  <c r="L409" i="1"/>
  <c r="H409" i="1" s="1"/>
  <c r="L410" i="1"/>
  <c r="L411" i="1"/>
  <c r="H411" i="1" s="1"/>
  <c r="L412" i="1"/>
  <c r="H412" i="1" s="1"/>
  <c r="L413" i="1"/>
  <c r="H413" i="1" s="1"/>
  <c r="P413" i="1" s="1"/>
  <c r="L414" i="1"/>
  <c r="L415" i="1"/>
  <c r="L416" i="1"/>
  <c r="L417" i="1"/>
  <c r="H417" i="1" s="1"/>
  <c r="L418" i="1"/>
  <c r="H418" i="1" s="1"/>
  <c r="L419" i="1"/>
  <c r="H419" i="1" s="1"/>
  <c r="L420" i="1"/>
  <c r="L421" i="1"/>
  <c r="H421" i="1" s="1"/>
  <c r="L422" i="1"/>
  <c r="L423" i="1"/>
  <c r="H423" i="1" s="1"/>
  <c r="L424" i="1"/>
  <c r="H424" i="1" s="1"/>
  <c r="L425" i="1"/>
  <c r="H425" i="1" s="1"/>
  <c r="L426" i="1"/>
  <c r="H426" i="1" s="1"/>
  <c r="L427" i="1"/>
  <c r="L428" i="1"/>
  <c r="L429" i="1"/>
  <c r="H429" i="1" s="1"/>
  <c r="L430" i="1"/>
  <c r="H430" i="1" s="1"/>
  <c r="L431" i="1"/>
  <c r="H431" i="1" s="1"/>
  <c r="L432" i="1"/>
  <c r="H432" i="1" s="1"/>
  <c r="L433" i="1"/>
  <c r="H433" i="1" s="1"/>
  <c r="L434" i="1"/>
  <c r="H434" i="1" s="1"/>
  <c r="L435" i="1"/>
  <c r="H435" i="1" s="1"/>
  <c r="L436" i="1"/>
  <c r="H436" i="1" s="1"/>
  <c r="L437" i="1"/>
  <c r="H437" i="1" s="1"/>
  <c r="P437" i="1" s="1"/>
  <c r="L438" i="1"/>
  <c r="L439" i="1"/>
  <c r="L440" i="1"/>
  <c r="L441" i="1"/>
  <c r="H441" i="1" s="1"/>
  <c r="L442" i="1"/>
  <c r="H442" i="1" s="1"/>
  <c r="L443" i="1"/>
  <c r="H443" i="1" s="1"/>
  <c r="L444" i="1"/>
  <c r="L445" i="1"/>
  <c r="H445" i="1" s="1"/>
  <c r="P445" i="1" s="1"/>
  <c r="L446" i="1"/>
  <c r="H446" i="1" s="1"/>
  <c r="P446" i="1" s="1"/>
  <c r="L447" i="1"/>
  <c r="H447" i="1" s="1"/>
  <c r="L448" i="1"/>
  <c r="H448" i="1" s="1"/>
  <c r="L449" i="1"/>
  <c r="H449" i="1" s="1"/>
  <c r="P449" i="1" s="1"/>
  <c r="L450" i="1"/>
  <c r="L451" i="1"/>
  <c r="L452" i="1"/>
  <c r="L453" i="1"/>
  <c r="H453" i="1" s="1"/>
  <c r="L454" i="1"/>
  <c r="H454" i="1" s="1"/>
  <c r="L455" i="1"/>
  <c r="H455" i="1" s="1"/>
  <c r="L456" i="1"/>
  <c r="H456" i="1" s="1"/>
  <c r="L457" i="1"/>
  <c r="H457" i="1" s="1"/>
  <c r="L458" i="1"/>
  <c r="H458" i="1" s="1"/>
  <c r="L459" i="1"/>
  <c r="H459" i="1" s="1"/>
  <c r="L460" i="1"/>
  <c r="H460" i="1" s="1"/>
  <c r="L461" i="1"/>
  <c r="H461" i="1" s="1"/>
  <c r="L462" i="1"/>
  <c r="L463" i="1"/>
  <c r="L464" i="1"/>
  <c r="L465" i="1"/>
  <c r="H465" i="1" s="1"/>
  <c r="L466" i="1"/>
  <c r="H466" i="1" s="1"/>
  <c r="L467" i="1"/>
  <c r="H467" i="1" s="1"/>
  <c r="L468" i="1"/>
  <c r="H468" i="1" s="1"/>
  <c r="L469" i="1"/>
  <c r="H469" i="1" s="1"/>
  <c r="L470" i="1"/>
  <c r="L471" i="1"/>
  <c r="H471" i="1" s="1"/>
  <c r="L472" i="1"/>
  <c r="H472" i="1" s="1"/>
  <c r="L473" i="1"/>
  <c r="H473" i="1" s="1"/>
  <c r="P473" i="1" s="1"/>
  <c r="L474" i="1"/>
  <c r="H474" i="1" s="1"/>
  <c r="L475" i="1"/>
  <c r="L476" i="1"/>
  <c r="L477" i="1"/>
  <c r="H477" i="1" s="1"/>
  <c r="L478" i="1"/>
  <c r="L479" i="1"/>
  <c r="H479" i="1" s="1"/>
  <c r="L480" i="1"/>
  <c r="H480" i="1" s="1"/>
  <c r="L481" i="1"/>
  <c r="H481" i="1" s="1"/>
  <c r="L482" i="1"/>
  <c r="L483" i="1"/>
  <c r="H483" i="1" s="1"/>
  <c r="L484" i="1"/>
  <c r="H484" i="1" s="1"/>
  <c r="L485" i="1"/>
  <c r="H485" i="1" s="1"/>
  <c r="P485" i="1" s="1"/>
  <c r="L486" i="1"/>
  <c r="L487" i="1"/>
  <c r="L488" i="1"/>
  <c r="L489" i="1"/>
  <c r="H489" i="1" s="1"/>
  <c r="L490" i="1"/>
  <c r="L491" i="1"/>
  <c r="H491" i="1" s="1"/>
  <c r="L492" i="1"/>
  <c r="L493" i="1"/>
  <c r="H493" i="1" s="1"/>
  <c r="L494" i="1"/>
  <c r="L495" i="1"/>
  <c r="H495" i="1" s="1"/>
  <c r="L496" i="1"/>
  <c r="H496" i="1" s="1"/>
  <c r="L497" i="1"/>
  <c r="H497" i="1" s="1"/>
  <c r="P497" i="1" s="1"/>
  <c r="L498" i="1"/>
  <c r="H498" i="1" s="1"/>
  <c r="L499" i="1"/>
  <c r="L500" i="1"/>
  <c r="L501" i="1"/>
  <c r="H501" i="1" s="1"/>
  <c r="L502" i="1"/>
  <c r="H502" i="1" s="1"/>
  <c r="L503" i="1"/>
  <c r="H503" i="1" s="1"/>
  <c r="L504" i="1"/>
  <c r="H504" i="1" s="1"/>
  <c r="L505" i="1"/>
  <c r="H505" i="1" s="1"/>
  <c r="L506" i="1"/>
  <c r="L507" i="1"/>
  <c r="H507" i="1" s="1"/>
  <c r="L508" i="1"/>
  <c r="H508" i="1" s="1"/>
  <c r="L509" i="1"/>
  <c r="H509" i="1" s="1"/>
  <c r="P509" i="1" s="1"/>
  <c r="L510" i="1"/>
  <c r="H510" i="1" s="1"/>
  <c r="L511" i="1"/>
  <c r="H511" i="1" s="1"/>
  <c r="L512" i="1"/>
  <c r="L513" i="1"/>
  <c r="H513" i="1" s="1"/>
  <c r="L514" i="1"/>
  <c r="L515" i="1"/>
  <c r="H515" i="1" s="1"/>
  <c r="L516" i="1"/>
  <c r="L517" i="1"/>
  <c r="H517" i="1" s="1"/>
  <c r="P517" i="1" s="1"/>
  <c r="L518" i="1"/>
  <c r="L519" i="1"/>
  <c r="H519" i="1" s="1"/>
  <c r="P519" i="1" s="1"/>
  <c r="L520" i="1"/>
  <c r="H520" i="1" s="1"/>
  <c r="L521" i="1"/>
  <c r="H521" i="1" s="1"/>
  <c r="P521" i="1" s="1"/>
  <c r="L522" i="1"/>
  <c r="L523" i="1"/>
  <c r="H523" i="1" s="1"/>
  <c r="L524" i="1"/>
  <c r="L525" i="1"/>
  <c r="H525" i="1" s="1"/>
  <c r="L526" i="1"/>
  <c r="L527" i="1"/>
  <c r="H527" i="1" s="1"/>
  <c r="L528" i="1"/>
  <c r="H528" i="1" s="1"/>
  <c r="L529" i="1"/>
  <c r="H529" i="1" s="1"/>
  <c r="L530" i="1"/>
  <c r="L531" i="1"/>
  <c r="H531" i="1" s="1"/>
  <c r="L532" i="1"/>
  <c r="H532" i="1" s="1"/>
  <c r="L533" i="1"/>
  <c r="H533" i="1" s="1"/>
  <c r="P533" i="1" s="1"/>
  <c r="L534" i="1"/>
  <c r="L535" i="1"/>
  <c r="L536" i="1"/>
  <c r="L537" i="1"/>
  <c r="H537" i="1" s="1"/>
  <c r="L538" i="1"/>
  <c r="H538" i="1" s="1"/>
  <c r="L539" i="1"/>
  <c r="H539" i="1" s="1"/>
  <c r="L540" i="1"/>
  <c r="H540" i="1" s="1"/>
  <c r="L541" i="1"/>
  <c r="H541" i="1" s="1"/>
  <c r="L542" i="1"/>
  <c r="L543" i="1"/>
  <c r="H543" i="1" s="1"/>
  <c r="L544" i="1"/>
  <c r="H544" i="1" s="1"/>
  <c r="L545" i="1"/>
  <c r="H545" i="1" s="1"/>
  <c r="P545" i="1" s="1"/>
  <c r="L546" i="1"/>
  <c r="H546" i="1" s="1"/>
  <c r="L547" i="1"/>
  <c r="L548" i="1"/>
  <c r="L549" i="1"/>
  <c r="H549" i="1" s="1"/>
  <c r="L550" i="1"/>
  <c r="H550" i="1" s="1"/>
  <c r="L551" i="1"/>
  <c r="H551" i="1" s="1"/>
  <c r="L552" i="1"/>
  <c r="H552" i="1" s="1"/>
  <c r="L553" i="1"/>
  <c r="H553" i="1" s="1"/>
  <c r="L554" i="1"/>
  <c r="L555" i="1"/>
  <c r="H555" i="1" s="1"/>
  <c r="L556" i="1"/>
  <c r="H556" i="1" s="1"/>
  <c r="L557" i="1"/>
  <c r="H557" i="1" s="1"/>
  <c r="P557" i="1" s="1"/>
  <c r="L558" i="1"/>
  <c r="L559" i="1"/>
  <c r="L560" i="1"/>
  <c r="L561" i="1"/>
  <c r="H561" i="1" s="1"/>
  <c r="L562" i="1"/>
  <c r="H562" i="1" s="1"/>
  <c r="L563" i="1"/>
  <c r="H563" i="1" s="1"/>
  <c r="L564" i="1"/>
  <c r="H564" i="1" s="1"/>
  <c r="L565" i="1"/>
  <c r="H565" i="1" s="1"/>
  <c r="L566" i="1"/>
  <c r="L567" i="1"/>
  <c r="H567" i="1" s="1"/>
  <c r="L568" i="1"/>
  <c r="H568" i="1" s="1"/>
  <c r="L569" i="1"/>
  <c r="H569" i="1" s="1"/>
  <c r="P569" i="1" s="1"/>
  <c r="L570" i="1"/>
  <c r="H570" i="1" s="1"/>
  <c r="L571" i="1"/>
  <c r="L572" i="1"/>
  <c r="H572" i="1" s="1"/>
  <c r="L573" i="1"/>
  <c r="H573" i="1" s="1"/>
  <c r="L574" i="1"/>
  <c r="L575" i="1"/>
  <c r="H575" i="1" s="1"/>
  <c r="L576" i="1"/>
  <c r="H576" i="1" s="1"/>
  <c r="L577" i="1"/>
  <c r="H577" i="1" s="1"/>
  <c r="L578" i="1"/>
  <c r="L579" i="1"/>
  <c r="H579" i="1" s="1"/>
  <c r="L580" i="1"/>
  <c r="H580" i="1" s="1"/>
  <c r="L581" i="1"/>
  <c r="L582" i="1"/>
  <c r="H582" i="1" s="1"/>
  <c r="L583" i="1"/>
  <c r="L584" i="1"/>
  <c r="L585" i="1"/>
  <c r="H585" i="1" s="1"/>
  <c r="L586" i="1"/>
  <c r="H586" i="1" s="1"/>
  <c r="L587" i="1"/>
  <c r="H587" i="1" s="1"/>
  <c r="L588" i="1"/>
  <c r="L589" i="1"/>
  <c r="H589" i="1" s="1"/>
  <c r="P589" i="1" s="1"/>
  <c r="L590" i="1"/>
  <c r="L591" i="1"/>
  <c r="H591" i="1" s="1"/>
  <c r="L592" i="1"/>
  <c r="H592" i="1" s="1"/>
  <c r="L593" i="1"/>
  <c r="H593" i="1" s="1"/>
  <c r="P593" i="1" s="1"/>
  <c r="L594" i="1"/>
  <c r="L595" i="1"/>
  <c r="L596" i="1"/>
  <c r="L597" i="1"/>
  <c r="H597" i="1" s="1"/>
  <c r="L598" i="1"/>
  <c r="H598" i="1" s="1"/>
  <c r="L599" i="1"/>
  <c r="H599" i="1" s="1"/>
  <c r="L600" i="1"/>
  <c r="H600" i="1" s="1"/>
  <c r="L601" i="1"/>
  <c r="H601" i="1" s="1"/>
  <c r="L602" i="1"/>
  <c r="L603" i="1"/>
  <c r="H603" i="1" s="1"/>
  <c r="L604" i="1"/>
  <c r="H604" i="1" s="1"/>
  <c r="L605" i="1"/>
  <c r="H605" i="1" s="1"/>
  <c r="P605" i="1" s="1"/>
  <c r="L606" i="1"/>
  <c r="L607" i="1"/>
  <c r="L608" i="1"/>
  <c r="L609" i="1"/>
  <c r="H609" i="1" s="1"/>
  <c r="L610" i="1"/>
  <c r="H610" i="1" s="1"/>
  <c r="L611" i="1"/>
  <c r="H611" i="1" s="1"/>
  <c r="L612" i="1"/>
  <c r="H612" i="1" s="1"/>
  <c r="L613" i="1"/>
  <c r="H613" i="1" s="1"/>
  <c r="L614" i="1"/>
  <c r="L615" i="1"/>
  <c r="H615" i="1" s="1"/>
  <c r="L616" i="1"/>
  <c r="H616" i="1" s="1"/>
  <c r="L617" i="1"/>
  <c r="L618" i="1"/>
  <c r="H618" i="1" s="1"/>
  <c r="L619" i="1"/>
  <c r="L620" i="1"/>
  <c r="L621" i="1"/>
  <c r="H621" i="1" s="1"/>
  <c r="L622" i="1"/>
  <c r="L623" i="1"/>
  <c r="H623" i="1" s="1"/>
  <c r="L624" i="1"/>
  <c r="H624" i="1" s="1"/>
  <c r="L625" i="1"/>
  <c r="H625" i="1" s="1"/>
  <c r="L626" i="1"/>
  <c r="L627" i="1"/>
  <c r="H627" i="1" s="1"/>
  <c r="L628" i="1"/>
  <c r="H628" i="1" s="1"/>
  <c r="L629" i="1"/>
  <c r="L630" i="1"/>
  <c r="L631" i="1"/>
  <c r="L632" i="1"/>
  <c r="L633" i="1"/>
  <c r="H633" i="1" s="1"/>
  <c r="L634" i="1"/>
  <c r="L635" i="1"/>
  <c r="H635" i="1" s="1"/>
  <c r="L636" i="1"/>
  <c r="L637" i="1"/>
  <c r="H637" i="1" s="1"/>
  <c r="L638" i="1"/>
  <c r="L639" i="1"/>
  <c r="H639" i="1" s="1"/>
  <c r="L640" i="1"/>
  <c r="H640" i="1" s="1"/>
  <c r="L641" i="1"/>
  <c r="L642" i="1"/>
  <c r="H642" i="1" s="1"/>
  <c r="L643" i="1"/>
  <c r="L644" i="1"/>
  <c r="L645" i="1"/>
  <c r="H645" i="1" s="1"/>
  <c r="L646" i="1"/>
  <c r="H646" i="1" s="1"/>
  <c r="L647" i="1"/>
  <c r="H647" i="1" s="1"/>
  <c r="L648" i="1"/>
  <c r="H648" i="1" s="1"/>
  <c r="L649" i="1"/>
  <c r="H649" i="1" s="1"/>
  <c r="L650" i="1"/>
  <c r="L651" i="1"/>
  <c r="H651" i="1" s="1"/>
  <c r="L652" i="1"/>
  <c r="H652" i="1" s="1"/>
  <c r="L653" i="1"/>
  <c r="H653" i="1" s="1"/>
  <c r="P653" i="1" s="1"/>
  <c r="L654" i="1"/>
  <c r="H654" i="1" s="1"/>
  <c r="L655" i="1"/>
  <c r="L656" i="1"/>
  <c r="L657" i="1"/>
  <c r="H657" i="1" s="1"/>
  <c r="L658" i="1"/>
  <c r="L659" i="1"/>
  <c r="H659" i="1" s="1"/>
  <c r="L660" i="1"/>
  <c r="L661" i="1"/>
  <c r="H661" i="1" s="1"/>
  <c r="P661" i="1" s="1"/>
  <c r="L662" i="1"/>
  <c r="L663" i="1"/>
  <c r="H663" i="1" s="1"/>
  <c r="P663" i="1" s="1"/>
  <c r="L664" i="1"/>
  <c r="H664" i="1" s="1"/>
  <c r="L665" i="1"/>
  <c r="H665" i="1" s="1"/>
  <c r="L666" i="1"/>
  <c r="L667" i="1"/>
  <c r="L668" i="1"/>
  <c r="L669" i="1"/>
  <c r="H669" i="1" s="1"/>
  <c r="L670" i="1"/>
  <c r="L671" i="1"/>
  <c r="H671" i="1" s="1"/>
  <c r="L672" i="1"/>
  <c r="H672" i="1" s="1"/>
  <c r="L673" i="1"/>
  <c r="H673" i="1" s="1"/>
  <c r="L674" i="1"/>
  <c r="L675" i="1"/>
  <c r="H675" i="1" s="1"/>
  <c r="L676" i="1"/>
  <c r="H676" i="1" s="1"/>
  <c r="L677" i="1"/>
  <c r="L678" i="1"/>
  <c r="L679" i="1"/>
  <c r="L680" i="1"/>
  <c r="L681" i="1"/>
  <c r="H681" i="1" s="1"/>
  <c r="L682" i="1"/>
  <c r="H682" i="1" s="1"/>
  <c r="L683" i="1"/>
  <c r="H683" i="1" s="1"/>
  <c r="L684" i="1"/>
  <c r="H684" i="1" s="1"/>
  <c r="L685" i="1"/>
  <c r="H685" i="1" s="1"/>
  <c r="L686" i="1"/>
  <c r="L687" i="1"/>
  <c r="H687" i="1" s="1"/>
  <c r="L688" i="1"/>
  <c r="H688" i="1" s="1"/>
  <c r="L689" i="1"/>
  <c r="H689" i="1" s="1"/>
  <c r="P689" i="1" s="1"/>
  <c r="L690" i="1"/>
  <c r="H690" i="1" s="1"/>
  <c r="L691" i="1"/>
  <c r="L692" i="1"/>
  <c r="L693" i="1"/>
  <c r="H693" i="1" s="1"/>
  <c r="L694" i="1"/>
  <c r="H694" i="1" s="1"/>
  <c r="L695" i="1"/>
  <c r="H695" i="1" s="1"/>
  <c r="L696" i="1"/>
  <c r="H696" i="1" s="1"/>
  <c r="L697" i="1"/>
  <c r="H697" i="1" s="1"/>
  <c r="L698" i="1"/>
  <c r="L699" i="1"/>
  <c r="L700" i="1"/>
  <c r="H700" i="1" s="1"/>
  <c r="L701" i="1"/>
  <c r="L702" i="1"/>
  <c r="L703" i="1"/>
  <c r="H703" i="1" s="1"/>
  <c r="L704" i="1"/>
  <c r="L705" i="1"/>
  <c r="H705" i="1" s="1"/>
  <c r="L706" i="1"/>
  <c r="H706" i="1" s="1"/>
  <c r="L707" i="1"/>
  <c r="H707" i="1" s="1"/>
  <c r="L708" i="1"/>
  <c r="L709" i="1"/>
  <c r="H709" i="1" s="1"/>
  <c r="L710" i="1"/>
  <c r="L711" i="1"/>
  <c r="H711" i="1" s="1"/>
  <c r="L712" i="1"/>
  <c r="H712" i="1" s="1"/>
  <c r="L713" i="1"/>
  <c r="H713" i="1" s="1"/>
  <c r="P713" i="1" s="1"/>
  <c r="L714" i="1"/>
  <c r="H714" i="1" s="1"/>
  <c r="L715" i="1"/>
  <c r="H715" i="1" s="1"/>
  <c r="L716" i="1"/>
  <c r="L717" i="1"/>
  <c r="H717" i="1" s="1"/>
  <c r="L718" i="1"/>
  <c r="H718" i="1" s="1"/>
  <c r="L719" i="1"/>
  <c r="H719" i="1" s="1"/>
  <c r="L720" i="1"/>
  <c r="H720" i="1" s="1"/>
  <c r="L721" i="1"/>
  <c r="H721" i="1" s="1"/>
  <c r="L722" i="1"/>
  <c r="L723" i="1"/>
  <c r="H723" i="1" s="1"/>
  <c r="L724" i="1"/>
  <c r="H724" i="1" s="1"/>
  <c r="L725" i="1"/>
  <c r="L726" i="1"/>
  <c r="H726" i="1" s="1"/>
  <c r="L727" i="1"/>
  <c r="L728" i="1"/>
  <c r="L729" i="1"/>
  <c r="H729" i="1" s="1"/>
  <c r="L730" i="1"/>
  <c r="H730" i="1" s="1"/>
  <c r="L731" i="1"/>
  <c r="H731" i="1" s="1"/>
  <c r="L732" i="1"/>
  <c r="L733" i="1"/>
  <c r="H733" i="1" s="1"/>
  <c r="P733" i="1" s="1"/>
  <c r="L734" i="1"/>
  <c r="L735" i="1"/>
  <c r="H735" i="1" s="1"/>
  <c r="L736" i="1"/>
  <c r="H736" i="1" s="1"/>
  <c r="L737" i="1"/>
  <c r="H737" i="1" s="1"/>
  <c r="P737" i="1" s="1"/>
  <c r="L738" i="1"/>
  <c r="L739" i="1"/>
  <c r="L740" i="1"/>
  <c r="L741" i="1"/>
  <c r="H741" i="1" s="1"/>
  <c r="L742" i="1"/>
  <c r="H742" i="1" s="1"/>
  <c r="L743" i="1"/>
  <c r="H743" i="1" s="1"/>
  <c r="L744" i="1"/>
  <c r="H744" i="1" s="1"/>
  <c r="L745" i="1"/>
  <c r="H745" i="1" s="1"/>
  <c r="L746" i="1"/>
  <c r="L747" i="1"/>
  <c r="H747" i="1" s="1"/>
  <c r="L748" i="1"/>
  <c r="H748" i="1" s="1"/>
  <c r="L749" i="1"/>
  <c r="L750" i="1"/>
  <c r="L751" i="1"/>
  <c r="L752" i="1"/>
  <c r="L753" i="1"/>
  <c r="H753" i="1" s="1"/>
  <c r="L754" i="1"/>
  <c r="H754" i="1" s="1"/>
  <c r="L755" i="1"/>
  <c r="L756" i="1"/>
  <c r="H756" i="1" s="1"/>
  <c r="L757" i="1"/>
  <c r="H757" i="1" s="1"/>
  <c r="L758" i="1"/>
  <c r="L759" i="1"/>
  <c r="L760" i="1"/>
  <c r="H760" i="1" s="1"/>
  <c r="L761" i="1"/>
  <c r="L762" i="1"/>
  <c r="H762" i="1" s="1"/>
  <c r="L763" i="1"/>
  <c r="L764" i="1"/>
  <c r="H764" i="1" s="1"/>
  <c r="L765" i="1"/>
  <c r="H765" i="1" s="1"/>
  <c r="L766" i="1"/>
  <c r="L767" i="1"/>
  <c r="H767" i="1" s="1"/>
  <c r="L768" i="1"/>
  <c r="H768" i="1" s="1"/>
  <c r="L769" i="1"/>
  <c r="H769" i="1" s="1"/>
  <c r="L770" i="1"/>
  <c r="L771" i="1"/>
  <c r="L772" i="1"/>
  <c r="H772" i="1" s="1"/>
  <c r="L773" i="1"/>
  <c r="H773" i="1" s="1"/>
  <c r="P773" i="1" s="1"/>
  <c r="L774" i="1"/>
  <c r="L775" i="1"/>
  <c r="L776" i="1"/>
  <c r="L777" i="1"/>
  <c r="H777" i="1" s="1"/>
  <c r="L778" i="1"/>
  <c r="L779" i="1"/>
  <c r="H779" i="1" s="1"/>
  <c r="L780" i="1"/>
  <c r="L781" i="1"/>
  <c r="H781" i="1" s="1"/>
  <c r="L782" i="1"/>
  <c r="L783" i="1"/>
  <c r="H783" i="1" s="1"/>
  <c r="L784" i="1"/>
  <c r="H784" i="1" s="1"/>
  <c r="L785" i="1"/>
  <c r="L786" i="1"/>
  <c r="H786" i="1" s="1"/>
  <c r="L787" i="1"/>
  <c r="L788" i="1"/>
  <c r="L789" i="1"/>
  <c r="H789" i="1" s="1"/>
  <c r="L790" i="1"/>
  <c r="L791" i="1"/>
  <c r="H791" i="1" s="1"/>
  <c r="L792" i="1"/>
  <c r="H792" i="1" s="1"/>
  <c r="L793" i="1"/>
  <c r="H793" i="1" s="1"/>
  <c r="L794" i="1"/>
  <c r="L795" i="1"/>
  <c r="H795" i="1" s="1"/>
  <c r="L796" i="1"/>
  <c r="H796" i="1" s="1"/>
  <c r="L797" i="1"/>
  <c r="H797" i="1" s="1"/>
  <c r="P797" i="1" s="1"/>
  <c r="L798" i="1"/>
  <c r="H798" i="1" s="1"/>
  <c r="L799" i="1"/>
  <c r="L800" i="1"/>
  <c r="L801" i="1"/>
  <c r="H801" i="1" s="1"/>
  <c r="L802" i="1"/>
  <c r="H802" i="1" s="1"/>
  <c r="L803" i="1"/>
  <c r="H803" i="1" s="1"/>
  <c r="L804" i="1"/>
  <c r="L805" i="1"/>
  <c r="H805" i="1" s="1"/>
  <c r="P805" i="1" s="1"/>
  <c r="L806" i="1"/>
  <c r="L807" i="1"/>
  <c r="L808" i="1"/>
  <c r="H808" i="1" s="1"/>
  <c r="L809" i="1"/>
  <c r="H809" i="1" s="1"/>
  <c r="P809" i="1" s="1"/>
  <c r="L810" i="1"/>
  <c r="L811" i="1"/>
  <c r="L812" i="1"/>
  <c r="L813" i="1"/>
  <c r="H813" i="1" s="1"/>
  <c r="L814" i="1"/>
  <c r="L815" i="1"/>
  <c r="H815" i="1" s="1"/>
  <c r="L816" i="1"/>
  <c r="H816" i="1" s="1"/>
  <c r="L817" i="1"/>
  <c r="H817" i="1" s="1"/>
  <c r="L818" i="1"/>
  <c r="L819" i="1"/>
  <c r="L820" i="1"/>
  <c r="H820" i="1" s="1"/>
  <c r="L821" i="1"/>
  <c r="H821" i="1" s="1"/>
  <c r="P821" i="1" s="1"/>
  <c r="L822" i="1"/>
  <c r="L823" i="1"/>
  <c r="L824" i="1"/>
  <c r="L825" i="1"/>
  <c r="H825" i="1" s="1"/>
  <c r="L826" i="1"/>
  <c r="L827" i="1"/>
  <c r="H827" i="1" s="1"/>
  <c r="L828" i="1"/>
  <c r="H828" i="1" s="1"/>
  <c r="L829" i="1"/>
  <c r="H829" i="1" s="1"/>
  <c r="L830" i="1"/>
  <c r="L831" i="1"/>
  <c r="H831" i="1" s="1"/>
  <c r="L832" i="1"/>
  <c r="H832" i="1" s="1"/>
  <c r="L833" i="1"/>
  <c r="L834" i="1"/>
  <c r="H834" i="1" s="1"/>
  <c r="L835" i="1"/>
  <c r="L836" i="1"/>
  <c r="H836" i="1" s="1"/>
  <c r="L837" i="1"/>
  <c r="H837" i="1" s="1"/>
  <c r="L838" i="1"/>
  <c r="L839" i="1"/>
  <c r="H839" i="1" s="1"/>
  <c r="L840" i="1"/>
  <c r="H840" i="1" s="1"/>
  <c r="L841" i="1"/>
  <c r="H841" i="1" s="1"/>
  <c r="L842" i="1"/>
  <c r="L843" i="1"/>
  <c r="H843" i="1" s="1"/>
  <c r="L844" i="1"/>
  <c r="H844" i="1" s="1"/>
  <c r="L845" i="1"/>
  <c r="L846" i="1"/>
  <c r="H846" i="1" s="1"/>
  <c r="L847" i="1"/>
  <c r="L848" i="1"/>
  <c r="L849" i="1"/>
  <c r="H849" i="1" s="1"/>
  <c r="L850" i="1"/>
  <c r="L851" i="1"/>
  <c r="H851" i="1" s="1"/>
  <c r="L852" i="1"/>
  <c r="L853" i="1"/>
  <c r="H853" i="1" s="1"/>
  <c r="L854" i="1"/>
  <c r="L855" i="1"/>
  <c r="H855" i="1" s="1"/>
  <c r="L856" i="1"/>
  <c r="H856" i="1" s="1"/>
  <c r="L857" i="1"/>
  <c r="L858" i="1"/>
  <c r="H858" i="1" s="1"/>
  <c r="L859" i="1"/>
  <c r="L860" i="1"/>
  <c r="L861" i="1"/>
  <c r="H861" i="1" s="1"/>
  <c r="L862" i="1"/>
  <c r="L863" i="1"/>
  <c r="H863" i="1" s="1"/>
  <c r="L864" i="1"/>
  <c r="H864" i="1" s="1"/>
  <c r="L865" i="1"/>
  <c r="H865" i="1" s="1"/>
  <c r="L866" i="1"/>
  <c r="L867" i="1"/>
  <c r="H867" i="1" s="1"/>
  <c r="L868" i="1"/>
  <c r="H868" i="1" s="1"/>
  <c r="L869" i="1"/>
  <c r="L870" i="1"/>
  <c r="H870" i="1" s="1"/>
  <c r="L871" i="1"/>
  <c r="L872" i="1"/>
  <c r="L873" i="1"/>
  <c r="H873" i="1" s="1"/>
  <c r="L874" i="1"/>
  <c r="L875" i="1"/>
  <c r="H875" i="1" s="1"/>
  <c r="L876" i="1"/>
  <c r="L877" i="1"/>
  <c r="H877" i="1" s="1"/>
  <c r="P877" i="1" s="1"/>
  <c r="L878" i="1"/>
  <c r="L879" i="1"/>
  <c r="L880" i="1"/>
  <c r="H880" i="1" s="1"/>
  <c r="P880" i="1" s="1"/>
  <c r="L881" i="1"/>
  <c r="L882" i="1"/>
  <c r="L883" i="1"/>
  <c r="L884" i="1"/>
  <c r="L885" i="1"/>
  <c r="H885" i="1" s="1"/>
  <c r="L886" i="1"/>
  <c r="L887" i="1"/>
  <c r="H887" i="1" s="1"/>
  <c r="L888" i="1"/>
  <c r="H888" i="1" s="1"/>
  <c r="L889" i="1"/>
  <c r="H889" i="1" s="1"/>
  <c r="L890" i="1"/>
  <c r="L891" i="1"/>
  <c r="H891" i="1" s="1"/>
  <c r="L892" i="1"/>
  <c r="H892" i="1" s="1"/>
  <c r="L893" i="1"/>
  <c r="L894" i="1"/>
  <c r="L895" i="1"/>
  <c r="L896" i="1"/>
  <c r="L897" i="1"/>
  <c r="H897" i="1" s="1"/>
  <c r="L898" i="1"/>
  <c r="L899" i="1"/>
  <c r="H899" i="1" s="1"/>
  <c r="L900" i="1"/>
  <c r="H900" i="1" s="1"/>
  <c r="L901" i="1"/>
  <c r="H901" i="1" s="1"/>
  <c r="L902" i="1"/>
  <c r="L903" i="1"/>
  <c r="L904" i="1"/>
  <c r="H904" i="1" s="1"/>
  <c r="L905" i="1"/>
  <c r="L906" i="1"/>
  <c r="H906" i="1" s="1"/>
  <c r="L907" i="1"/>
  <c r="L908" i="1"/>
  <c r="L909" i="1"/>
  <c r="H909" i="1" s="1"/>
  <c r="L910" i="1"/>
  <c r="L911" i="1"/>
  <c r="H911" i="1" s="1"/>
  <c r="L912" i="1"/>
  <c r="H912" i="1" s="1"/>
  <c r="L913" i="1"/>
  <c r="H913" i="1" s="1"/>
  <c r="L914" i="1"/>
  <c r="L915" i="1"/>
  <c r="L916" i="1"/>
  <c r="H916" i="1" s="1"/>
  <c r="L917" i="1"/>
  <c r="L918" i="1"/>
  <c r="L919" i="1"/>
  <c r="L920" i="1"/>
  <c r="L921" i="1"/>
  <c r="H921" i="1" s="1"/>
  <c r="L922" i="1"/>
  <c r="L923" i="1"/>
  <c r="H923" i="1" s="1"/>
  <c r="L924" i="1"/>
  <c r="L925" i="1"/>
  <c r="H925" i="1" s="1"/>
  <c r="L926" i="1"/>
  <c r="L927" i="1"/>
  <c r="H927" i="1" s="1"/>
  <c r="L928" i="1"/>
  <c r="H928" i="1" s="1"/>
  <c r="L929" i="1"/>
  <c r="L930" i="1"/>
  <c r="H930" i="1" s="1"/>
  <c r="L931" i="1"/>
  <c r="L932" i="1"/>
  <c r="L933" i="1"/>
  <c r="H933" i="1" s="1"/>
  <c r="L934" i="1"/>
  <c r="L935" i="1"/>
  <c r="H935" i="1" s="1"/>
  <c r="L936" i="1"/>
  <c r="H936" i="1" s="1"/>
  <c r="L937" i="1"/>
  <c r="H937" i="1" s="1"/>
  <c r="L938" i="1"/>
  <c r="L939" i="1"/>
  <c r="H939" i="1" s="1"/>
  <c r="L940" i="1"/>
  <c r="H940" i="1" s="1"/>
  <c r="L941" i="1"/>
  <c r="L942" i="1"/>
  <c r="H942" i="1" s="1"/>
  <c r="L943" i="1"/>
  <c r="L944" i="1"/>
  <c r="L945" i="1"/>
  <c r="H945" i="1" s="1"/>
  <c r="L946" i="1"/>
  <c r="H946" i="1" s="1"/>
  <c r="L947" i="1"/>
  <c r="H947" i="1" s="1"/>
  <c r="L948" i="1"/>
  <c r="L949" i="1"/>
  <c r="H949" i="1" s="1"/>
  <c r="P949" i="1" s="1"/>
  <c r="L950" i="1"/>
  <c r="L951" i="1"/>
  <c r="L952" i="1"/>
  <c r="H952" i="1" s="1"/>
  <c r="P952" i="1" s="1"/>
  <c r="L953" i="1"/>
  <c r="L954" i="1"/>
  <c r="L955" i="1"/>
  <c r="L956" i="1"/>
  <c r="L957" i="1"/>
  <c r="H957" i="1" s="1"/>
  <c r="L958" i="1"/>
  <c r="L959" i="1"/>
  <c r="H959" i="1" s="1"/>
  <c r="L960" i="1"/>
  <c r="H960" i="1" s="1"/>
  <c r="L961" i="1"/>
  <c r="H961" i="1" s="1"/>
  <c r="L962" i="1"/>
  <c r="L963" i="1"/>
  <c r="L964" i="1"/>
  <c r="H964" i="1" s="1"/>
  <c r="L965" i="1"/>
  <c r="L966" i="1"/>
  <c r="L967" i="1"/>
  <c r="L968" i="1"/>
  <c r="L969" i="1"/>
  <c r="H969" i="1" s="1"/>
  <c r="L970" i="1"/>
  <c r="L971" i="1"/>
  <c r="H971" i="1" s="1"/>
  <c r="L972" i="1"/>
  <c r="H972" i="1" s="1"/>
  <c r="L973" i="1"/>
  <c r="H973" i="1" s="1"/>
  <c r="L974" i="1"/>
  <c r="L975" i="1"/>
  <c r="L976" i="1"/>
  <c r="H976" i="1" s="1"/>
  <c r="L977" i="1"/>
  <c r="L978" i="1"/>
  <c r="H978" i="1" s="1"/>
  <c r="L979" i="1"/>
  <c r="L980" i="1"/>
  <c r="L981" i="1"/>
  <c r="H981" i="1" s="1"/>
  <c r="L982" i="1"/>
  <c r="L983" i="1"/>
  <c r="H983" i="1" s="1"/>
  <c r="L984" i="1"/>
  <c r="H984" i="1" s="1"/>
  <c r="L985" i="1"/>
  <c r="H985" i="1" s="1"/>
  <c r="L986" i="1"/>
  <c r="L987" i="1"/>
  <c r="L988" i="1"/>
  <c r="H988" i="1" s="1"/>
  <c r="L989" i="1"/>
  <c r="L990" i="1"/>
  <c r="L991" i="1"/>
  <c r="L3" i="1"/>
  <c r="H3" i="1" s="1"/>
  <c r="L4" i="1"/>
  <c r="L5" i="1"/>
  <c r="H5" i="1" s="1"/>
  <c r="L6" i="1"/>
  <c r="H6" i="1" s="1"/>
  <c r="L7" i="1"/>
  <c r="H7" i="1" s="1"/>
  <c r="L8" i="1"/>
  <c r="H8" i="1" s="1"/>
  <c r="L9" i="1"/>
  <c r="H9" i="1" s="1"/>
  <c r="L10" i="1"/>
  <c r="H10" i="1" s="1"/>
  <c r="L11" i="1"/>
  <c r="H11" i="1" s="1"/>
  <c r="L12" i="1"/>
  <c r="H12" i="1" s="1"/>
  <c r="L13" i="1"/>
  <c r="H13" i="1" s="1"/>
  <c r="L14" i="1"/>
  <c r="L15" i="1"/>
  <c r="H15" i="1" s="1"/>
  <c r="L16" i="1"/>
  <c r="H16" i="1" s="1"/>
  <c r="L17" i="1"/>
  <c r="L18" i="1"/>
  <c r="L19" i="1"/>
  <c r="L20" i="1"/>
  <c r="H20" i="1" s="1"/>
  <c r="L21" i="1"/>
  <c r="P29" i="1"/>
  <c r="P30" i="1"/>
  <c r="P42" i="1"/>
  <c r="P62" i="1"/>
  <c r="P65" i="1"/>
  <c r="P74" i="1"/>
  <c r="P77" i="1"/>
  <c r="P78" i="1"/>
  <c r="P86" i="1"/>
  <c r="P89" i="1"/>
  <c r="P98" i="1"/>
  <c r="P99" i="1"/>
  <c r="P101" i="1"/>
  <c r="P102" i="1"/>
  <c r="P110" i="1"/>
  <c r="P111" i="1"/>
  <c r="P113" i="1"/>
  <c r="P122" i="1"/>
  <c r="P123" i="1"/>
  <c r="P125" i="1"/>
  <c r="P126" i="1"/>
  <c r="P134" i="1"/>
  <c r="P137" i="1"/>
  <c r="P146" i="1"/>
  <c r="P149" i="1"/>
  <c r="P150" i="1"/>
  <c r="P158" i="1"/>
  <c r="P159" i="1"/>
  <c r="P161" i="1"/>
  <c r="P170" i="1"/>
  <c r="P171" i="1"/>
  <c r="P174" i="1"/>
  <c r="P182" i="1"/>
  <c r="P183" i="1"/>
  <c r="P194" i="1"/>
  <c r="P195" i="1"/>
  <c r="P206" i="1"/>
  <c r="P218" i="1"/>
  <c r="P221" i="1"/>
  <c r="P229" i="1"/>
  <c r="P230" i="1"/>
  <c r="P232" i="1"/>
  <c r="P234" i="1"/>
  <c r="P242" i="1"/>
  <c r="P243" i="1"/>
  <c r="P246" i="1"/>
  <c r="P254" i="1"/>
  <c r="P255" i="1"/>
  <c r="P257" i="1"/>
  <c r="P266" i="1"/>
  <c r="P267" i="1"/>
  <c r="P278" i="1"/>
  <c r="P290" i="1"/>
  <c r="P293" i="1"/>
  <c r="P302" i="1"/>
  <c r="P303" i="1"/>
  <c r="P304" i="1"/>
  <c r="P306" i="1"/>
  <c r="P314" i="1"/>
  <c r="P315" i="1"/>
  <c r="P318" i="1"/>
  <c r="P326" i="1"/>
  <c r="P327" i="1"/>
  <c r="P329" i="1"/>
  <c r="P338" i="1"/>
  <c r="P339" i="1"/>
  <c r="P350" i="1"/>
  <c r="P362" i="1"/>
  <c r="P376" i="1"/>
  <c r="P386" i="1"/>
  <c r="P387" i="1"/>
  <c r="P398" i="1"/>
  <c r="P399" i="1"/>
  <c r="P411" i="1"/>
  <c r="P425" i="1"/>
  <c r="P434" i="1"/>
  <c r="P447" i="1"/>
  <c r="P448" i="1"/>
  <c r="P459" i="1"/>
  <c r="P461" i="1"/>
  <c r="P471" i="1"/>
  <c r="P483" i="1"/>
  <c r="P520" i="1"/>
  <c r="P531" i="1"/>
  <c r="P543" i="1"/>
  <c r="P555" i="1"/>
  <c r="P591" i="1"/>
  <c r="P592" i="1"/>
  <c r="P603" i="1"/>
  <c r="P615" i="1"/>
  <c r="P627" i="1"/>
  <c r="P664" i="1"/>
  <c r="P665" i="1"/>
  <c r="P675" i="1"/>
  <c r="P687" i="1"/>
  <c r="P735" i="1"/>
  <c r="P736" i="1"/>
  <c r="P747" i="1"/>
  <c r="P808" i="1"/>
  <c r="P831" i="1"/>
  <c r="P843" i="1"/>
  <c r="P891" i="1"/>
  <c r="L2" i="1"/>
  <c r="H4" i="1" l="1"/>
  <c r="H968" i="1"/>
  <c r="P968" i="1" s="1"/>
  <c r="H956" i="1"/>
  <c r="P956" i="1" s="1"/>
  <c r="H944" i="1"/>
  <c r="P944" i="1" s="1"/>
  <c r="H932" i="1"/>
  <c r="P932" i="1" s="1"/>
  <c r="H920" i="1"/>
  <c r="P920" i="1" s="1"/>
  <c r="H908" i="1"/>
  <c r="P908" i="1" s="1"/>
  <c r="H896" i="1"/>
  <c r="P896" i="1" s="1"/>
  <c r="H884" i="1"/>
  <c r="P884" i="1" s="1"/>
  <c r="H872" i="1"/>
  <c r="P872" i="1" s="1"/>
  <c r="H860" i="1"/>
  <c r="P860" i="1" s="1"/>
  <c r="H848" i="1"/>
  <c r="P848" i="1" s="1"/>
  <c r="P836" i="1"/>
  <c r="H824" i="1"/>
  <c r="P824" i="1" s="1"/>
  <c r="H812" i="1"/>
  <c r="P812" i="1" s="1"/>
  <c r="H800" i="1"/>
  <c r="P800" i="1" s="1"/>
  <c r="P764" i="1"/>
  <c r="H704" i="1"/>
  <c r="P704" i="1" s="1"/>
  <c r="H692" i="1"/>
  <c r="P692" i="1" s="1"/>
  <c r="H668" i="1"/>
  <c r="P668" i="1" s="1"/>
  <c r="H656" i="1"/>
  <c r="P656" i="1" s="1"/>
  <c r="P572" i="1"/>
  <c r="H560" i="1"/>
  <c r="P560" i="1" s="1"/>
  <c r="H548" i="1"/>
  <c r="P548" i="1" s="1"/>
  <c r="H524" i="1"/>
  <c r="P524" i="1" s="1"/>
  <c r="H512" i="1"/>
  <c r="P512" i="1" s="1"/>
  <c r="H416" i="1"/>
  <c r="P416" i="1" s="1"/>
  <c r="H404" i="1"/>
  <c r="P404" i="1" s="1"/>
  <c r="H380" i="1"/>
  <c r="P380" i="1" s="1"/>
  <c r="H368" i="1"/>
  <c r="P368" i="1" s="1"/>
  <c r="P332" i="1"/>
  <c r="H272" i="1"/>
  <c r="P272" i="1" s="1"/>
  <c r="H236" i="1"/>
  <c r="P236" i="1" s="1"/>
  <c r="H224" i="1"/>
  <c r="P224" i="1" s="1"/>
  <c r="P140" i="1"/>
  <c r="H128" i="1"/>
  <c r="P128" i="1" s="1"/>
  <c r="H116" i="1"/>
  <c r="P116" i="1" s="1"/>
  <c r="H92" i="1"/>
  <c r="P92" i="1" s="1"/>
  <c r="H80" i="1"/>
  <c r="P80" i="1" s="1"/>
  <c r="H152" i="1"/>
  <c r="P152" i="1" s="1"/>
  <c r="H344" i="1"/>
  <c r="P344" i="1" s="1"/>
  <c r="H584" i="1"/>
  <c r="P584" i="1" s="1"/>
  <c r="H776" i="1"/>
  <c r="P776" i="1" s="1"/>
  <c r="H980" i="1"/>
  <c r="P980" i="1" s="1"/>
  <c r="H14" i="1"/>
  <c r="P14" i="1" s="1"/>
  <c r="H991" i="1"/>
  <c r="P991" i="1" s="1"/>
  <c r="H979" i="1"/>
  <c r="P979" i="1" s="1"/>
  <c r="H967" i="1"/>
  <c r="P967" i="1" s="1"/>
  <c r="H943" i="1"/>
  <c r="P943" i="1" s="1"/>
  <c r="H931" i="1"/>
  <c r="P931" i="1" s="1"/>
  <c r="H919" i="1"/>
  <c r="P919" i="1" s="1"/>
  <c r="H907" i="1"/>
  <c r="P907" i="1" s="1"/>
  <c r="H895" i="1"/>
  <c r="P895" i="1" s="1"/>
  <c r="H883" i="1"/>
  <c r="P883" i="1" s="1"/>
  <c r="H871" i="1"/>
  <c r="P871" i="1" s="1"/>
  <c r="H859" i="1"/>
  <c r="P859" i="1" s="1"/>
  <c r="H847" i="1"/>
  <c r="P847" i="1" s="1"/>
  <c r="H835" i="1"/>
  <c r="P835" i="1" s="1"/>
  <c r="H823" i="1"/>
  <c r="P823" i="1" s="1"/>
  <c r="H787" i="1"/>
  <c r="P787" i="1" s="1"/>
  <c r="H775" i="1"/>
  <c r="P775" i="1" s="1"/>
  <c r="H751" i="1"/>
  <c r="P751" i="1" s="1"/>
  <c r="H739" i="1"/>
  <c r="P739" i="1" s="1"/>
  <c r="P715" i="1"/>
  <c r="P703" i="1"/>
  <c r="H643" i="1"/>
  <c r="P643" i="1" s="1"/>
  <c r="H631" i="1"/>
  <c r="P631" i="1" s="1"/>
  <c r="H607" i="1"/>
  <c r="P607" i="1" s="1"/>
  <c r="H595" i="1"/>
  <c r="P595" i="1" s="1"/>
  <c r="P523" i="1"/>
  <c r="P511" i="1"/>
  <c r="H499" i="1"/>
  <c r="P499" i="1" s="1"/>
  <c r="H487" i="1"/>
  <c r="P487" i="1" s="1"/>
  <c r="H463" i="1"/>
  <c r="P463" i="1" s="1"/>
  <c r="H451" i="1"/>
  <c r="P451" i="1" s="1"/>
  <c r="H355" i="1"/>
  <c r="P355" i="1" s="1"/>
  <c r="H319" i="1"/>
  <c r="P319" i="1" s="1"/>
  <c r="H307" i="1"/>
  <c r="P307" i="1" s="1"/>
  <c r="P295" i="1"/>
  <c r="P271" i="1"/>
  <c r="H211" i="1"/>
  <c r="P211" i="1" s="1"/>
  <c r="H175" i="1"/>
  <c r="P175" i="1" s="1"/>
  <c r="H163" i="1"/>
  <c r="P163" i="1" s="1"/>
  <c r="P91" i="1"/>
  <c r="H103" i="1"/>
  <c r="P103" i="1" s="1"/>
  <c r="H295" i="1"/>
  <c r="H535" i="1"/>
  <c r="P535" i="1" s="1"/>
  <c r="H727" i="1"/>
  <c r="P727" i="1" s="1"/>
  <c r="H164" i="1"/>
  <c r="P164" i="1" s="1"/>
  <c r="H356" i="1"/>
  <c r="P356" i="1" s="1"/>
  <c r="H596" i="1"/>
  <c r="P596" i="1" s="1"/>
  <c r="H788" i="1"/>
  <c r="P788" i="1" s="1"/>
  <c r="H990" i="1"/>
  <c r="P990" i="1" s="1"/>
  <c r="H966" i="1"/>
  <c r="P966" i="1" s="1"/>
  <c r="H918" i="1"/>
  <c r="P918" i="1" s="1"/>
  <c r="H894" i="1"/>
  <c r="P894" i="1" s="1"/>
  <c r="H882" i="1"/>
  <c r="P882" i="1" s="1"/>
  <c r="P846" i="1"/>
  <c r="H822" i="1"/>
  <c r="P822" i="1" s="1"/>
  <c r="H810" i="1"/>
  <c r="P810" i="1" s="1"/>
  <c r="H774" i="1"/>
  <c r="P774" i="1" s="1"/>
  <c r="H750" i="1"/>
  <c r="P750" i="1" s="1"/>
  <c r="H738" i="1"/>
  <c r="P738" i="1" s="1"/>
  <c r="H702" i="1"/>
  <c r="P702" i="1" s="1"/>
  <c r="H678" i="1"/>
  <c r="P678" i="1" s="1"/>
  <c r="H666" i="1"/>
  <c r="P666" i="1" s="1"/>
  <c r="H630" i="1"/>
  <c r="P630" i="1" s="1"/>
  <c r="H606" i="1"/>
  <c r="P606" i="1" s="1"/>
  <c r="H594" i="1"/>
  <c r="P594" i="1" s="1"/>
  <c r="H558" i="1"/>
  <c r="P558" i="1" s="1"/>
  <c r="H534" i="1"/>
  <c r="P534" i="1" s="1"/>
  <c r="H522" i="1"/>
  <c r="P522" i="1" s="1"/>
  <c r="H462" i="1"/>
  <c r="P462" i="1" s="1"/>
  <c r="H450" i="1"/>
  <c r="P450" i="1" s="1"/>
  <c r="H438" i="1"/>
  <c r="P438" i="1" s="1"/>
  <c r="H414" i="1"/>
  <c r="P414" i="1" s="1"/>
  <c r="H390" i="1"/>
  <c r="P390" i="1" s="1"/>
  <c r="H378" i="1"/>
  <c r="P378" i="1" s="1"/>
  <c r="H366" i="1"/>
  <c r="P366" i="1" s="1"/>
  <c r="H294" i="1"/>
  <c r="P294" i="1" s="1"/>
  <c r="H270" i="1"/>
  <c r="P270" i="1" s="1"/>
  <c r="H222" i="1"/>
  <c r="P222" i="1" s="1"/>
  <c r="H186" i="1"/>
  <c r="P186" i="1" s="1"/>
  <c r="H162" i="1"/>
  <c r="P162" i="1" s="1"/>
  <c r="H138" i="1"/>
  <c r="P138" i="1" s="1"/>
  <c r="H114" i="1"/>
  <c r="P114" i="1" s="1"/>
  <c r="H90" i="1"/>
  <c r="P90" i="1" s="1"/>
  <c r="H66" i="1"/>
  <c r="P66" i="1" s="1"/>
  <c r="H331" i="1"/>
  <c r="P331" i="1" s="1"/>
  <c r="H547" i="1"/>
  <c r="P547" i="1" s="1"/>
  <c r="H763" i="1"/>
  <c r="P763" i="1" s="1"/>
  <c r="H176" i="1"/>
  <c r="P176" i="1" s="1"/>
  <c r="H608" i="1"/>
  <c r="P608" i="1" s="1"/>
  <c r="H954" i="1"/>
  <c r="P954" i="1" s="1"/>
  <c r="H989" i="1"/>
  <c r="P989" i="1" s="1"/>
  <c r="H977" i="1"/>
  <c r="P977" i="1" s="1"/>
  <c r="H965" i="1"/>
  <c r="P965" i="1" s="1"/>
  <c r="H953" i="1"/>
  <c r="P953" i="1" s="1"/>
  <c r="H941" i="1"/>
  <c r="P941" i="1" s="1"/>
  <c r="H929" i="1"/>
  <c r="P929" i="1" s="1"/>
  <c r="H905" i="1"/>
  <c r="P905" i="1" s="1"/>
  <c r="H893" i="1"/>
  <c r="P893" i="1" s="1"/>
  <c r="H881" i="1"/>
  <c r="P881" i="1" s="1"/>
  <c r="H869" i="1"/>
  <c r="P869" i="1" s="1"/>
  <c r="H857" i="1"/>
  <c r="P857" i="1" s="1"/>
  <c r="H845" i="1"/>
  <c r="P845" i="1" s="1"/>
  <c r="H833" i="1"/>
  <c r="P833" i="1" s="1"/>
  <c r="H785" i="1"/>
  <c r="P785" i="1" s="1"/>
  <c r="H761" i="1"/>
  <c r="P761" i="1" s="1"/>
  <c r="H749" i="1"/>
  <c r="P749" i="1" s="1"/>
  <c r="H725" i="1"/>
  <c r="P725" i="1" s="1"/>
  <c r="H701" i="1"/>
  <c r="P701" i="1" s="1"/>
  <c r="H677" i="1"/>
  <c r="P677" i="1" s="1"/>
  <c r="H641" i="1"/>
  <c r="P641" i="1" s="1"/>
  <c r="H617" i="1"/>
  <c r="P617" i="1" s="1"/>
  <c r="H581" i="1"/>
  <c r="P581" i="1" s="1"/>
  <c r="H127" i="1"/>
  <c r="P127" i="1" s="1"/>
  <c r="H559" i="1"/>
  <c r="P559" i="1" s="1"/>
  <c r="H799" i="1"/>
  <c r="P799" i="1" s="1"/>
  <c r="H188" i="1"/>
  <c r="P188" i="1" s="1"/>
  <c r="H428" i="1"/>
  <c r="P428" i="1" s="1"/>
  <c r="H620" i="1"/>
  <c r="P620" i="1" s="1"/>
  <c r="H54" i="1"/>
  <c r="P54" i="1" s="1"/>
  <c r="H139" i="1"/>
  <c r="P139" i="1" s="1"/>
  <c r="H379" i="1"/>
  <c r="P379" i="1" s="1"/>
  <c r="H571" i="1"/>
  <c r="P571" i="1" s="1"/>
  <c r="H200" i="1"/>
  <c r="P200" i="1" s="1"/>
  <c r="H440" i="1"/>
  <c r="P440" i="1" s="1"/>
  <c r="H632" i="1"/>
  <c r="P632" i="1" s="1"/>
  <c r="H629" i="1"/>
  <c r="P629" i="1" s="1"/>
  <c r="H987" i="1"/>
  <c r="P987" i="1" s="1"/>
  <c r="H975" i="1"/>
  <c r="P975" i="1" s="1"/>
  <c r="H963" i="1"/>
  <c r="P963" i="1" s="1"/>
  <c r="H915" i="1"/>
  <c r="P915" i="1" s="1"/>
  <c r="H903" i="1"/>
  <c r="P903" i="1" s="1"/>
  <c r="H879" i="1"/>
  <c r="P879" i="1" s="1"/>
  <c r="H819" i="1"/>
  <c r="P819" i="1" s="1"/>
  <c r="H771" i="1"/>
  <c r="P771" i="1" s="1"/>
  <c r="H759" i="1"/>
  <c r="P759" i="1" s="1"/>
  <c r="H699" i="1"/>
  <c r="P699" i="1" s="1"/>
  <c r="H27" i="1"/>
  <c r="P27" i="1" s="1"/>
  <c r="H151" i="1"/>
  <c r="P151" i="1" s="1"/>
  <c r="H391" i="1"/>
  <c r="P391" i="1" s="1"/>
  <c r="H583" i="1"/>
  <c r="P583" i="1" s="1"/>
  <c r="H212" i="1"/>
  <c r="P212" i="1" s="1"/>
  <c r="H452" i="1"/>
  <c r="P452" i="1" s="1"/>
  <c r="H644" i="1"/>
  <c r="P644" i="1" s="1"/>
  <c r="H21" i="1"/>
  <c r="P21" i="1" s="1"/>
  <c r="H986" i="1"/>
  <c r="P986" i="1" s="1"/>
  <c r="H974" i="1"/>
  <c r="P974" i="1" s="1"/>
  <c r="H962" i="1"/>
  <c r="P962" i="1" s="1"/>
  <c r="H950" i="1"/>
  <c r="P950" i="1" s="1"/>
  <c r="H938" i="1"/>
  <c r="P938" i="1" s="1"/>
  <c r="H926" i="1"/>
  <c r="P926" i="1" s="1"/>
  <c r="H914" i="1"/>
  <c r="P914" i="1" s="1"/>
  <c r="H890" i="1"/>
  <c r="P890" i="1" s="1"/>
  <c r="H878" i="1"/>
  <c r="P878" i="1" s="1"/>
  <c r="H866" i="1"/>
  <c r="P866" i="1" s="1"/>
  <c r="H854" i="1"/>
  <c r="P854" i="1" s="1"/>
  <c r="H842" i="1"/>
  <c r="P842" i="1" s="1"/>
  <c r="H830" i="1"/>
  <c r="P830" i="1" s="1"/>
  <c r="H818" i="1"/>
  <c r="P818" i="1" s="1"/>
  <c r="H806" i="1"/>
  <c r="P806" i="1" s="1"/>
  <c r="H794" i="1"/>
  <c r="P794" i="1" s="1"/>
  <c r="H782" i="1"/>
  <c r="P782" i="1" s="1"/>
  <c r="H770" i="1"/>
  <c r="P770" i="1" s="1"/>
  <c r="H758" i="1"/>
  <c r="P758" i="1" s="1"/>
  <c r="H746" i="1"/>
  <c r="P746" i="1" s="1"/>
  <c r="H734" i="1"/>
  <c r="P734" i="1" s="1"/>
  <c r="H722" i="1"/>
  <c r="P722" i="1" s="1"/>
  <c r="H710" i="1"/>
  <c r="P710" i="1" s="1"/>
  <c r="H698" i="1"/>
  <c r="P698" i="1" s="1"/>
  <c r="H686" i="1"/>
  <c r="P686" i="1" s="1"/>
  <c r="H674" i="1"/>
  <c r="P674" i="1" s="1"/>
  <c r="H662" i="1"/>
  <c r="P662" i="1" s="1"/>
  <c r="H650" i="1"/>
  <c r="P650" i="1" s="1"/>
  <c r="H638" i="1"/>
  <c r="P638" i="1" s="1"/>
  <c r="H626" i="1"/>
  <c r="P626" i="1" s="1"/>
  <c r="H614" i="1"/>
  <c r="P614" i="1" s="1"/>
  <c r="H602" i="1"/>
  <c r="P602" i="1" s="1"/>
  <c r="H590" i="1"/>
  <c r="P590" i="1" s="1"/>
  <c r="H578" i="1"/>
  <c r="P578" i="1" s="1"/>
  <c r="H566" i="1"/>
  <c r="P566" i="1" s="1"/>
  <c r="H554" i="1"/>
  <c r="P554" i="1" s="1"/>
  <c r="H530" i="1"/>
  <c r="P530" i="1" s="1"/>
  <c r="H518" i="1"/>
  <c r="P518" i="1" s="1"/>
  <c r="H506" i="1"/>
  <c r="P506" i="1" s="1"/>
  <c r="H494" i="1"/>
  <c r="P494" i="1" s="1"/>
  <c r="H482" i="1"/>
  <c r="P482" i="1" s="1"/>
  <c r="P458" i="1"/>
  <c r="H422" i="1"/>
  <c r="P422" i="1" s="1"/>
  <c r="H410" i="1"/>
  <c r="P410" i="1" s="1"/>
  <c r="H374" i="1"/>
  <c r="P374" i="1" s="1"/>
  <c r="H50" i="1"/>
  <c r="P50" i="1" s="1"/>
  <c r="H38" i="1"/>
  <c r="P38" i="1" s="1"/>
  <c r="H26" i="1"/>
  <c r="P26" i="1" s="1"/>
  <c r="H187" i="1"/>
  <c r="P187" i="1" s="1"/>
  <c r="H403" i="1"/>
  <c r="P403" i="1" s="1"/>
  <c r="H619" i="1"/>
  <c r="P619" i="1" s="1"/>
  <c r="H248" i="1"/>
  <c r="P248" i="1" s="1"/>
  <c r="H464" i="1"/>
  <c r="P464" i="1" s="1"/>
  <c r="H680" i="1"/>
  <c r="P680" i="1" s="1"/>
  <c r="H917" i="1"/>
  <c r="P917" i="1" s="1"/>
  <c r="H486" i="1"/>
  <c r="P486" i="1" s="1"/>
  <c r="H542" i="1"/>
  <c r="P542" i="1" s="1"/>
  <c r="P20" i="1"/>
  <c r="H415" i="1"/>
  <c r="P415" i="1" s="1"/>
  <c r="H655" i="1"/>
  <c r="P655" i="1" s="1"/>
  <c r="H476" i="1"/>
  <c r="P476" i="1" s="1"/>
  <c r="H716" i="1"/>
  <c r="P716" i="1" s="1"/>
  <c r="H19" i="1"/>
  <c r="P19" i="1" s="1"/>
  <c r="H948" i="1"/>
  <c r="P948" i="1" s="1"/>
  <c r="H924" i="1"/>
  <c r="P924" i="1" s="1"/>
  <c r="H876" i="1"/>
  <c r="P876" i="1" s="1"/>
  <c r="H852" i="1"/>
  <c r="P852" i="1" s="1"/>
  <c r="H804" i="1"/>
  <c r="P804" i="1" s="1"/>
  <c r="H780" i="1"/>
  <c r="P780" i="1" s="1"/>
  <c r="H732" i="1"/>
  <c r="P732" i="1" s="1"/>
  <c r="H708" i="1"/>
  <c r="P708" i="1" s="1"/>
  <c r="H660" i="1"/>
  <c r="P660" i="1" s="1"/>
  <c r="H636" i="1"/>
  <c r="P636" i="1" s="1"/>
  <c r="H588" i="1"/>
  <c r="P588" i="1" s="1"/>
  <c r="P564" i="1"/>
  <c r="H516" i="1"/>
  <c r="P516" i="1" s="1"/>
  <c r="H492" i="1"/>
  <c r="P492" i="1" s="1"/>
  <c r="H444" i="1"/>
  <c r="P444" i="1" s="1"/>
  <c r="H372" i="1"/>
  <c r="P372" i="1" s="1"/>
  <c r="H348" i="1"/>
  <c r="P348" i="1" s="1"/>
  <c r="H300" i="1"/>
  <c r="P300" i="1" s="1"/>
  <c r="P276" i="1"/>
  <c r="H228" i="1"/>
  <c r="P228" i="1" s="1"/>
  <c r="H204" i="1"/>
  <c r="P204" i="1" s="1"/>
  <c r="P156" i="1"/>
  <c r="P132" i="1"/>
  <c r="H84" i="1"/>
  <c r="P84" i="1" s="1"/>
  <c r="H60" i="1"/>
  <c r="P60" i="1" s="1"/>
  <c r="H235" i="1"/>
  <c r="P235" i="1" s="1"/>
  <c r="H427" i="1"/>
  <c r="P427" i="1" s="1"/>
  <c r="H667" i="1"/>
  <c r="P667" i="1" s="1"/>
  <c r="H296" i="1"/>
  <c r="P296" i="1" s="1"/>
  <c r="H488" i="1"/>
  <c r="P488" i="1" s="1"/>
  <c r="H728" i="1"/>
  <c r="P728" i="1" s="1"/>
  <c r="H807" i="1"/>
  <c r="P807" i="1" s="1"/>
  <c r="H470" i="1"/>
  <c r="P470" i="1" s="1"/>
  <c r="H18" i="1"/>
  <c r="P18" i="1" s="1"/>
  <c r="H247" i="1"/>
  <c r="P247" i="1" s="1"/>
  <c r="H439" i="1"/>
  <c r="P439" i="1" s="1"/>
  <c r="H679" i="1"/>
  <c r="P679" i="1" s="1"/>
  <c r="H68" i="1"/>
  <c r="P68" i="1" s="1"/>
  <c r="H308" i="1"/>
  <c r="P308" i="1" s="1"/>
  <c r="H500" i="1"/>
  <c r="P500" i="1" s="1"/>
  <c r="H740" i="1"/>
  <c r="P740" i="1" s="1"/>
  <c r="H951" i="1"/>
  <c r="P951" i="1" s="1"/>
  <c r="H811" i="1"/>
  <c r="P811" i="1" s="1"/>
  <c r="H17" i="1"/>
  <c r="P17" i="1" s="1"/>
  <c r="H982" i="1"/>
  <c r="P982" i="1" s="1"/>
  <c r="H970" i="1"/>
  <c r="P970" i="1" s="1"/>
  <c r="H958" i="1"/>
  <c r="P958" i="1" s="1"/>
  <c r="P946" i="1"/>
  <c r="H934" i="1"/>
  <c r="P934" i="1" s="1"/>
  <c r="H922" i="1"/>
  <c r="P922" i="1" s="1"/>
  <c r="H910" i="1"/>
  <c r="P910" i="1" s="1"/>
  <c r="H898" i="1"/>
  <c r="P898" i="1" s="1"/>
  <c r="H886" i="1"/>
  <c r="P886" i="1" s="1"/>
  <c r="H874" i="1"/>
  <c r="P874" i="1" s="1"/>
  <c r="H862" i="1"/>
  <c r="P862" i="1" s="1"/>
  <c r="H850" i="1"/>
  <c r="P850" i="1" s="1"/>
  <c r="H838" i="1"/>
  <c r="P838" i="1" s="1"/>
  <c r="H826" i="1"/>
  <c r="P826" i="1" s="1"/>
  <c r="H814" i="1"/>
  <c r="P814" i="1" s="1"/>
  <c r="P802" i="1"/>
  <c r="H790" i="1"/>
  <c r="P790" i="1" s="1"/>
  <c r="H778" i="1"/>
  <c r="P778" i="1" s="1"/>
  <c r="H766" i="1"/>
  <c r="P766" i="1" s="1"/>
  <c r="P754" i="1"/>
  <c r="P742" i="1"/>
  <c r="P730" i="1"/>
  <c r="P718" i="1"/>
  <c r="P706" i="1"/>
  <c r="P694" i="1"/>
  <c r="P682" i="1"/>
  <c r="H670" i="1"/>
  <c r="P670" i="1" s="1"/>
  <c r="H658" i="1"/>
  <c r="P658" i="1" s="1"/>
  <c r="P646" i="1"/>
  <c r="H634" i="1"/>
  <c r="P634" i="1" s="1"/>
  <c r="H622" i="1"/>
  <c r="P622" i="1" s="1"/>
  <c r="P610" i="1"/>
  <c r="P598" i="1"/>
  <c r="P586" i="1"/>
  <c r="P562" i="1"/>
  <c r="P550" i="1"/>
  <c r="P538" i="1"/>
  <c r="H526" i="1"/>
  <c r="P526" i="1" s="1"/>
  <c r="H514" i="1"/>
  <c r="P514" i="1" s="1"/>
  <c r="P502" i="1"/>
  <c r="H490" i="1"/>
  <c r="P490" i="1" s="1"/>
  <c r="H478" i="1"/>
  <c r="P478" i="1" s="1"/>
  <c r="P466" i="1"/>
  <c r="P454" i="1"/>
  <c r="P442" i="1"/>
  <c r="P430" i="1"/>
  <c r="P418" i="1"/>
  <c r="P406" i="1"/>
  <c r="P394" i="1"/>
  <c r="H382" i="1"/>
  <c r="P382" i="1" s="1"/>
  <c r="H370" i="1"/>
  <c r="P370" i="1" s="1"/>
  <c r="H346" i="1"/>
  <c r="P346" i="1" s="1"/>
  <c r="H334" i="1"/>
  <c r="P334" i="1" s="1"/>
  <c r="P322" i="1"/>
  <c r="P310" i="1"/>
  <c r="P298" i="1"/>
  <c r="P286" i="1"/>
  <c r="P274" i="1"/>
  <c r="P262" i="1"/>
  <c r="P250" i="1"/>
  <c r="H238" i="1"/>
  <c r="P238" i="1" s="1"/>
  <c r="H226" i="1"/>
  <c r="P226" i="1" s="1"/>
  <c r="P214" i="1"/>
  <c r="H202" i="1"/>
  <c r="P202" i="1" s="1"/>
  <c r="H190" i="1"/>
  <c r="P190" i="1" s="1"/>
  <c r="P178" i="1"/>
  <c r="P166" i="1"/>
  <c r="P154" i="1"/>
  <c r="P130" i="1"/>
  <c r="P118" i="1"/>
  <c r="P106" i="1"/>
  <c r="H94" i="1"/>
  <c r="P94" i="1" s="1"/>
  <c r="H82" i="1"/>
  <c r="P82" i="1" s="1"/>
  <c r="P70" i="1"/>
  <c r="H58" i="1"/>
  <c r="P58" i="1" s="1"/>
  <c r="P34" i="1"/>
  <c r="P22" i="1"/>
  <c r="H259" i="1"/>
  <c r="P259" i="1" s="1"/>
  <c r="H475" i="1"/>
  <c r="P475" i="1" s="1"/>
  <c r="H691" i="1"/>
  <c r="P691" i="1" s="1"/>
  <c r="H104" i="1"/>
  <c r="P104" i="1" s="1"/>
  <c r="H320" i="1"/>
  <c r="P320" i="1" s="1"/>
  <c r="H536" i="1"/>
  <c r="P536" i="1" s="1"/>
  <c r="H752" i="1"/>
  <c r="P752" i="1" s="1"/>
  <c r="H142" i="1"/>
  <c r="P142" i="1" s="1"/>
  <c r="H358" i="1"/>
  <c r="P358" i="1" s="1"/>
  <c r="H574" i="1"/>
  <c r="P574" i="1" s="1"/>
  <c r="H420" i="1"/>
  <c r="P420" i="1" s="1"/>
  <c r="H902" i="1"/>
  <c r="P902" i="1" s="1"/>
  <c r="H955" i="1"/>
  <c r="P955" i="1" s="1"/>
  <c r="P56" i="1"/>
  <c r="P44" i="1"/>
  <c r="H23" i="1"/>
  <c r="P23" i="1" s="1"/>
  <c r="P43" i="1"/>
  <c r="H67" i="1"/>
  <c r="P67" i="1" s="1"/>
  <c r="P16" i="1"/>
  <c r="P933" i="1"/>
  <c r="P861" i="1"/>
  <c r="P789" i="1"/>
  <c r="P705" i="1"/>
  <c r="P609" i="1"/>
  <c r="P549" i="1"/>
  <c r="P489" i="1"/>
  <c r="P441" i="1"/>
  <c r="P393" i="1"/>
  <c r="P369" i="1"/>
  <c r="P309" i="1"/>
  <c r="P297" i="1"/>
  <c r="P285" i="1"/>
  <c r="P273" i="1"/>
  <c r="P261" i="1"/>
  <c r="P249" i="1"/>
  <c r="P237" i="1"/>
  <c r="P225" i="1"/>
  <c r="P213" i="1"/>
  <c r="P201" i="1"/>
  <c r="P189" i="1"/>
  <c r="P141" i="1"/>
  <c r="P81" i="1"/>
  <c r="P69" i="1"/>
  <c r="P33" i="1"/>
  <c r="P15" i="1"/>
  <c r="P957" i="1"/>
  <c r="P897" i="1"/>
  <c r="P825" i="1"/>
  <c r="P741" i="1"/>
  <c r="P621" i="1"/>
  <c r="P537" i="1"/>
  <c r="P453" i="1"/>
  <c r="P345" i="1"/>
  <c r="P57" i="1"/>
  <c r="P55" i="1"/>
  <c r="P906" i="1"/>
  <c r="P870" i="1"/>
  <c r="P858" i="1"/>
  <c r="P834" i="1"/>
  <c r="P798" i="1"/>
  <c r="P786" i="1"/>
  <c r="P762" i="1"/>
  <c r="P726" i="1"/>
  <c r="P714" i="1"/>
  <c r="P690" i="1"/>
  <c r="P654" i="1"/>
  <c r="P642" i="1"/>
  <c r="P618" i="1"/>
  <c r="P582" i="1"/>
  <c r="P570" i="1"/>
  <c r="P546" i="1"/>
  <c r="P510" i="1"/>
  <c r="P498" i="1"/>
  <c r="P474" i="1"/>
  <c r="P426" i="1"/>
  <c r="P402" i="1"/>
  <c r="P354" i="1"/>
  <c r="P330" i="1"/>
  <c r="P282" i="1"/>
  <c r="P258" i="1"/>
  <c r="P210" i="1"/>
  <c r="P681" i="1"/>
  <c r="P105" i="1"/>
  <c r="P942" i="1"/>
  <c r="P12" i="1"/>
  <c r="P41" i="1"/>
  <c r="P969" i="1"/>
  <c r="P885" i="1"/>
  <c r="P813" i="1"/>
  <c r="P753" i="1"/>
  <c r="P633" i="1"/>
  <c r="P573" i="1"/>
  <c r="P525" i="1"/>
  <c r="P477" i="1"/>
  <c r="P405" i="1"/>
  <c r="P333" i="1"/>
  <c r="P177" i="1"/>
  <c r="P978" i="1"/>
  <c r="P930" i="1"/>
  <c r="P2" i="1"/>
  <c r="P11" i="1"/>
  <c r="P988" i="1"/>
  <c r="P976" i="1"/>
  <c r="P964" i="1"/>
  <c r="P940" i="1"/>
  <c r="P928" i="1"/>
  <c r="P916" i="1"/>
  <c r="P904" i="1"/>
  <c r="P892" i="1"/>
  <c r="P868" i="1"/>
  <c r="P856" i="1"/>
  <c r="P844" i="1"/>
  <c r="P832" i="1"/>
  <c r="P820" i="1"/>
  <c r="P796" i="1"/>
  <c r="P784" i="1"/>
  <c r="P772" i="1"/>
  <c r="P760" i="1"/>
  <c r="P748" i="1"/>
  <c r="P724" i="1"/>
  <c r="P712" i="1"/>
  <c r="P700" i="1"/>
  <c r="P688" i="1"/>
  <c r="P676" i="1"/>
  <c r="P652" i="1"/>
  <c r="P640" i="1"/>
  <c r="P628" i="1"/>
  <c r="P616" i="1"/>
  <c r="P604" i="1"/>
  <c r="P580" i="1"/>
  <c r="P568" i="1"/>
  <c r="P556" i="1"/>
  <c r="P544" i="1"/>
  <c r="P532" i="1"/>
  <c r="P508" i="1"/>
  <c r="P496" i="1"/>
  <c r="P484" i="1"/>
  <c r="P472" i="1"/>
  <c r="P460" i="1"/>
  <c r="P436" i="1"/>
  <c r="P424" i="1"/>
  <c r="P412" i="1"/>
  <c r="P400" i="1"/>
  <c r="P388" i="1"/>
  <c r="P364" i="1"/>
  <c r="P352" i="1"/>
  <c r="P340" i="1"/>
  <c r="P328" i="1"/>
  <c r="P316" i="1"/>
  <c r="P292" i="1"/>
  <c r="P280" i="1"/>
  <c r="P268" i="1"/>
  <c r="P256" i="1"/>
  <c r="P244" i="1"/>
  <c r="P220" i="1"/>
  <c r="P208" i="1"/>
  <c r="P196" i="1"/>
  <c r="P184" i="1"/>
  <c r="P172" i="1"/>
  <c r="P148" i="1"/>
  <c r="P136" i="1"/>
  <c r="P124" i="1"/>
  <c r="P112" i="1"/>
  <c r="P100" i="1"/>
  <c r="P76" i="1"/>
  <c r="P64" i="1"/>
  <c r="P52" i="1"/>
  <c r="P40" i="1"/>
  <c r="P28" i="1"/>
  <c r="P921" i="1"/>
  <c r="P837" i="1"/>
  <c r="P765" i="1"/>
  <c r="P645" i="1"/>
  <c r="P561" i="1"/>
  <c r="P465" i="1"/>
  <c r="P357" i="1"/>
  <c r="P45" i="1"/>
  <c r="P13" i="1"/>
  <c r="P10" i="1"/>
  <c r="P939" i="1"/>
  <c r="P927" i="1"/>
  <c r="P867" i="1"/>
  <c r="P855" i="1"/>
  <c r="P795" i="1"/>
  <c r="P783" i="1"/>
  <c r="P723" i="1"/>
  <c r="P711" i="1"/>
  <c r="P651" i="1"/>
  <c r="P639" i="1"/>
  <c r="P579" i="1"/>
  <c r="P567" i="1"/>
  <c r="P507" i="1"/>
  <c r="P495" i="1"/>
  <c r="P435" i="1"/>
  <c r="P423" i="1"/>
  <c r="P363" i="1"/>
  <c r="P351" i="1"/>
  <c r="P291" i="1"/>
  <c r="P279" i="1"/>
  <c r="P219" i="1"/>
  <c r="P207" i="1"/>
  <c r="P147" i="1"/>
  <c r="P135" i="1"/>
  <c r="P75" i="1"/>
  <c r="P63" i="1"/>
  <c r="P51" i="1"/>
  <c r="P39" i="1"/>
  <c r="P945" i="1"/>
  <c r="P873" i="1"/>
  <c r="P801" i="1"/>
  <c r="P693" i="1"/>
  <c r="P597" i="1"/>
  <c r="P513" i="1"/>
  <c r="P429" i="1"/>
  <c r="P381" i="1"/>
  <c r="P153" i="1"/>
  <c r="P9" i="1"/>
  <c r="P717" i="1"/>
  <c r="P117" i="1"/>
  <c r="P8" i="1"/>
  <c r="P985" i="1"/>
  <c r="P973" i="1"/>
  <c r="P961" i="1"/>
  <c r="P937" i="1"/>
  <c r="P925" i="1"/>
  <c r="P913" i="1"/>
  <c r="P901" i="1"/>
  <c r="P889" i="1"/>
  <c r="P865" i="1"/>
  <c r="P853" i="1"/>
  <c r="P841" i="1"/>
  <c r="P829" i="1"/>
  <c r="P817" i="1"/>
  <c r="P793" i="1"/>
  <c r="P781" i="1"/>
  <c r="P769" i="1"/>
  <c r="P757" i="1"/>
  <c r="P745" i="1"/>
  <c r="P721" i="1"/>
  <c r="P709" i="1"/>
  <c r="P697" i="1"/>
  <c r="P685" i="1"/>
  <c r="P673" i="1"/>
  <c r="P649" i="1"/>
  <c r="P637" i="1"/>
  <c r="P625" i="1"/>
  <c r="P613" i="1"/>
  <c r="P601" i="1"/>
  <c r="P577" i="1"/>
  <c r="P565" i="1"/>
  <c r="P553" i="1"/>
  <c r="P541" i="1"/>
  <c r="P529" i="1"/>
  <c r="P505" i="1"/>
  <c r="P493" i="1"/>
  <c r="P481" i="1"/>
  <c r="P469" i="1"/>
  <c r="P457" i="1"/>
  <c r="P433" i="1"/>
  <c r="P421" i="1"/>
  <c r="P409" i="1"/>
  <c r="P397" i="1"/>
  <c r="P385" i="1"/>
  <c r="P361" i="1"/>
  <c r="P349" i="1"/>
  <c r="P337" i="1"/>
  <c r="P325" i="1"/>
  <c r="P313" i="1"/>
  <c r="P289" i="1"/>
  <c r="P277" i="1"/>
  <c r="P265" i="1"/>
  <c r="P253" i="1"/>
  <c r="P241" i="1"/>
  <c r="P217" i="1"/>
  <c r="P205" i="1"/>
  <c r="P193" i="1"/>
  <c r="P181" i="1"/>
  <c r="P169" i="1"/>
  <c r="P145" i="1"/>
  <c r="P133" i="1"/>
  <c r="P121" i="1"/>
  <c r="P109" i="1"/>
  <c r="P97" i="1"/>
  <c r="P73" i="1"/>
  <c r="P61" i="1"/>
  <c r="P49" i="1"/>
  <c r="P37" i="1"/>
  <c r="P25" i="1"/>
  <c r="P981" i="1"/>
  <c r="P909" i="1"/>
  <c r="P849" i="1"/>
  <c r="P777" i="1"/>
  <c r="P657" i="1"/>
  <c r="P585" i="1"/>
  <c r="P501" i="1"/>
  <c r="P417" i="1"/>
  <c r="P321" i="1"/>
  <c r="P165" i="1"/>
  <c r="P7" i="1"/>
  <c r="P984" i="1"/>
  <c r="P972" i="1"/>
  <c r="P960" i="1"/>
  <c r="P936" i="1"/>
  <c r="P912" i="1"/>
  <c r="P900" i="1"/>
  <c r="P888" i="1"/>
  <c r="P864" i="1"/>
  <c r="P840" i="1"/>
  <c r="P828" i="1"/>
  <c r="P816" i="1"/>
  <c r="P792" i="1"/>
  <c r="P768" i="1"/>
  <c r="P756" i="1"/>
  <c r="P744" i="1"/>
  <c r="P720" i="1"/>
  <c r="P696" i="1"/>
  <c r="P684" i="1"/>
  <c r="P672" i="1"/>
  <c r="P648" i="1"/>
  <c r="P624" i="1"/>
  <c r="P612" i="1"/>
  <c r="P600" i="1"/>
  <c r="P576" i="1"/>
  <c r="P552" i="1"/>
  <c r="P540" i="1"/>
  <c r="P528" i="1"/>
  <c r="P504" i="1"/>
  <c r="P480" i="1"/>
  <c r="P468" i="1"/>
  <c r="P456" i="1"/>
  <c r="P432" i="1"/>
  <c r="P408" i="1"/>
  <c r="P396" i="1"/>
  <c r="P384" i="1"/>
  <c r="P360" i="1"/>
  <c r="P336" i="1"/>
  <c r="P324" i="1"/>
  <c r="P312" i="1"/>
  <c r="P288" i="1"/>
  <c r="P264" i="1"/>
  <c r="P252" i="1"/>
  <c r="P240" i="1"/>
  <c r="P216" i="1"/>
  <c r="P192" i="1"/>
  <c r="P180" i="1"/>
  <c r="P168" i="1"/>
  <c r="P144" i="1"/>
  <c r="P120" i="1"/>
  <c r="P108" i="1"/>
  <c r="P96" i="1"/>
  <c r="P72" i="1"/>
  <c r="P48" i="1"/>
  <c r="P36" i="1"/>
  <c r="P24" i="1"/>
  <c r="P729" i="1"/>
  <c r="P93" i="1"/>
  <c r="P6" i="1"/>
  <c r="P983" i="1"/>
  <c r="P971" i="1"/>
  <c r="P959" i="1"/>
  <c r="P947" i="1"/>
  <c r="P935" i="1"/>
  <c r="P923" i="1"/>
  <c r="P911" i="1"/>
  <c r="P899" i="1"/>
  <c r="P887" i="1"/>
  <c r="P875" i="1"/>
  <c r="P863" i="1"/>
  <c r="P851" i="1"/>
  <c r="P839" i="1"/>
  <c r="P827" i="1"/>
  <c r="P815" i="1"/>
  <c r="P803" i="1"/>
  <c r="P791" i="1"/>
  <c r="P779" i="1"/>
  <c r="P767" i="1"/>
  <c r="P755" i="1"/>
  <c r="P743" i="1"/>
  <c r="P731" i="1"/>
  <c r="P719" i="1"/>
  <c r="P707" i="1"/>
  <c r="P695" i="1"/>
  <c r="P683" i="1"/>
  <c r="P671" i="1"/>
  <c r="P659" i="1"/>
  <c r="P647" i="1"/>
  <c r="P635" i="1"/>
  <c r="P623" i="1"/>
  <c r="P611" i="1"/>
  <c r="P599" i="1"/>
  <c r="P587" i="1"/>
  <c r="P575" i="1"/>
  <c r="P563" i="1"/>
  <c r="P551" i="1"/>
  <c r="P539" i="1"/>
  <c r="P527" i="1"/>
  <c r="P515" i="1"/>
  <c r="P503" i="1"/>
  <c r="P491" i="1"/>
  <c r="P479" i="1"/>
  <c r="P467" i="1"/>
  <c r="P455" i="1"/>
  <c r="P443" i="1"/>
  <c r="P431" i="1"/>
  <c r="P419" i="1"/>
  <c r="P407" i="1"/>
  <c r="P395" i="1"/>
  <c r="P383" i="1"/>
  <c r="P371" i="1"/>
  <c r="P359" i="1"/>
  <c r="P347" i="1"/>
  <c r="P335" i="1"/>
  <c r="P323" i="1"/>
  <c r="P311" i="1"/>
  <c r="P299" i="1"/>
  <c r="P287" i="1"/>
  <c r="P275" i="1"/>
  <c r="P263" i="1"/>
  <c r="P251" i="1"/>
  <c r="P239" i="1"/>
  <c r="P227" i="1"/>
  <c r="P215" i="1"/>
  <c r="P203" i="1"/>
  <c r="P191" i="1"/>
  <c r="P179" i="1"/>
  <c r="P167" i="1"/>
  <c r="P155" i="1"/>
  <c r="P143" i="1"/>
  <c r="P131" i="1"/>
  <c r="P119" i="1"/>
  <c r="P107" i="1"/>
  <c r="P95" i="1"/>
  <c r="P83" i="1"/>
  <c r="P71" i="1"/>
  <c r="P59" i="1"/>
  <c r="P47" i="1"/>
  <c r="P35" i="1"/>
  <c r="P669" i="1"/>
  <c r="P129" i="1"/>
  <c r="P5" i="1"/>
</calcChain>
</file>

<file path=xl/sharedStrings.xml><?xml version="1.0" encoding="utf-8"?>
<sst xmlns="http://schemas.openxmlformats.org/spreadsheetml/2006/main" count="7046" uniqueCount="695">
  <si>
    <t>Country</t>
  </si>
  <si>
    <t>Region</t>
  </si>
  <si>
    <t>Year</t>
  </si>
  <si>
    <t>Event Type</t>
  </si>
  <si>
    <t>Population</t>
  </si>
  <si>
    <t>Key Event</t>
  </si>
  <si>
    <t>Primary Source</t>
  </si>
  <si>
    <t>Secondary Source</t>
  </si>
  <si>
    <t>Missing Flag</t>
  </si>
  <si>
    <t>United States</t>
  </si>
  <si>
    <t>North America</t>
  </si>
  <si>
    <t>Armed Conflict</t>
  </si>
  <si>
    <t>NA</t>
  </si>
  <si>
    <t>Low-level militia/extremist incidents</t>
  </si>
  <si>
    <t>CFR Global Conflict Tracker</t>
  </si>
  <si>
    <t>ACLED</t>
  </si>
  <si>
    <t>NA_Incidents | NA_Deaths</t>
  </si>
  <si>
    <t>Political Repression</t>
  </si>
  <si>
    <t>Ferguson protests; police use-of-force incidents</t>
  </si>
  <si>
    <t>ACLED 2025</t>
  </si>
  <si>
    <t>Communal Violence</t>
  </si>
  <si>
    <t>San Bernardino; Charleston church shooting</t>
  </si>
  <si>
    <t>GBD 2019</t>
  </si>
  <si>
    <t>Terrorism</t>
  </si>
  <si>
    <t>Domestic extremist incidents</t>
  </si>
  <si>
    <t>GTI 2025</t>
  </si>
  <si>
    <t>Forced Displacement</t>
  </si>
  <si>
    <t>Internal displacement minimal; border asylum seekers</t>
  </si>
  <si>
    <t>UNHCR</t>
  </si>
  <si>
    <t>OWID</t>
  </si>
  <si>
    <t>Disaster (Trauma-Linked)</t>
  </si>
  <si>
    <t>Severe storms; wildfires</t>
  </si>
  <si>
    <t>FEMA / OWID</t>
  </si>
  <si>
    <t>WHO</t>
  </si>
  <si>
    <t>Standing Rock protests; police incidents</t>
  </si>
  <si>
    <t>Orlando Pulse; Dallas police shooting</t>
  </si>
  <si>
    <t>Orlando classified terrorism; domestic plots</t>
  </si>
  <si>
    <t>Louisiana flooding; Hurricane Matthew</t>
  </si>
  <si>
    <t>Charlottesville; travel ban protests</t>
  </si>
  <si>
    <t>Las Vegas massacre; Sutherland Springs</t>
  </si>
  <si>
    <t>NYC truck attack; Charlottesville vehicle attack</t>
  </si>
  <si>
    <t>Hurricanes Harvey/Irma/Maria; California wildfires</t>
  </si>
  <si>
    <t>Immigration detention protests; family separation</t>
  </si>
  <si>
    <t>Parkland; Pittsburgh synagogue shooting</t>
  </si>
  <si>
    <t>Pipe bombs; synagogue attack with terrorism classification</t>
  </si>
  <si>
    <t>Camp Fire (Paradise CA); Hurricane Florence</t>
  </si>
  <si>
    <t>Hong Kong solidarity; Epstein protests</t>
  </si>
  <si>
    <t>El Paso; Dayton mass shootings</t>
  </si>
  <si>
    <t>Domestic right-wing terrorism incidents</t>
  </si>
  <si>
    <t>Midwest flooding; tornado outbreaks</t>
  </si>
  <si>
    <t>George Floyd / BLM protests; federal crackdown</t>
  </si>
  <si>
    <t>UCDP</t>
  </si>
  <si>
    <t>COVID-linked hate crimes; increased gun violence</t>
  </si>
  <si>
    <t>Boogaloo; militia plots during BLM period</t>
  </si>
  <si>
    <t>Record wildfire season; Hurricane Laura</t>
  </si>
  <si>
    <t>Jan 6 Capitol attack; post-election unrest</t>
  </si>
  <si>
    <t>Atlanta spa; Boulder; surge in mass shootings</t>
  </si>
  <si>
    <t>Jan 6 classified terrorism by some agencies; domestic plots</t>
  </si>
  <si>
    <t>Texas freeze; Hurricane Ida; western wildfires</t>
  </si>
  <si>
    <t>Dobbs decision protests; ongoing political unrest</t>
  </si>
  <si>
    <t>Uvalde; Buffalo supermarket; Club Q</t>
  </si>
  <si>
    <t>Right-wing and anarchist domestic terrorism</t>
  </si>
  <si>
    <t>Hurricane Ian; Kentucky floods</t>
  </si>
  <si>
    <t>Protest crackdowns; university demonstrations</t>
  </si>
  <si>
    <t>Nashville; Lewiston; ongoing mass shooting wave</t>
  </si>
  <si>
    <t>Domestic extremism incidents</t>
  </si>
  <si>
    <t>Maui wildfires; severe storms</t>
  </si>
  <si>
    <t>Election-related unrest; Gaza solidarity protests</t>
  </si>
  <si>
    <t>Ongoing mass shooting incidents</t>
  </si>
  <si>
    <t>Election-adjacent extremist incidents</t>
  </si>
  <si>
    <t>Hurricane Helene; ongoing severe weather</t>
  </si>
  <si>
    <t>Deportation protests; federal policy unrest</t>
  </si>
  <si>
    <t>Ongoing gun violence events</t>
  </si>
  <si>
    <t>Domestic terrorism incidents</t>
  </si>
  <si>
    <t>Ongoing severe weather events</t>
  </si>
  <si>
    <t>Nigeria</t>
  </si>
  <si>
    <t>Sub-Saharan Africa</t>
  </si>
  <si>
    <t>Boko Haram NE Nigeria; military offensive</t>
  </si>
  <si>
    <t>UCDP BRD</t>
  </si>
  <si>
    <t>State repression; #EndSARS 2020 peak</t>
  </si>
  <si>
    <t>Farmer-herder clashes; ethnic violence Middle Belt</t>
  </si>
  <si>
    <t>Boko Haram/ISWAP IED; suicide bombings</t>
  </si>
  <si>
    <t>3M+ IDPs NE Nigeria (UNHCR)</t>
  </si>
  <si>
    <t>OCHA</t>
  </si>
  <si>
    <t>Annual flooding; Benue River floods</t>
  </si>
  <si>
    <t>Boko Haram continued; Lake Chad basin</t>
  </si>
  <si>
    <t>Boko Haram/ISWAP split; NE Nigeria</t>
  </si>
  <si>
    <t>ISWAP rise; Boko Haram rural attacks</t>
  </si>
  <si>
    <t>ISWAP offensive; military losses; NE crisis</t>
  </si>
  <si>
    <t>ISWAP peak attacks; COVID restrictions compound</t>
  </si>
  <si>
    <t>#EndSARS protests; Lekki Toll Gate shooting</t>
  </si>
  <si>
    <t>ISWAP/Boko Haram; bandits NW Nigeria</t>
  </si>
  <si>
    <t>NW banditry surge; NE ISWAP ongoing</t>
  </si>
  <si>
    <t>Continued NW/NE armed conflict</t>
  </si>
  <si>
    <t>NE/NW conflict; humanitarian crisis</t>
  </si>
  <si>
    <t>Ongoing NE/NW conflict</t>
  </si>
  <si>
    <t>Rwanda</t>
  </si>
  <si>
    <t>Low-level insurgency; DRC border tension</t>
  </si>
  <si>
    <t>RPF political control; opposition suppression</t>
  </si>
  <si>
    <t>CFR</t>
  </si>
  <si>
    <t>Low-level communal incidents</t>
  </si>
  <si>
    <t>Minimal terrorism incidents</t>
  </si>
  <si>
    <t>DRC refugee influx; historical IDP residual</t>
  </si>
  <si>
    <t>Landslides; flooding; seasonal disasters</t>
  </si>
  <si>
    <t>M23 support allegations; DRC-Rwanda tension</t>
  </si>
  <si>
    <t>Continued DRC border; RDF operations in DRC</t>
  </si>
  <si>
    <t>RDF in eastern DRC; Goma offensive support</t>
  </si>
  <si>
    <t>Ongoing DRC involvement</t>
  </si>
  <si>
    <t>South Africa</t>
  </si>
  <si>
    <t>No active armed conflict</t>
  </si>
  <si>
    <t>Service delivery protests; state response</t>
  </si>
  <si>
    <t>High homicide rate; gang violence; GBV</t>
  </si>
  <si>
    <t>Isolated extremist incidents</t>
  </si>
  <si>
    <t>Xenophobic displacement; refugee flows</t>
  </si>
  <si>
    <t>Floods; drought; KZN floods 2022 peak</t>
  </si>
  <si>
    <t>July 2021 unrest; Zuma arrest riots; looting</t>
  </si>
  <si>
    <t>KwaZulu-Natal floods; deadliest in decades</t>
  </si>
  <si>
    <t>Iran</t>
  </si>
  <si>
    <t>Middle East &amp; North Africa</t>
  </si>
  <si>
    <t>Kurdish insurgency; border skirmishes; proxy ops</t>
  </si>
  <si>
    <t>Post-nuclear deal; political prisoners</t>
  </si>
  <si>
    <t>Ethnic/sectarian incidents; Baloch Sistan</t>
  </si>
  <si>
    <t>IRGC targets; MEK; Baloch attacks</t>
  </si>
  <si>
    <t>Afghan refugee hosting; internal minimal</t>
  </si>
  <si>
    <t>Earthquakes; floods; drought</t>
  </si>
  <si>
    <t>Election restrictions; activist arrests</t>
  </si>
  <si>
    <t>Dec 2017 protests; crackdown</t>
  </si>
  <si>
    <t>Economic protest crackdowns; Ahvaz protests</t>
  </si>
  <si>
    <t>Nov 2019 fuel protests; ~1,500 killed (Amnesty)</t>
  </si>
  <si>
    <t>Amnesty International</t>
  </si>
  <si>
    <t>COVID; Soleimani protests; election boycott</t>
  </si>
  <si>
    <t>Khuzestan water protests</t>
  </si>
  <si>
    <t>Mahsa Amini/Woman Life Freedom uprising</t>
  </si>
  <si>
    <t>Continued Women Life Freedom crackdown</t>
  </si>
  <si>
    <t>Post-Amini repression; executions surge</t>
  </si>
  <si>
    <t>Ongoing dissent suppression</t>
  </si>
  <si>
    <t>China</t>
  </si>
  <si>
    <t>East Asia &amp; Pacific</t>
  </si>
  <si>
    <t>No active interstate war</t>
  </si>
  <si>
    <t>709 lawyer crackdown; Tibetan/Uyghur repression</t>
  </si>
  <si>
    <t>Ethnic violence Xinjiang; urban incidents</t>
  </si>
  <si>
    <t>Xinjiang-linked attacks; isolated incidents</t>
  </si>
  <si>
    <t>Internal displacement; Uyghur detentions</t>
  </si>
  <si>
    <t>UN OHCHR</t>
  </si>
  <si>
    <t>Annual floods; earthquakes; typhoons</t>
  </si>
  <si>
    <t>Labor strikes; Hong Kong booksellers</t>
  </si>
  <si>
    <t>Xinjiang mass detention begins; Party Congress</t>
  </si>
  <si>
    <t>Xinjiang camps expand (~1M+); term limits</t>
  </si>
  <si>
    <t>CFR / UN OHCHR</t>
  </si>
  <si>
    <t>Hong Kong protests; Xinjiang ongoing</t>
  </si>
  <si>
    <t>HK National Security Law; COVID silencing</t>
  </si>
  <si>
    <t>HK crackdown; Uyghur genocide recognition</t>
  </si>
  <si>
    <t>Zero-COVID lockdowns; Urumqi fire protests</t>
  </si>
  <si>
    <t>Post-COVID; ongoing Xinjiang; HK trials</t>
  </si>
  <si>
    <t>Continued repression; espionage laws</t>
  </si>
  <si>
    <t>Ongoing political repression</t>
  </si>
  <si>
    <t>India</t>
  </si>
  <si>
    <t>South Asia</t>
  </si>
  <si>
    <t>Kashmir insurgency; Maoist/Naxalite conflict; NE insurgencies</t>
  </si>
  <si>
    <t>CAA protests 2019-20; press freedom crackdown; sedition laws</t>
  </si>
  <si>
    <t>Hindu-Muslim communal violence; caste violence</t>
  </si>
  <si>
    <t>Kashmir; Maoist IEDs; NE militant attacks</t>
  </si>
  <si>
    <t>Kashmir IDP; NE displacement; CAA-linked</t>
  </si>
  <si>
    <t>IDMC</t>
  </si>
  <si>
    <t>Cyclones; floods; heatwaves; earthquakes</t>
  </si>
  <si>
    <t>CAA passage; NRC; Kashmir Article 370 revocation</t>
  </si>
  <si>
    <t>CAA/NRC protests; Delhi riots; COVID enforcement</t>
  </si>
  <si>
    <t>Pakistan</t>
  </si>
  <si>
    <t>TTP; FATA/KP operations; Baloch insurgency</t>
  </si>
  <si>
    <t>PTI crackdowns; press restrictions; enforced disappearances</t>
  </si>
  <si>
    <t>Sectarian Shia-Sunni; Ahmadi persecution; blasphemy violence</t>
  </si>
  <si>
    <t>TTP; Lashkar-e-Jhangvi; Baloch Liberation Army</t>
  </si>
  <si>
    <t>Afghan refugee hosting; TTP-displaced Pashtun</t>
  </si>
  <si>
    <t>Annual flooding; earthquakes; monsoon disasters</t>
  </si>
  <si>
    <t>Catastrophic Pakistan floods; 1/3 of country submerged</t>
  </si>
  <si>
    <t>PTI Imran Khan arrest; May 9 protests crackdown</t>
  </si>
  <si>
    <t>PTI election protest crackdowns; media censorship</t>
  </si>
  <si>
    <t>Israel</t>
  </si>
  <si>
    <t>Gaza operations; West Bank military actions; Hezbollah skirmishes</t>
  </si>
  <si>
    <t>Judicial overhaul protests; occupation enforcement</t>
  </si>
  <si>
    <t>Jewish-Arab intercommunal violence; settler attacks</t>
  </si>
  <si>
    <t>Hamas rockets; West Bank attacks; stabbing intifada</t>
  </si>
  <si>
    <t>Internal displacement northern Israel (Hezbollah); 2023 surge</t>
  </si>
  <si>
    <t>Minimal natural disasters</t>
  </si>
  <si>
    <t>Oct 7 Hamas attack (1,200 killed); Gaza war launch</t>
  </si>
  <si>
    <t>Ongoing Gaza war; Hezbollah northern front; IDF operations</t>
  </si>
  <si>
    <t>Ceasefire phases; continued operations</t>
  </si>
  <si>
    <t>Ukraine</t>
  </si>
  <si>
    <t>Europe &amp; Central Asia</t>
  </si>
  <si>
    <t>Donbas war; Minsk I implementation; Debaltseve</t>
  </si>
  <si>
    <t>Wartime restrictions; martial law</t>
  </si>
  <si>
    <t>Wartime stress incidents; minimal pre-war</t>
  </si>
  <si>
    <t>Russian strikes classified as terrorism; sabotage</t>
  </si>
  <si>
    <t>Donbas IDPs; pre-invasion displacement</t>
  </si>
  <si>
    <t>Flooding; industrial accidents (war-exacerbated)</t>
  </si>
  <si>
    <t>Donbas low-intensity; ceasefire violations</t>
  </si>
  <si>
    <t>Avdiivka flare-up; Donbas ongoing</t>
  </si>
  <si>
    <t>Donbas continued; Kerch Strait incident</t>
  </si>
  <si>
    <t>Donbas; Zelensky election; prisoner exchange</t>
  </si>
  <si>
    <t>Donbas; Minsk ceasefire attempts</t>
  </si>
  <si>
    <t>Russian buildup; Donbas escalation</t>
  </si>
  <si>
    <t>Full-scale Russian invasion; Mariupol; Bucha</t>
  </si>
  <si>
    <t>8M+ external refugees; 8M+ IDPs (UNHCR)</t>
  </si>
  <si>
    <t>Counteroffensive; Bakhmut; Russian missile strikes</t>
  </si>
  <si>
    <t>6.5M refugees abroad; continued displacement</t>
  </si>
  <si>
    <t>Avdiivka fall; Kharkiv offensive; drone war</t>
  </si>
  <si>
    <t>Ongoing displacement; some return</t>
  </si>
  <si>
    <t>Ongoing war; ceasefire negotiations</t>
  </si>
  <si>
    <t>Continued displacement</t>
  </si>
  <si>
    <t>Palestine</t>
  </si>
  <si>
    <t>Knife intifada begins; West Bank clashes; Gaza blockade</t>
  </si>
  <si>
    <t>PA/Hamas political repression; West Bank detention</t>
  </si>
  <si>
    <t>Settler violence; IDF settler protection</t>
  </si>
  <si>
    <t>Hamas rockets; Palestinian armed factions</t>
  </si>
  <si>
    <t>Ongoing occupation displacement; West Bank</t>
  </si>
  <si>
    <t>Conflict-linked infrastructure collapse; flooding</t>
  </si>
  <si>
    <t>Continued knife attacks; settlement expansion</t>
  </si>
  <si>
    <t>Al-Aqsa Temple Mount crisis; West Bank clashes</t>
  </si>
  <si>
    <t>Great March of Return; Gaza border; US embassy move</t>
  </si>
  <si>
    <t>Gaza rocket exchanges; West Bank operations</t>
  </si>
  <si>
    <t>Annexation plans; West Bank; blockade</t>
  </si>
  <si>
    <t>Operation Guardian of the Walls; Sheikh Jarrah</t>
  </si>
  <si>
    <t>Operation Breaking Dawn; West Bank raids surge</t>
  </si>
  <si>
    <t>Oct 7 Hamas attack; Israeli ground invasion of Gaza</t>
  </si>
  <si>
    <t>UCDP BRD / OCHA</t>
  </si>
  <si>
    <t>Gaza mass displacement; 1.9M displaced by Dec 2023</t>
  </si>
  <si>
    <t>Continued Gaza war; famine; Rafah offensive</t>
  </si>
  <si>
    <t>OCHA / WHO Gaza</t>
  </si>
  <si>
    <t>Nearly entire Gaza population displaced</t>
  </si>
  <si>
    <t>Ceasefire phases; ongoing hostilities</t>
  </si>
  <si>
    <t>Continued displacement; reconstruction beginning</t>
  </si>
  <si>
    <t>Yemen</t>
  </si>
  <si>
    <t>Saudi-led coalition intervention; Houthi advance</t>
  </si>
  <si>
    <t>Houthi repression in north; STC in south</t>
  </si>
  <si>
    <t>Tribal conflict; war-exacerbated communal violence</t>
  </si>
  <si>
    <t>AQAP; ISIS-Yemen; Houthi classified attacks</t>
  </si>
  <si>
    <t>4M+ IDPs; one of world's largest displacement crises</t>
  </si>
  <si>
    <t>Cholera; flooding; war-exacerbated famine disasters</t>
  </si>
  <si>
    <t>Coalition airstrikes; Hodeidah fighting</t>
  </si>
  <si>
    <t>Cholera epidemic + conflict; Saleh killed</t>
  </si>
  <si>
    <t>Hodeidah offensive; Stockholm Agreement</t>
  </si>
  <si>
    <t>Southern separatists; Abqaiq drone attack</t>
  </si>
  <si>
    <t>COVID + conflict; Marib fighting</t>
  </si>
  <si>
    <t>Marib offensive; Houthi escalation</t>
  </si>
  <si>
    <t>Truce April 2022; Houthi-Saudi negotiations</t>
  </si>
  <si>
    <t>Continued truce; localized fighting</t>
  </si>
  <si>
    <t>Houthi Red Sea attacks; US strikes; renewed fighting</t>
  </si>
  <si>
    <t>Ongoing conflict; Houthi control</t>
  </si>
  <si>
    <t>Syria</t>
  </si>
  <si>
    <t>Multi-party civil war; ISIS; Russian intervention</t>
  </si>
  <si>
    <t>Assad torture/detention; Sednaya prison</t>
  </si>
  <si>
    <t>Sectarian; Kurdish-Arab; tribal conflict</t>
  </si>
  <si>
    <t>ISIS; HTS; other armed factions</t>
  </si>
  <si>
    <t>6.8M refugees; 6M IDPs (UNHCR) — largest crisis</t>
  </si>
  <si>
    <t>Flooding; war-damaged infrastructure</t>
  </si>
  <si>
    <t>Aleppo siege and fall; Palmyra recapture</t>
  </si>
  <si>
    <t>ISIS collapse; Deir ez-Zor; Raqqa</t>
  </si>
  <si>
    <t>Ghouta chemical attack; SDF vs Turkey</t>
  </si>
  <si>
    <t>Idlib offensive; NE Turkey operation</t>
  </si>
  <si>
    <t>Idlib ceasefire; COVID compound</t>
  </si>
  <si>
    <t>Low-intensity; continued displacement</t>
  </si>
  <si>
    <t>Ongoing low-level; Turkish operations</t>
  </si>
  <si>
    <t>Continued conflict + Feb earthquake aftermath</t>
  </si>
  <si>
    <t>Feb 6 earthquake; ~58,000 deaths combined Turkey/Syria</t>
  </si>
  <si>
    <t>HTS/rebel offensive; Assad fall Dec 2024</t>
  </si>
  <si>
    <t>Post-Assad transition; continued armed groups</t>
  </si>
  <si>
    <t>Post-Assad HTS governance; political transition</t>
  </si>
  <si>
    <t>Sudan</t>
  </si>
  <si>
    <t>Darfur conflict; South Kordofan; Blue Nile</t>
  </si>
  <si>
    <t>Bashir repression; 2019 revolution; RSF crackdowns</t>
  </si>
  <si>
    <t>Darfur tribal violence; Arab-African intercommunal</t>
  </si>
  <si>
    <t>Long-standing IDP crisis; Darfur displaced</t>
  </si>
  <si>
    <t>Flooding; drought; Nile floods</t>
  </si>
  <si>
    <t>SAF vs RSF war; Khartoum fighting; Darfur massacres</t>
  </si>
  <si>
    <t>8.2M newly displaced since April 2023 war</t>
  </si>
  <si>
    <t>Ongoing SAF-RSF war; worst humanitarian crisis 2024</t>
  </si>
  <si>
    <t>11.4M displaced; world's largest displacement crisis 2024</t>
  </si>
  <si>
    <t>Continued war; famine declared in Darfur</t>
  </si>
  <si>
    <t>Continued mass displacement</t>
  </si>
  <si>
    <t>Somalia</t>
  </si>
  <si>
    <t>Al-Shabaab; AMISOM/AU operations; clan conflict</t>
  </si>
  <si>
    <t>Federal government repression; FGS-FMS tensions</t>
  </si>
  <si>
    <t>Clan warfare; resource conflict; al-Shabaab vs clans</t>
  </si>
  <si>
    <t>Al-Shabaab; IED; suicide attacks; hotel sieges</t>
  </si>
  <si>
    <t>2.8M+ IDPs; protracted displacement crisis</t>
  </si>
  <si>
    <t>Drought; flooding; famine risk; climate shocks</t>
  </si>
  <si>
    <t>Final GTBI Score</t>
  </si>
  <si>
    <t>FORMULAS</t>
  </si>
  <si>
    <t>YLD = Incidents_I x Disability_Weight_DW x Duration_Ls</t>
  </si>
  <si>
    <t>YLL = Deaths_S x 73.8  (WHO world average life expectancy)</t>
  </si>
  <si>
    <t>TBU = Sum(YLL) + Sum(YLD) + Sum(Severity x Exposure%/100)  per Country-Year [on Summary tab]</t>
  </si>
  <si>
    <t>B_ct = (TBU / Population) x 100,000  [per capita burden rate]</t>
  </si>
  <si>
    <t>GTBI = 100 x (1 - e^(-B_ct / K))  [K in cell B5 above]</t>
  </si>
  <si>
    <t>Full APA 7th Edition Citation</t>
  </si>
  <si>
    <t>Data Used For</t>
  </si>
  <si>
    <t>Notes</t>
  </si>
  <si>
    <t>Armed Conflict Location &amp; Event Data Project (ACLED). (2025). ACLED Data Export Tool [Data set]. ACLED. https://acleddata.com</t>
  </si>
  <si>
    <t>Incidents_I; Deaths_S; Event_Type; Primary_Source</t>
  </si>
  <si>
    <t>Primary source for all conflict metrics. Filter by country, year, event_type. Sum fatalities for Deaths_S; count events for Incidents_I.</t>
  </si>
  <si>
    <t>UCDP BRD v24</t>
  </si>
  <si>
    <t>Uppsala Conflict Data Program (UCDP). (2024). UCDP Battle-Related Deaths Dataset v24.1 [Data set]. Uppsala University. https://ucdp.uu.se/downloads/</t>
  </si>
  <si>
    <t>Deaths_S (when ACLED incomplete)</t>
  </si>
  <si>
    <t>Use as Secondary_Source for battle deaths. Mark in Secondary_Source column.</t>
  </si>
  <si>
    <t>GBD 2019 Diseases and Injuries Collaborators. (2020). Global burden of 369 diseases and injuries in 204 countries and territories, 1990-2019. The Lancet, 396(10258), 1204-1222. https://doi.org/10.1016/S0140-6736(20)30925-9</t>
  </si>
  <si>
    <t>Disability_Weight_DW; Duration_Ls; YLD parameters</t>
  </si>
  <si>
    <t>DW pre-filled: PTSD=0.133, Displacement=0.128, Disaster=0.120. Ls pre-filled: 4-8 years by event type.</t>
  </si>
  <si>
    <t>WHO GHE 2024</t>
  </si>
  <si>
    <t>World Health Organization. (2024). Global Health Estimates 2024 [Data set]. WHO. https://www.who.int/data/global-health-estimates</t>
  </si>
  <si>
    <t>Mortality cross-check; disability burden</t>
  </si>
  <si>
    <t>Use to cross-validate YLL estimates. WHO GHE covers through 2021.</t>
  </si>
  <si>
    <t>UNHCR 2024</t>
  </si>
  <si>
    <t>United Nations High Commissioner for Refugees (UNHCR). (2024). UNHCR Refugee Population Statistics Database [Data set]. UNHCR. https://www.unhcr.org/refugee-statistics</t>
  </si>
  <si>
    <t>Exposure_Prevalence_% for Forced Displacement</t>
  </si>
  <si>
    <t>Convert absolute displacement figures to % of population for Exposure_Prevalence_% column.</t>
  </si>
  <si>
    <t>OWID 2024</t>
  </si>
  <si>
    <t>Roser, M., Nagdy, M., &amp; Ritchie, H. (2024). War and peace. Our World in Data. https://ourworldindata.org/war-and-peace</t>
  </si>
  <si>
    <t>Population; conflict death series cross-check</t>
  </si>
  <si>
    <t>Population column drawn from UN WPP via OWID. Use as denominator for B_ct calculation.</t>
  </si>
  <si>
    <t>Institute for Economics and Peace. (2025). Global Terrorism Index 2025. IEP. https://www.economicsandpeace.org/research/gti/</t>
  </si>
  <si>
    <t>Terrorism incident counts; deaths</t>
  </si>
  <si>
    <t>Used for Terrorism event type rows where ACLED terrorism classification is incomplete.</t>
  </si>
  <si>
    <t>PRIO 2024</t>
  </si>
  <si>
    <t>Peace Research Institute Oslo (PRIO). (2024). PRIO Conflict Site Dataset [Data set]. PRIO. https://www.prio.org/data/</t>
  </si>
  <si>
    <t>Conflict recurrence classification</t>
  </si>
  <si>
    <t>Informs temporal decay parameter and conflict onset vs. recurrence coding.</t>
  </si>
  <si>
    <t>CFR GCT 2025</t>
  </si>
  <si>
    <t>Council on Foreign Relations. (2025). Global Conflict Tracker [Online database]. CFR. https://www.cfr.org/global-conflict-tracker</t>
  </si>
  <si>
    <t>Conflict status verification; Key_Event descriptions</t>
  </si>
  <si>
    <t>Cross-reference for active conflict classification. Not a primary numerical source.</t>
  </si>
  <si>
    <t>OCHA 2024</t>
  </si>
  <si>
    <t>United Nations Office for the Coordination of Humanitarian Affairs (OCHA). (2024). Humanitarian Data Exchange [Data set]. OCHA. https://data.humdata.org</t>
  </si>
  <si>
    <t>Gaza/Sudan/Yemen/Somalia humanitarian figures</t>
  </si>
  <si>
    <t>Displacement, casualty, and exposure estimates for acute humanitarian crises.</t>
  </si>
  <si>
    <t>Exposure Type</t>
  </si>
  <si>
    <t>Severity Weight</t>
  </si>
  <si>
    <t>Incidents (I)</t>
  </si>
  <si>
    <t>Deaths (S)</t>
  </si>
  <si>
    <t>Trauma Morbidity (YLD)</t>
  </si>
  <si>
    <t>Duration (Ls)</t>
  </si>
  <si>
    <t>Disability Weight (DW)</t>
  </si>
  <si>
    <t>Standard Life Expectancy (La)</t>
  </si>
  <si>
    <t>Trauma Mortality (YLL)</t>
  </si>
  <si>
    <t>ACLED, OWID 2024, UCDP PC v24</t>
  </si>
  <si>
    <t>Per Capita Burden Rate</t>
  </si>
  <si>
    <t>Source ID</t>
  </si>
  <si>
    <t>1–4 = Low/Minimal</t>
  </si>
  <si>
    <t>5–6 = Moderate/Moderate-High</t>
  </si>
  <si>
    <t>7–8 = High/Very High</t>
  </si>
  <si>
    <t>9–10 = Extreme/Maximum</t>
  </si>
  <si>
    <t>SCALE LEGEND</t>
  </si>
  <si>
    <t>Low: low-intensity indirect trauma; minor witnessing; infrequent displacement.</t>
  </si>
  <si>
    <t>Detention</t>
  </si>
  <si>
    <t>Low-moderate: repeated indirect exposure; economic/bureaucratic repression; non-violent detention.</t>
  </si>
  <si>
    <t>Responder Exposure</t>
  </si>
  <si>
    <t>Moderate: moderate direct or repeated exposure; displacement without acute violence.</t>
  </si>
  <si>
    <t>Witness</t>
  </si>
  <si>
    <t>Displaced</t>
  </si>
  <si>
    <t>Moderate-high: direct exposure in non-mass events; political repression with force; responder in conflict.</t>
  </si>
  <si>
    <t>Bereavement</t>
  </si>
  <si>
    <t>Direct Victim</t>
  </si>
  <si>
    <t>High: severe direct victimization or witnessing of lethal events; bereavement in armed conflict.</t>
  </si>
  <si>
    <t>Very high: direct victim in lethal conflict/terrorism; systematic detention with abuse; mass displacement.</t>
  </si>
  <si>
    <t>Extreme: mass atrocity victim; genocide witness; sustained siege conditions; targeted political killing.</t>
  </si>
  <si>
    <t>Interpretation</t>
  </si>
  <si>
    <t>Severity Weight 1 to 10</t>
  </si>
  <si>
    <t>Truama Burden Unit</t>
  </si>
  <si>
    <t>https://forumtogether.org/article/explainer-migrant-deaths-at-the-border/</t>
  </si>
  <si>
    <t>https://www.cato.org/blog/8-people-died-immigration-detention-2019-193-2004</t>
  </si>
  <si>
    <t>https://www.gunviolencearchive.org/past-tolls</t>
  </si>
  <si>
    <t>https://www.ice.gov/remove/removal-statistics/2016</t>
  </si>
  <si>
    <t>https://www.americanimmigrationcouncil.org/blog/immigration-detention-death-toll-united-states/</t>
  </si>
  <si>
    <t>CITE CDC</t>
  </si>
  <si>
    <t>CITE CDC and</t>
  </si>
  <si>
    <t>Estimated Exposed Prevalence %</t>
  </si>
  <si>
    <t>Substance Use Disorder</t>
  </si>
  <si>
    <t>Opioid crisis: 52,404 drug overdose deaths; fentanyl emergence accelerating mortality</t>
  </si>
  <si>
    <t>CDC WONDER Mortality Database (2015)</t>
  </si>
  <si>
    <t>WHO AFRO (2025); OCHA</t>
  </si>
  <si>
    <t>Ongoing cholera and malnutrition burden; al-Shabaab restricts aid access</t>
  </si>
  <si>
    <t>Infectious Disease</t>
  </si>
  <si>
    <t>WHO AFRO (2024); OCHA; WFP</t>
  </si>
  <si>
    <t>Cholera; 4.4M food insecure; healthcare infrastructure minimal</t>
  </si>
  <si>
    <t>WHO AFRO (2023); OCHA</t>
  </si>
  <si>
    <t>Cholera; flood-driven disease outbreaks after drought; dengue; malnutrition ongoing</t>
  </si>
  <si>
    <t>Lancet</t>
  </si>
  <si>
    <t>WHO AFRO (2022); OCHA; WFP</t>
  </si>
  <si>
    <t>Famine zones declared; worst drought in 40 years; 7.8M facing acute food insecurity; cholera</t>
  </si>
  <si>
    <t>WHO AFRO (2021); WFP</t>
  </si>
  <si>
    <t>Cholera; third consecutive drought year; 7.7M food insecure</t>
  </si>
  <si>
    <t>WHO AFRO (2020); Somalia MoH</t>
  </si>
  <si>
    <t>COVID underreported; cholera ongoing; drought compounding malnutrition</t>
  </si>
  <si>
    <t>WHO AFRO (2019); UNICEF</t>
  </si>
  <si>
    <t>Cholera; measles outbreak 5,000+ cases; malnutrition ongoing</t>
  </si>
  <si>
    <t>WHO AFRO (2018); OCHA</t>
  </si>
  <si>
    <t>Cholera ongoing; 2.7M food insecure; healthcare access limited</t>
  </si>
  <si>
    <t>WHO AFRO (2017); OCHA; UNICEF</t>
  </si>
  <si>
    <t>78,000 cholera cases; famine declared; 6.2M food insecure; 363,000 severely malnourished children</t>
  </si>
  <si>
    <t>WHO AFRO (2016); OCHA</t>
  </si>
  <si>
    <t>Cholera; 1.2M acutely malnourished; al-Shabaab restricts humanitarian access</t>
  </si>
  <si>
    <t>WHO AFRO (2015); OCHA</t>
  </si>
  <si>
    <t>Acute watery diarrhea; measles; malnutrition affects 1.1M children; healthcare near-absent</t>
  </si>
  <si>
    <t>Ongoing war health crisis; cholera, malnutrition, trauma burden; displaced population health access near zero</t>
  </si>
  <si>
    <t>Conflict-Linked Health</t>
  </si>
  <si>
    <t>Famine declared; worst cholera outbreak in Sudan history; 25M food insecure; health system near-total collapse</t>
  </si>
  <si>
    <t>SAF-RSF war destroys 70-80% of Khartoum health facilities; cholera, malaria, malnutrition surge</t>
  </si>
  <si>
    <t>WHO AFRO (2022)</t>
  </si>
  <si>
    <t>Malaria resurgence; dengue outbreak; cholera in flood-affected areas</t>
  </si>
  <si>
    <t>WHO AFRO (2021); Sudan MoH</t>
  </si>
  <si>
    <t>Delta wave; malaria concurrent; vaccination &lt;3% of population</t>
  </si>
  <si>
    <t>WHO AFRO (2020); Sudan MoH</t>
  </si>
  <si>
    <t>COVID underreported; malaria burden ongoing; healthcare system weak</t>
  </si>
  <si>
    <t>WHO AFRO (2019)</t>
  </si>
  <si>
    <t>Malaria; Khartoum protests disrupted healthcare access; medicine shortages from sanctions</t>
  </si>
  <si>
    <t>WHO AFRO (2018)</t>
  </si>
  <si>
    <t>Ongoing malaria and cholera burden</t>
  </si>
  <si>
    <t>WHO AFRO (2017)</t>
  </si>
  <si>
    <t>Malaria; dengue outbreak Khartoum; health infrastructure strained</t>
  </si>
  <si>
    <t>WHO AFRO (2016)</t>
  </si>
  <si>
    <t>Annual malaria burden; cholera in flood-affected areas</t>
  </si>
  <si>
    <t>WHO AFRO (2015); Sudan Federal MoH</t>
  </si>
  <si>
    <t>Malaria leading cause of morbidity; meningitis belt outbreaks; TB burden high</t>
  </si>
  <si>
    <t>WHO EMRO (2025)</t>
  </si>
  <si>
    <t>Health system rebuilding; disease surveillance restoration; malnutrition ongoing</t>
  </si>
  <si>
    <t>WHO EMRO (2024); OCHA</t>
  </si>
  <si>
    <t>Assad fall Dec 2024; health system reconstruction; cholera and disease risk in transition</t>
  </si>
  <si>
    <t>WHO EMRO (2023); OCHA</t>
  </si>
  <si>
    <t>Feb 6 earthquake; 50,000+ dead Syria+Turkey combined; already-fragile Syria health system crushed</t>
  </si>
  <si>
    <t>Conflict-Linked Health / Disaster</t>
  </si>
  <si>
    <t>WHO EMRO (2022); OCHA</t>
  </si>
  <si>
    <t>Largest Syria cholera outbreak in 10+ years; 97,000 suspected cases</t>
  </si>
  <si>
    <t>WHO EMRO (2021)</t>
  </si>
  <si>
    <t>COVID Delta; cholera emergence; healthcare system unable to respond</t>
  </si>
  <si>
    <t>WHO EMRO (2020); Syria MoH</t>
  </si>
  <si>
    <t>COVID in collapsed health system; testing minimal; conflict health burden ongoing</t>
  </si>
  <si>
    <t>WHO EMRO (2019); MSF</t>
  </si>
  <si>
    <t>NW Syria health crisis; hospitals bombed; displaced populations facing disease</t>
  </si>
  <si>
    <t>WHO EMRO (2018); PHR Syria</t>
  </si>
  <si>
    <t>Ghouta chemical attack; health facilities attacked 200+ times in 2018; disease surge</t>
  </si>
  <si>
    <t>WHO EMRO (2017); OCHA</t>
  </si>
  <si>
    <t>Cholera; leishmaniasis; 50% of health facilities non-functional</t>
  </si>
  <si>
    <t>WHO EMRO (2016); OCHA</t>
  </si>
  <si>
    <t>Aleppo siege destroys last functioning hospitals; polio outbreak; 13.5M need humanitarian aid</t>
  </si>
  <si>
    <t>WHO EMRO (2015); OCHA</t>
  </si>
  <si>
    <t>Healthcare system 50% destroyed; polio re-emergence; typhoid, leishmaniasis spread</t>
  </si>
  <si>
    <t>Ongoing cholera burden; malnutrition crisis; healthcare system fragmented</t>
  </si>
  <si>
    <t>Cholera and dengue concurrent; famine risk; Houthi blockade worsens health access</t>
  </si>
  <si>
    <t>Cholera wave; dengue surge; 21M requiring humanitarian assistance</t>
  </si>
  <si>
    <t>WHO EMRO (2022); WFP</t>
  </si>
  <si>
    <t>Cholera continues; 17.4M food insecure; truce period marginally improves aid access</t>
  </si>
  <si>
    <t>WHO EMRO (2021); OCHA; UNICEF</t>
  </si>
  <si>
    <t>Cholera resurgence; 50,000+ children facing famine; COVID undetectable in data</t>
  </si>
  <si>
    <t>WHO EMRO (2020); OCHA</t>
  </si>
  <si>
    <t>COVID likely underreported; cholera ongoing; 16M food insecure; healthcare near-total collapse</t>
  </si>
  <si>
    <t>WHO EMRO (2019); UNICEF</t>
  </si>
  <si>
    <t>Cholera third wave; dengue; 3.2M acutely malnourished children</t>
  </si>
  <si>
    <t>WHO EMRO (2018); OCHA</t>
  </si>
  <si>
    <t>2.2M cholera cases cumulative; diphtheria outbreak 2,000+ cases; health system 50% non-functional</t>
  </si>
  <si>
    <t>World's largest cholera outbreak: 1M+ cases in 6 months; conflict, collapse of health system</t>
  </si>
  <si>
    <t>WHO EMRO (2016)</t>
  </si>
  <si>
    <t>Cholera outbreak begins; explosive spread in conflict-damaged water systems</t>
  </si>
  <si>
    <t>Healthcare system collapse; cholera begins; malnutrition and preventable disease surge</t>
  </si>
  <si>
    <t>WHO EMRO (2025); OCHA</t>
  </si>
  <si>
    <t>Ceasefire; health system reconstruction beginning; disease burden from war ongoing</t>
  </si>
  <si>
    <t>WHO EMRO (2024); OCHA; UNICEF</t>
  </si>
  <si>
    <t>Famine declared north Gaza; polio re-emerged (first case in 25 years); mass disease outbreak risk</t>
  </si>
  <si>
    <t>WHO EMRO (2023); OCHA; MSF</t>
  </si>
  <si>
    <t>Oct 7 war; all 36 Gaza hospitals partially/fully non-functional by Dec 2023; famine; disease surge</t>
  </si>
  <si>
    <t>Ongoing healthcare access crisis; 35% of essential medicines stockout</t>
  </si>
  <si>
    <t>Palestine MoH (2021); WHO EMRO</t>
  </si>
  <si>
    <t>COVID Delta; delayed vaccine access vs Israel disparity highlighted</t>
  </si>
  <si>
    <t>Palestine MoH (2020); WHO EMRO</t>
  </si>
  <si>
    <t>COVID in context of blockade; limited testing capacity; vaccine access inequity</t>
  </si>
  <si>
    <t>WHO EMRO (2019); OCHA</t>
  </si>
  <si>
    <t>Continued health system fragility; cancer patients denied exit permits for treatment</t>
  </si>
  <si>
    <t>WHO EMRO (2018); OCHA; MSF</t>
  </si>
  <si>
    <t>Great March of Return injuries overwhelmed Gaza hospitals; amputations surge; donor blood shortage</t>
  </si>
  <si>
    <t>PA health funding cuts; 54% of essential medicines at zero stock; Gaza hospitals at 50% capacity</t>
  </si>
  <si>
    <t>Gaza electricity crisis impacts hospitals; kidney failure patients lack dialysis access</t>
  </si>
  <si>
    <t>Gaza blockade limits medicine, equipment; NCD management disrupted; maternal mortality elevated</t>
  </si>
  <si>
    <t>WHO EURO (2025)</t>
  </si>
  <si>
    <t>Continued conflict health burden; mental health reconstruction need</t>
  </si>
  <si>
    <t>WHO EURO (2024); UNAIDS</t>
  </si>
  <si>
    <t>Ongoing war health burden; HIV/TB access disrupted; mass PTSD burden in displaced population</t>
  </si>
  <si>
    <t>WHO EURO (2023); UNAIDS</t>
  </si>
  <si>
    <t>Continued healthcare system destruction; HIV/TB treatment gaps; mental health mass need</t>
  </si>
  <si>
    <t>UNAIDS</t>
  </si>
  <si>
    <t>WHO EURO (2022); OCHA</t>
  </si>
  <si>
    <t>Russian invasion; 1,000+ health facilities damaged/destroyed; HIV/TB treatment collapse; 8M displaced</t>
  </si>
  <si>
    <t>Ukraine MoH (2021)</t>
  </si>
  <si>
    <t>Delta wave devastating; 98,742 COVID deaths; healthcare capacity overwhelmed</t>
  </si>
  <si>
    <t>Ukraine MoH (2020); WHO EURO</t>
  </si>
  <si>
    <t>COVID first wave; HIV/TB treatment disrupted; healthcare system under dual strain</t>
  </si>
  <si>
    <t>ECDC</t>
  </si>
  <si>
    <t>WHO EURO (2019); UNAIDS</t>
  </si>
  <si>
    <t>Largest measles outbreak in Europe (57,000+ cases); HIV/TB ongoing</t>
  </si>
  <si>
    <t>Chronic/Infectious Disease</t>
  </si>
  <si>
    <t>UNAIDS (2018); WHO TB Report</t>
  </si>
  <si>
    <t>HIV treatment gaps in conflict zones; TB high burden</t>
  </si>
  <si>
    <t>UNAIDS (2017); WHO EURO</t>
  </si>
  <si>
    <t>HIV/TB co-epidemic; NCD burden; conflict-related healthcare disruption in east</t>
  </si>
  <si>
    <t>UNAIDS (2016); WHO TB Report</t>
  </si>
  <si>
    <t>HIV epidemic ongoing; TB incidence 84/100,000; Donbas conflict disrupts healthcare</t>
  </si>
  <si>
    <t>UNAIDS (2015); WHO EURO; GBD 2019</t>
  </si>
  <si>
    <t>Ukraine highest HIV rate in Europe; TB co-epidemic; cardiovascular NCD dominant</t>
  </si>
  <si>
    <t>Post-war mental health burden; NCD continuity care disrupted</t>
  </si>
  <si>
    <t>Mental Health / Conflict-Linked</t>
  </si>
  <si>
    <t>Israel MoH (2024); WHO EMRO</t>
  </si>
  <si>
    <t>Prolonged war trauma; northern displacement health effects; mental health system strain</t>
  </si>
  <si>
    <t>Israel National Trauma Registry (2023); WHO EMRO</t>
  </si>
  <si>
    <t>Oct 7 attack; mass trauma; PTSD burden estimated 400,000+ exposed civilians; hostage families</t>
  </si>
  <si>
    <t>Israel MoH (2022)</t>
  </si>
  <si>
    <t>Omicron; high vaccination rate; NCD burden ongoing</t>
  </si>
  <si>
    <t>Israel MoH (2021)</t>
  </si>
  <si>
    <t>Israel first country to vaccinate majority of population; Delta wave despite vaccination</t>
  </si>
  <si>
    <t>Israel MoH (2020); WHO GHE</t>
  </si>
  <si>
    <t>COVID first and second waves; lockdowns; vaccine development partnership</t>
  </si>
  <si>
    <t>NCD burden; mental health from ongoing Gaza tensions</t>
  </si>
  <si>
    <t>Non-Communicable Disease</t>
  </si>
  <si>
    <t>Cardiovascular and cancer dominant mortality</t>
  </si>
  <si>
    <t>NCD dominant mortality; mental health strain from security situation</t>
  </si>
  <si>
    <t>WHO GHE 2024; Israel MoH</t>
  </si>
  <si>
    <t>Ongoing NCD burden; PTSD rates elevated in conflict-exposed populations</t>
  </si>
  <si>
    <t>Cardiovascular disease leading cause; mental health burden from security situation</t>
  </si>
  <si>
    <t>Polio eradication program ongoing; dengue seasonal burden</t>
  </si>
  <si>
    <t>Pakistan NHSRC (2024); WHO EMRO</t>
  </si>
  <si>
    <t>Dengue epidemic; polio 63 cases; vaccine-derived poliovirus circulating</t>
  </si>
  <si>
    <t>Pakistan NHSRC (2023); WHO EMRO</t>
  </si>
  <si>
    <t>Dengue resurgence; TB burden; post-flood disease surveillance ongoing</t>
  </si>
  <si>
    <t>Pakistan NHSRC (2022); WHO EMRO; OCHA</t>
  </si>
  <si>
    <t>2022 floods displaced 33M; acute watery diarrhea, malaria, dengue epidemic in flood zones</t>
  </si>
  <si>
    <t>Pakistan NHSRC (2021)</t>
  </si>
  <si>
    <t>Delta wave severe; dengue concurrent; oxygen shortages</t>
  </si>
  <si>
    <t>Pakistan NHSRC (2020); WHO EMRO</t>
  </si>
  <si>
    <t>COVID first wave; concurrent dengue; 84 polio cases; healthcare overwhelmed</t>
  </si>
  <si>
    <t>Pakistan NHSRC (2019); WHO EMRO</t>
  </si>
  <si>
    <t>Record dengue outbreak 47,534 cases; polio 147 cases — highest since 2014</t>
  </si>
  <si>
    <t>WHO EMRO (2018)</t>
  </si>
  <si>
    <t>Dengue surge; diarrheal disease in flood-affected areas</t>
  </si>
  <si>
    <t>WHO EMRO (2017); Pakistan NHSRC</t>
  </si>
  <si>
    <t>Dengue; polio 8 cases; conflict zones hamper vaccination campaigns</t>
  </si>
  <si>
    <t>Pakistan NHSRC; WHO EMRO (2016)</t>
  </si>
  <si>
    <t>Dengue epidemic Lahore; TB high burden; healthcare access gaps in FATA/KP</t>
  </si>
  <si>
    <t>Pakistan NHSRC; WHO EMRO (2015)</t>
  </si>
  <si>
    <t>Dengue outbreak Punjab; polio 54 cases; TB second highest burden in region</t>
  </si>
  <si>
    <t>WHO TB Report (2025); WHO GHE</t>
  </si>
  <si>
    <t>Ongoing TB elimination push; NCD burden; air pollution mortality</t>
  </si>
  <si>
    <t>Infectious Disease / NCD</t>
  </si>
  <si>
    <t>IMD</t>
  </si>
  <si>
    <t>WHO TB Report (2024); GBD 2019</t>
  </si>
  <si>
    <t>Continued TB burden; 2024 pre-monsoon heatwave deaths; NCD cardiovascular burden</t>
  </si>
  <si>
    <t>WHO TB Report (2023); GBD 2019</t>
  </si>
  <si>
    <t>India still highest TB burden; record heatwaves; NCD burden dominant</t>
  </si>
  <si>
    <t>India MoHFW (2022); WHO TB Report</t>
  </si>
  <si>
    <t>Post-Delta; TB cases rebounded after COVID disruption; Omicron wave mild</t>
  </si>
  <si>
    <t>Lancet excess mortality study (2022); India MoHFW</t>
  </si>
  <si>
    <t>Delta wave catastrophic; oxygen shortage; ~4.7M excess deaths estimated (Lancet 2022)</t>
  </si>
  <si>
    <t>India MoHFW (2020); WHO GHE</t>
  </si>
  <si>
    <t>First wave relatively mild; lockdown devastating to economy and mental health</t>
  </si>
  <si>
    <t>WHO TB Report (2019); GBD 2019</t>
  </si>
  <si>
    <t>TB burden; 2019 heatwave killed 1,100+; cardiovascular NCD dominant</t>
  </si>
  <si>
    <t>India MoHFW</t>
  </si>
  <si>
    <t>WHO TB Report (2018); GBD 2019</t>
  </si>
  <si>
    <t>National TB Elimination Program launched; NCD cardiovascular burden rising</t>
  </si>
  <si>
    <t>State of Global Air</t>
  </si>
  <si>
    <t>WHO TB Report (2017); GBD 2019</t>
  </si>
  <si>
    <t>India highest TB burden globally; air pollution deaths 1.24M (State of Global Air 2017)</t>
  </si>
  <si>
    <t>WHO TB Report (2016); GBD 2019</t>
  </si>
  <si>
    <t>TB primary infectious disease burden; cardiovascular NCDs rising rapidly</t>
  </si>
  <si>
    <t>IHME</t>
  </si>
  <si>
    <t>WHO TB Report (2015); GBD 2019</t>
  </si>
  <si>
    <t>India 27% of global TB burden; air pollution 1.1M deaths; diarrheal disease in children</t>
  </si>
  <si>
    <t>Aging population driving NCD burden; cardiovascular and cancer primary causes</t>
  </si>
  <si>
    <t>WHO GHE 2024; GBD 2019</t>
  </si>
  <si>
    <t>Cardiovascular disease dominant; air pollution improvement ongoing but burden high</t>
  </si>
  <si>
    <t>GBD 2019; WHO GHE 2024</t>
  </si>
  <si>
    <t>Long COVID burden; NCD backlog from Zero-COVID healthcare disruption</t>
  </si>
  <si>
    <t>Economist excess mortality model (2022); Lancet</t>
  </si>
  <si>
    <t>Zero-COVID abandoned Dec 2022; estimated 900,000+ deaths in exit wave (Economist/Lancet estimates)</t>
  </si>
  <si>
    <t>WHO GHE 2024; China NHC</t>
  </si>
  <si>
    <t>Zero-COVID policy maintained; mass testing; Delta contained through severe restrictions</t>
  </si>
  <si>
    <t>COVID-19 origin Wuhan; initial outbreak; lockdown of 780M; official deaths likely undercounted</t>
  </si>
  <si>
    <t>FAO</t>
  </si>
  <si>
    <t>African swine fever decimates pork supply; NCDs dominant mortality; H1N1 seasonal burden</t>
  </si>
  <si>
    <t>Marginal improvement in air quality; NCD burden remains highest contributor to mortality</t>
  </si>
  <si>
    <t>Beijing air quality emergency; NCD burden ongoing</t>
  </si>
  <si>
    <t>Continued air pollution mortality; NCD burden dominant</t>
  </si>
  <si>
    <t>1.6M deaths attributable to air pollution; cardiovascular and respiratory NCD leading causes</t>
  </si>
  <si>
    <t>Cardiovascular and mental health burden; medication shortages from sanctions</t>
  </si>
  <si>
    <t>Ongoing NCD burden; mental health impact from civil unrest</t>
  </si>
  <si>
    <t>Post-protest mental health crisis; NCD burden; sanctions-driven healthcare gaps</t>
  </si>
  <si>
    <t>Omicron wave; sanctions continue to affect medicine supply; NCD burden ongoing</t>
  </si>
  <si>
    <t>WHO GHE 2024; Iran MoH</t>
  </si>
  <si>
    <t>Delta wave devastating; 127,000 cumulative deaths; oxygen shortages</t>
  </si>
  <si>
    <t>Lancet COVID commission</t>
  </si>
  <si>
    <t>One of worst early COVID outbreaks; 55,095 official deaths (likely undercount); sanctions hampered response</t>
  </si>
  <si>
    <t>WHO GHE 2024; Lancet</t>
  </si>
  <si>
    <t>Ongoing NCD burden; sanctions impact healthcare supply chain</t>
  </si>
  <si>
    <t>Cardiovascular disease primary mortality driver</t>
  </si>
  <si>
    <t>Ongoing NCD and road traffic burden</t>
  </si>
  <si>
    <t>Tehran air pollution crisis; cardiovascular and respiratory mortality</t>
  </si>
  <si>
    <t>WHO GHE 2024; Iran Ministry of Health</t>
  </si>
  <si>
    <t>Road traffic deaths 16,000+; cardiovascular disease leading NCD burden</t>
  </si>
  <si>
    <t>UNAIDS (2025); WHO TB Report</t>
  </si>
  <si>
    <t>Continued HIV-TB co-epidemic; PEPFAR funding uncertainty impacting ART programs</t>
  </si>
  <si>
    <t>UNAIDS (2024); WHO AFRO (2024)</t>
  </si>
  <si>
    <t>Ongoing HIV-TB; mpox cases; NCD burden rising</t>
  </si>
  <si>
    <t>UNAIDS (2023); WHO TB Report (2023)</t>
  </si>
  <si>
    <t>7.8M PLHIV; TB elimination progress stalled; GBV-HIV intersection severe</t>
  </si>
  <si>
    <t>South Africa NICD (2022); UNAIDS</t>
  </si>
  <si>
    <t>Omicron first detected SA; cumulative COVID deaths exceed 101,000; ongoing HIV-TB</t>
  </si>
  <si>
    <t>South Africa NICD (2021)</t>
  </si>
  <si>
    <t>Beta variant first detected SA; severe Delta wave; 89,920 COVID deaths</t>
  </si>
  <si>
    <t>South Africa NICD (2020); WHO GHE</t>
  </si>
  <si>
    <t>First COVID wave; co-epidemic triple burden; lockdowns disrupted HIV/TB treatment</t>
  </si>
  <si>
    <t>UNAIDS (2019); WHO TB Report (2019)</t>
  </si>
  <si>
    <t>7.7M PLHIV; TB incidence 615/100,000; MDR-TB significant burden</t>
  </si>
  <si>
    <t>UNAIDS (2018); WHO TB Report (2018)</t>
  </si>
  <si>
    <t>7.5M PLHIV; TB incidence declining slowly; drug-resistant TB rising</t>
  </si>
  <si>
    <t>UNAIDS (2017); WHO TB Report (2017)</t>
  </si>
  <si>
    <t>Antiretroviral scale-up; TB/HIV co-infection 59% of TB cases</t>
  </si>
  <si>
    <t>UNAIDS (2016); WHO TB Report (2016)</t>
  </si>
  <si>
    <t>HIV prevalence 18.9%; TB remains leading cause of death</t>
  </si>
  <si>
    <t>UNAIDS (2015); WHO TB Report (2015)</t>
  </si>
  <si>
    <t>7.1M people living with HIV; TB incidence 834/100,000 — highest in world; co-epidemic burden</t>
  </si>
  <si>
    <t>WHO AFRO (2025)</t>
  </si>
  <si>
    <t>Ongoing malaria; mpox monitoring in DRC border regions</t>
  </si>
  <si>
    <t>Rwanda MoH</t>
  </si>
  <si>
    <t>WHO AFRO (2024)</t>
  </si>
  <si>
    <t>Second Marburg outbreak Sept 2024; 66 cases, 15 deaths; concurrent malaria burden</t>
  </si>
  <si>
    <t>WHO GHE 2024; Rwanda MoH</t>
  </si>
  <si>
    <t>Malaria cases increasing after COVID-era disruption of vector control</t>
  </si>
  <si>
    <t>Rwanda first confirmed Marburg outbreak; 12 cases, 9 deaths; rapid WHO response</t>
  </si>
  <si>
    <t>Rwanda MoH (2021)</t>
  </si>
  <si>
    <t>Delta wave; third wave August 2021; vaccine rollout underway</t>
  </si>
  <si>
    <t>Rwanda MoH (2020); WHO AFRO</t>
  </si>
  <si>
    <t>COVID-19; strict early lockdown; relatively low mortality</t>
  </si>
  <si>
    <t>Three confirmed Ebola cases imported from DRC; rapid containment; no sustained transmission</t>
  </si>
  <si>
    <t>Continued malaria burden; declining trend from control measures</t>
  </si>
  <si>
    <t>Rift Valley Fever outbreak in eastern Rwanda; malaria ongoing</t>
  </si>
  <si>
    <t>WHO GHE 2024; Rwanda Ministry of Health</t>
  </si>
  <si>
    <t>Malaria morbidity; Rwanda national malaria control program data</t>
  </si>
  <si>
    <t>Malaria remains leading cause of morbidity; WHO-tracked elimination progress</t>
  </si>
  <si>
    <t>WHO AFRO (2025); Nigeria NCDC</t>
  </si>
  <si>
    <t>Endemic Lassa fever; cholera in displacement-affected northern states</t>
  </si>
  <si>
    <t>WHO AFRO (2024); Nigeria NCDC</t>
  </si>
  <si>
    <t>Mpox cases rising in context of clade Ib spread; cholera ongoing</t>
  </si>
  <si>
    <t>Nigeria NCDC (2023); WHO AFRO</t>
  </si>
  <si>
    <t>Cholera continued; diphtheria outbreak with 16,000+ cases declared emergency</t>
  </si>
  <si>
    <t>Nigeria NCDC (2022); WHO AFRO</t>
  </si>
  <si>
    <t>Worst cholera outbreak in years; 95,480 cases; 3,617 deaths; 32 states affected</t>
  </si>
  <si>
    <t>Nigeria NCDC (2021)</t>
  </si>
  <si>
    <t>Delta wave hits Nigeria; Lassa fever concurrent; vaccine access limited</t>
  </si>
  <si>
    <t>WHO AFRO (2020); Nigeria NCDC</t>
  </si>
  <si>
    <t>COVID-19 first wave; concurrent Lassa fever emergency; healthcare capacity overwhelmed</t>
  </si>
  <si>
    <t>WHO AFRO (2019); Nigeria NCDC</t>
  </si>
  <si>
    <t>4,731 Lassa cases; cholera continues in conflict-displaced NE Nigeria</t>
  </si>
  <si>
    <t>WHO AFRO (2018); Nigeria NCDC</t>
  </si>
  <si>
    <t>Lassa fever; first confirmed large-scale monkeypox outbreak since 1978</t>
  </si>
  <si>
    <t>WHO AFRO (2017); Nigeria NCDC</t>
  </si>
  <si>
    <t>Largest meningitis C outbreak in Nigeria history; 18,000+ cases; 1,166 deaths</t>
  </si>
  <si>
    <t>Nigeria NCDC</t>
  </si>
  <si>
    <t>Lassa fever spike; cerebrospinal meningitis C outbreak NW Nigeria</t>
  </si>
  <si>
    <t>WHO AFRO Disease Outbreak News (2015)</t>
  </si>
  <si>
    <t>Lassa fever endemic in south; cholera outbreaks in displacement-affected NE Nigeria</t>
  </si>
  <si>
    <t xml:space="preserve">     </t>
  </si>
  <si>
    <t>WHO IHR</t>
  </si>
  <si>
    <t>CDC Morbidity and Mortality Weekly Report (2025)</t>
  </si>
  <si>
    <t>Largest measles outbreak since 2000; Texas/New Mexico cluster; vaccine refusal driving spread</t>
  </si>
  <si>
    <t>NIH NIDA</t>
  </si>
  <si>
    <t>CDC WONDER Provisional Mortality (2024)</t>
  </si>
  <si>
    <t>First decline in overdose deaths since 2018; ~101,000 estimated deaths</t>
  </si>
  <si>
    <t>CDC WONDER Provisional Mortality (2023)</t>
  </si>
  <si>
    <t>Record 112,000 estimated overdose deaths; xylazine adulterant emergence</t>
  </si>
  <si>
    <t>CDC COVID Data Tracker; CDC WONDER (2022)</t>
  </si>
  <si>
    <t>Omicron wave; COVID deaths declining; drug overdose deaths reach record 109,680</t>
  </si>
  <si>
    <t>Infectious Disease / Substance Use</t>
  </si>
  <si>
    <t>CDC COVID Data Tracker (2021)</t>
  </si>
  <si>
    <t>Delta wave; 461,823 deaths; vaccine rollout; breakthrough infections</t>
  </si>
  <si>
    <t>CDC COVID Data Tracker (2020)</t>
  </si>
  <si>
    <t>First pandemic year; 385,343 COVID deaths; lockdowns; healthcare system strain</t>
  </si>
  <si>
    <t>CDC WONDER Mortality Database (2019)</t>
  </si>
  <si>
    <t>Record pre-COVID high; 70,630 deaths; methamphetamine co-use rising</t>
  </si>
  <si>
    <t>CDC WONDER Mortality Database (2018)</t>
  </si>
  <si>
    <t>Slight decline to 67,367 deaths; synthetic opioids 69% of all overdose deaths</t>
  </si>
  <si>
    <t>HHS</t>
  </si>
  <si>
    <t>CDC WONDER Mortality Database (2017)</t>
  </si>
  <si>
    <t>70,237 overdose deaths; declared national public health emergency (Oct 2017)</t>
  </si>
  <si>
    <t>CDC WONDER Mortality Database (2016)</t>
  </si>
  <si>
    <t>Opioid deaths surpass 63,000; fentanyl-involved deaths double from prior year</t>
  </si>
  <si>
    <t>Key Events</t>
  </si>
  <si>
    <t>Incidents(I)</t>
  </si>
  <si>
    <t>severity scale</t>
  </si>
  <si>
    <t>Substance Use Disorder = 0.329, HIV/AIDS = 0.330, TB active = 0.333</t>
  </si>
  <si>
    <t>COVID acute = 0.133, Cholera = 0.247, Malaria = 0.190</t>
  </si>
  <si>
    <t>NCD/Cardiovascular = 0.193, Conflict health collapse (composite) = 0.200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</si>
</sst>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595959"/>
      <name val="Arial"/>
      <family val="2"/>
    </font>
    <font>
      <b/>
      <sz val="9"/>
      <color rgb="FF1F386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rgb="FF1F3864"/>
      <name val="Arial"/>
      <family val="2"/>
    </font>
    <font>
      <u/>
      <sz val="11"/>
      <color theme="10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CE6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theme="1"/>
        <bgColor rgb="FF0066CC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AFAFA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E2EFDA"/>
      </patternFill>
    </fill>
    <fill>
      <patternFill patternType="solid">
        <fgColor rgb="FF92D050"/>
        <bgColor rgb="FFBFBFBF"/>
      </patternFill>
    </fill>
    <fill>
      <patternFill patternType="solid">
        <fgColor rgb="FFFF0000"/>
        <bgColor rgb="FFCC0000"/>
      </patternFill>
    </fill>
    <fill>
      <patternFill patternType="solid">
        <fgColor theme="1"/>
        <bgColor rgb="FF993366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6F0FF"/>
      </patternFill>
    </fill>
    <fill>
      <patternFill patternType="solid">
        <fgColor theme="0"/>
        <bgColor rgb="FFFFE6F0"/>
      </patternFill>
    </fill>
    <fill>
      <patternFill patternType="solid">
        <fgColor theme="0"/>
        <bgColor rgb="FFFFE6E6"/>
      </patternFill>
    </fill>
    <fill>
      <patternFill patternType="solid">
        <fgColor theme="0"/>
        <bgColor rgb="FFEBF1DE"/>
      </patternFill>
    </fill>
    <fill>
      <patternFill patternType="solid">
        <fgColor theme="0"/>
        <bgColor rgb="FFF0E6FF"/>
      </patternFill>
    </fill>
    <fill>
      <patternFill patternType="solid">
        <fgColor theme="5" tint="0.79998168889431442"/>
        <bgColor rgb="FFE2EFDA"/>
      </patternFill>
    </fill>
    <fill>
      <patternFill patternType="solid">
        <fgColor theme="5" tint="0.79998168889431442"/>
        <bgColor rgb="FFFAFAF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6F0FF"/>
      </patternFill>
    </fill>
    <fill>
      <patternFill patternType="solid">
        <fgColor theme="5" tint="0.79998168889431442"/>
        <bgColor rgb="FFFFE6F0"/>
      </patternFill>
    </fill>
    <fill>
      <patternFill patternType="solid">
        <fgColor theme="5" tint="0.79998168889431442"/>
        <bgColor rgb="FFFFE6E6"/>
      </patternFill>
    </fill>
    <fill>
      <patternFill patternType="solid">
        <fgColor theme="5" tint="0.79998168889431442"/>
        <bgColor rgb="FFF0E6FF"/>
      </patternFill>
    </fill>
    <fill>
      <patternFill patternType="solid">
        <fgColor theme="5" tint="0.79998168889431442"/>
        <bgColor rgb="FFEBF1D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rgb="FFE2EFDA"/>
      </patternFill>
    </fill>
    <fill>
      <patternFill patternType="solid">
        <fgColor theme="2" tint="-9.9978637043366805E-2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10" borderId="0" xfId="0" applyFill="1"/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6" fillId="13" borderId="0" xfId="0" applyFont="1" applyFill="1"/>
    <xf numFmtId="0" fontId="6" fillId="4" borderId="0" xfId="0" applyFont="1" applyFill="1"/>
    <xf numFmtId="0" fontId="6" fillId="11" borderId="0" xfId="0" applyFont="1" applyFill="1"/>
    <xf numFmtId="0" fontId="2" fillId="14" borderId="0" xfId="0" applyFont="1" applyFill="1"/>
    <xf numFmtId="0" fontId="6" fillId="0" borderId="0" xfId="0" applyFont="1"/>
    <xf numFmtId="0" fontId="3" fillId="1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4" fontId="2" fillId="7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3" fontId="2" fillId="7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3" fontId="3" fillId="9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4" fontId="4" fillId="8" borderId="1" xfId="0" applyNumberFormat="1" applyFont="1" applyFill="1" applyBorder="1" applyAlignment="1">
      <alignment horizontal="center" vertical="center" wrapText="1"/>
    </xf>
    <xf numFmtId="10" fontId="3" fillId="8" borderId="1" xfId="0" applyNumberFormat="1" applyFont="1" applyFill="1" applyBorder="1" applyAlignment="1">
      <alignment horizontal="center" vertical="center" wrapText="1"/>
    </xf>
    <xf numFmtId="0" fontId="10" fillId="8" borderId="4" xfId="1" applyFill="1" applyBorder="1" applyAlignment="1">
      <alignment horizontal="left" vertical="center" wrapText="1"/>
    </xf>
    <xf numFmtId="0" fontId="10" fillId="8" borderId="0" xfId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3" fontId="2" fillId="7" borderId="3" xfId="0" applyNumberFormat="1" applyFont="1" applyFill="1" applyBorder="1" applyAlignment="1">
      <alignment horizontal="center" vertical="center" wrapText="1"/>
    </xf>
    <xf numFmtId="4" fontId="2" fillId="7" borderId="3" xfId="0" applyNumberFormat="1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left" vertical="center" wrapText="1"/>
    </xf>
    <xf numFmtId="0" fontId="3" fillId="18" borderId="2" xfId="0" applyFont="1" applyFill="1" applyBorder="1" applyAlignment="1">
      <alignment horizontal="left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8" fillId="19" borderId="2" xfId="0" applyFont="1" applyFill="1" applyBorder="1" applyAlignment="1">
      <alignment horizontal="left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left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8" fillId="20" borderId="2" xfId="0" applyFont="1" applyFill="1" applyBorder="1" applyAlignment="1">
      <alignment horizontal="left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left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8" fillId="22" borderId="2" xfId="0" applyFont="1" applyFill="1" applyBorder="1" applyAlignment="1">
      <alignment horizontal="left" vertical="center" wrapText="1"/>
    </xf>
    <xf numFmtId="0" fontId="3" fillId="22" borderId="2" xfId="0" applyFon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left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left"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left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10" fontId="2" fillId="7" borderId="1" xfId="0" applyNumberFormat="1" applyFont="1" applyFill="1" applyBorder="1" applyAlignment="1">
      <alignment horizontal="center" vertical="center" wrapText="1"/>
    </xf>
    <xf numFmtId="10" fontId="4" fillId="8" borderId="1" xfId="0" applyNumberFormat="1" applyFont="1" applyFill="1" applyBorder="1" applyAlignment="1">
      <alignment horizontal="center" vertical="center" wrapText="1"/>
    </xf>
    <xf numFmtId="10" fontId="0" fillId="10" borderId="0" xfId="0" applyNumberFormat="1" applyFill="1"/>
    <xf numFmtId="2" fontId="2" fillId="7" borderId="1" xfId="0" applyNumberFormat="1" applyFont="1" applyFill="1" applyBorder="1" applyAlignment="1">
      <alignment horizontal="center" vertical="center" wrapText="1"/>
    </xf>
    <xf numFmtId="2" fontId="4" fillId="8" borderId="1" xfId="0" applyNumberFormat="1" applyFont="1" applyFill="1" applyBorder="1" applyAlignment="1">
      <alignment horizontal="center" vertical="center" wrapText="1"/>
    </xf>
    <xf numFmtId="2" fontId="0" fillId="10" borderId="0" xfId="0" applyNumberFormat="1" applyFill="1"/>
    <xf numFmtId="0" fontId="3" fillId="23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0" fillId="25" borderId="0" xfId="0" applyFill="1"/>
    <xf numFmtId="0" fontId="3" fillId="26" borderId="2" xfId="0" applyFont="1" applyFill="1" applyBorder="1" applyAlignment="1">
      <alignment horizontal="left" vertical="center" wrapText="1"/>
    </xf>
    <xf numFmtId="0" fontId="3" fillId="27" borderId="2" xfId="0" applyFont="1" applyFill="1" applyBorder="1" applyAlignment="1">
      <alignment horizontal="left" vertical="center" wrapText="1"/>
    </xf>
    <xf numFmtId="0" fontId="3" fillId="28" borderId="2" xfId="0" applyFont="1" applyFill="1" applyBorder="1" applyAlignment="1">
      <alignment horizontal="left" vertical="center" wrapText="1"/>
    </xf>
    <xf numFmtId="0" fontId="3" fillId="29" borderId="2" xfId="0" applyFont="1" applyFill="1" applyBorder="1" applyAlignment="1">
      <alignment horizontal="left" vertical="center" wrapText="1"/>
    </xf>
    <xf numFmtId="0" fontId="3" fillId="30" borderId="2" xfId="0" applyFont="1" applyFill="1" applyBorder="1" applyAlignment="1">
      <alignment horizontal="left" vertical="center" wrapText="1"/>
    </xf>
    <xf numFmtId="0" fontId="3" fillId="24" borderId="2" xfId="0" applyFont="1" applyFill="1" applyBorder="1" applyAlignment="1">
      <alignment horizontal="left" vertical="center" wrapText="1"/>
    </xf>
    <xf numFmtId="3" fontId="4" fillId="18" borderId="2" xfId="0" applyNumberFormat="1" applyFont="1" applyFill="1" applyBorder="1" applyAlignment="1">
      <alignment horizontal="center" vertical="center" wrapText="1"/>
    </xf>
    <xf numFmtId="3" fontId="3" fillId="19" borderId="2" xfId="0" applyNumberFormat="1" applyFont="1" applyFill="1" applyBorder="1" applyAlignment="1">
      <alignment horizontal="center" vertical="center" wrapText="1"/>
    </xf>
    <xf numFmtId="3" fontId="4" fillId="19" borderId="2" xfId="0" applyNumberFormat="1" applyFont="1" applyFill="1" applyBorder="1" applyAlignment="1">
      <alignment horizontal="center" vertical="center" wrapText="1"/>
    </xf>
    <xf numFmtId="3" fontId="3" fillId="20" borderId="2" xfId="0" applyNumberFormat="1" applyFont="1" applyFill="1" applyBorder="1" applyAlignment="1">
      <alignment horizontal="center" vertical="center" wrapText="1"/>
    </xf>
    <xf numFmtId="3" fontId="4" fillId="20" borderId="2" xfId="0" applyNumberFormat="1" applyFont="1" applyFill="1" applyBorder="1" applyAlignment="1">
      <alignment horizontal="center" vertical="center" wrapText="1"/>
    </xf>
    <xf numFmtId="3" fontId="3" fillId="22" borderId="2" xfId="0" applyNumberFormat="1" applyFont="1" applyFill="1" applyBorder="1" applyAlignment="1">
      <alignment horizontal="center" vertical="center" wrapText="1"/>
    </xf>
    <xf numFmtId="3" fontId="4" fillId="22" borderId="2" xfId="0" applyNumberFormat="1" applyFont="1" applyFill="1" applyBorder="1" applyAlignment="1">
      <alignment horizontal="center" vertical="center" wrapText="1"/>
    </xf>
    <xf numFmtId="3" fontId="4" fillId="21" borderId="2" xfId="0" applyNumberFormat="1" applyFont="1" applyFill="1" applyBorder="1" applyAlignment="1">
      <alignment horizontal="center" vertical="center" wrapText="1"/>
    </xf>
    <xf numFmtId="3" fontId="4" fillId="9" borderId="2" xfId="0" applyNumberFormat="1" applyFont="1" applyFill="1" applyBorder="1" applyAlignment="1">
      <alignment horizontal="center" vertical="center" wrapText="1"/>
    </xf>
    <xf numFmtId="3" fontId="3" fillId="9" borderId="2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/>
    </xf>
    <xf numFmtId="0" fontId="0" fillId="31" borderId="0" xfId="0" applyFill="1"/>
    <xf numFmtId="0" fontId="5" fillId="32" borderId="1" xfId="0" applyFont="1" applyFill="1" applyBorder="1" applyAlignment="1">
      <alignment horizontal="left" vertical="center" wrapText="1"/>
    </xf>
    <xf numFmtId="0" fontId="7" fillId="33" borderId="1" xfId="0" applyFont="1" applyFill="1" applyBorder="1" applyAlignment="1">
      <alignment horizontal="left" vertical="center" wrapText="1"/>
    </xf>
    <xf numFmtId="3" fontId="0" fillId="0" borderId="2" xfId="0" applyNumberFormat="1" applyBorder="1"/>
    <xf numFmtId="3" fontId="3" fillId="18" borderId="2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unviolencearchive.org/past-tolls" TargetMode="External"/><Relationship Id="rId2" Type="http://schemas.openxmlformats.org/officeDocument/2006/relationships/hyperlink" Target="https://www.cato.org/blog/8-people-died-immigration-detention-2019-193-2004" TargetMode="External"/><Relationship Id="rId1" Type="http://schemas.openxmlformats.org/officeDocument/2006/relationships/hyperlink" Target="https://forumtogether.org/article/explainer-migrant-deaths-at-the-border/" TargetMode="External"/><Relationship Id="rId5" Type="http://schemas.openxmlformats.org/officeDocument/2006/relationships/hyperlink" Target="https://www.americanimmigrationcouncil.org/blog/immigration-detention-death-toll-united-states/" TargetMode="External"/><Relationship Id="rId4" Type="http://schemas.openxmlformats.org/officeDocument/2006/relationships/hyperlink" Target="https://www.ice.gov/remove/removal-statistics/2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Z991"/>
  <sheetViews>
    <sheetView tabSelected="1" zoomScaleNormal="100" workbookViewId="0">
      <pane ySplit="1" topLeftCell="A2" activePane="bottomLeft" state="frozen"/>
      <selection pane="bottomLeft" activeCell="Q2" sqref="Q2"/>
    </sheetView>
  </sheetViews>
  <sheetFormatPr defaultColWidth="8.6640625" defaultRowHeight="14.4" x14ac:dyDescent="0.3"/>
  <cols>
    <col min="1" max="1" width="16" customWidth="1"/>
    <col min="2" max="2" width="22" customWidth="1"/>
    <col min="3" max="3" width="14" style="38" customWidth="1"/>
    <col min="4" max="4" width="7" customWidth="1"/>
    <col min="5" max="5" width="22" customWidth="1"/>
    <col min="6" max="6" width="14.44140625" customWidth="1"/>
    <col min="7" max="7" width="22" style="17" customWidth="1"/>
    <col min="8" max="8" width="20" style="39" customWidth="1"/>
    <col min="9" max="9" width="12" style="38" customWidth="1"/>
    <col min="10" max="10" width="13" customWidth="1"/>
    <col min="11" max="11" width="10" customWidth="1"/>
    <col min="12" max="12" width="14" style="34" customWidth="1"/>
    <col min="13" max="13" width="10" customWidth="1"/>
    <col min="14" max="14" width="15.88671875" customWidth="1"/>
    <col min="15" max="15" width="14" customWidth="1"/>
    <col min="16" max="16" width="14" style="76" customWidth="1"/>
    <col min="17" max="17" width="14" style="79" customWidth="1"/>
    <col min="18" max="18" width="34" customWidth="1"/>
    <col min="19" max="19" width="20" style="82" customWidth="1"/>
    <col min="20" max="20" width="20" customWidth="1"/>
    <col min="21" max="21" width="24" customWidth="1"/>
  </cols>
  <sheetData>
    <row r="1" spans="1:23" ht="33.75" customHeight="1" x14ac:dyDescent="0.3">
      <c r="A1" s="6" t="s">
        <v>0</v>
      </c>
      <c r="B1" s="6" t="s">
        <v>1</v>
      </c>
      <c r="C1" s="35" t="s">
        <v>4</v>
      </c>
      <c r="D1" s="6" t="s">
        <v>2</v>
      </c>
      <c r="E1" s="6" t="s">
        <v>333</v>
      </c>
      <c r="F1" s="6" t="s">
        <v>373</v>
      </c>
      <c r="G1" s="6" t="s">
        <v>334</v>
      </c>
      <c r="H1" s="35" t="s">
        <v>365</v>
      </c>
      <c r="I1" s="35" t="s">
        <v>335</v>
      </c>
      <c r="J1" s="6" t="s">
        <v>339</v>
      </c>
      <c r="K1" s="6" t="s">
        <v>338</v>
      </c>
      <c r="L1" s="33" t="s">
        <v>337</v>
      </c>
      <c r="M1" s="6" t="s">
        <v>336</v>
      </c>
      <c r="N1" s="6" t="s">
        <v>340</v>
      </c>
      <c r="O1" s="6" t="s">
        <v>341</v>
      </c>
      <c r="P1" s="74" t="s">
        <v>343</v>
      </c>
      <c r="Q1" s="77" t="s">
        <v>286</v>
      </c>
      <c r="R1" s="6" t="s">
        <v>5</v>
      </c>
      <c r="S1" s="6" t="s">
        <v>6</v>
      </c>
      <c r="T1" s="6" t="s">
        <v>7</v>
      </c>
      <c r="U1" s="6" t="s">
        <v>8</v>
      </c>
    </row>
    <row r="2" spans="1:23" ht="22.8" x14ac:dyDescent="0.3">
      <c r="A2" s="7" t="s">
        <v>9</v>
      </c>
      <c r="B2" s="7" t="s">
        <v>10</v>
      </c>
      <c r="C2" s="36">
        <v>320878310</v>
      </c>
      <c r="D2" s="8">
        <v>2015</v>
      </c>
      <c r="E2" s="7" t="s">
        <v>11</v>
      </c>
      <c r="F2" s="41">
        <f t="shared" ref="F2:F65" si="0">I2*100/C2</f>
        <v>1.4324433458902225E-2</v>
      </c>
      <c r="G2" s="11">
        <v>9</v>
      </c>
      <c r="H2" s="36">
        <f>O2+L2+(G2*F2)</f>
        <v>2724303.4249199014</v>
      </c>
      <c r="I2" s="36">
        <v>45964</v>
      </c>
      <c r="J2" s="9">
        <v>0.13300000000000001</v>
      </c>
      <c r="K2" s="9">
        <v>8</v>
      </c>
      <c r="L2" s="40">
        <f>I2*J2*K2</f>
        <v>48905.696000000004</v>
      </c>
      <c r="M2" s="36">
        <v>36252</v>
      </c>
      <c r="N2" s="14">
        <v>73.8</v>
      </c>
      <c r="O2" s="9">
        <f>M2*N2</f>
        <v>2675397.6</v>
      </c>
      <c r="P2" s="75">
        <f>(H2/'GTBI Panel'!C2)*100000</f>
        <v>849.0145142312366</v>
      </c>
      <c r="Q2" s="78">
        <f>100*(1-EXP(-P2/100))</f>
        <v>99.979451656638958</v>
      </c>
      <c r="R2" s="7" t="s">
        <v>13</v>
      </c>
      <c r="S2" s="80" t="s">
        <v>14</v>
      </c>
      <c r="T2" s="7" t="s">
        <v>342</v>
      </c>
      <c r="U2" s="3" t="s">
        <v>371</v>
      </c>
    </row>
    <row r="3" spans="1:23" ht="22.8" x14ac:dyDescent="0.3">
      <c r="A3" s="10" t="s">
        <v>9</v>
      </c>
      <c r="B3" s="10" t="s">
        <v>10</v>
      </c>
      <c r="C3" s="37">
        <v>320878310</v>
      </c>
      <c r="D3" s="11">
        <v>2015</v>
      </c>
      <c r="E3" s="10" t="s">
        <v>17</v>
      </c>
      <c r="F3" s="41">
        <f t="shared" si="0"/>
        <v>9.7233122425756973E-5</v>
      </c>
      <c r="G3" s="8">
        <v>7</v>
      </c>
      <c r="H3" s="36">
        <f t="shared" ref="H3:H65" si="1">O3+L3+(G3*F3)</f>
        <v>248.97668063185699</v>
      </c>
      <c r="I3" s="37">
        <v>312</v>
      </c>
      <c r="J3" s="12">
        <v>0.13300000000000001</v>
      </c>
      <c r="K3" s="12">
        <v>6</v>
      </c>
      <c r="L3" s="40">
        <f t="shared" ref="L3:L66" si="2">I3*J3*K3</f>
        <v>248.976</v>
      </c>
      <c r="M3" s="11">
        <v>0</v>
      </c>
      <c r="N3" s="15">
        <v>73.8</v>
      </c>
      <c r="O3" s="9">
        <f t="shared" ref="O3:O66" si="3">M3*N3</f>
        <v>0</v>
      </c>
      <c r="P3" s="75">
        <f>(H3/C3)*100000</f>
        <v>7.7592243811012651E-2</v>
      </c>
      <c r="Q3" s="78">
        <f t="shared" ref="Q3:Q66" si="4">100*(1-EXP(-P3/100))</f>
        <v>7.7562148813814513E-2</v>
      </c>
      <c r="R3" s="10" t="s">
        <v>18</v>
      </c>
      <c r="S3" s="81" t="s">
        <v>19</v>
      </c>
      <c r="T3" s="10"/>
      <c r="U3" s="4"/>
    </row>
    <row r="4" spans="1:23" x14ac:dyDescent="0.3">
      <c r="A4" s="7" t="s">
        <v>9</v>
      </c>
      <c r="B4" s="7" t="s">
        <v>10</v>
      </c>
      <c r="C4" s="36">
        <v>320878310</v>
      </c>
      <c r="D4" s="8">
        <v>2015</v>
      </c>
      <c r="E4" s="7" t="s">
        <v>20</v>
      </c>
      <c r="F4" s="41">
        <f t="shared" si="0"/>
        <v>1.1593179981532564E-4</v>
      </c>
      <c r="G4" s="11">
        <v>7</v>
      </c>
      <c r="H4" s="36">
        <f t="shared" si="1"/>
        <v>35351.856811522601</v>
      </c>
      <c r="I4" s="36">
        <v>372</v>
      </c>
      <c r="J4" s="9">
        <v>0.13300000000000001</v>
      </c>
      <c r="K4" s="9">
        <v>6</v>
      </c>
      <c r="L4" s="40">
        <f t="shared" si="2"/>
        <v>296.85599999999999</v>
      </c>
      <c r="M4" s="8">
        <v>475</v>
      </c>
      <c r="N4" s="14">
        <v>73.8</v>
      </c>
      <c r="O4" s="9">
        <f t="shared" si="3"/>
        <v>35055</v>
      </c>
      <c r="P4" s="75">
        <f t="shared" ref="P4:P28" si="5">(H4/C4)*100000</f>
        <v>11.017216094014769</v>
      </c>
      <c r="Q4" s="78">
        <f t="shared" si="4"/>
        <v>10.432007907519425</v>
      </c>
      <c r="R4" s="7" t="s">
        <v>21</v>
      </c>
      <c r="S4" s="80" t="s">
        <v>19</v>
      </c>
      <c r="T4" s="7" t="s">
        <v>22</v>
      </c>
      <c r="U4" s="7"/>
    </row>
    <row r="5" spans="1:23" x14ac:dyDescent="0.3">
      <c r="A5" s="10" t="s">
        <v>9</v>
      </c>
      <c r="B5" s="10" t="s">
        <v>10</v>
      </c>
      <c r="C5" s="37">
        <v>320878310</v>
      </c>
      <c r="D5" s="11">
        <v>2015</v>
      </c>
      <c r="E5" s="10" t="s">
        <v>23</v>
      </c>
      <c r="F5" s="41">
        <f t="shared" si="0"/>
        <v>2.0880189751684993E-5</v>
      </c>
      <c r="G5" s="8">
        <v>8</v>
      </c>
      <c r="H5" s="36">
        <f t="shared" si="1"/>
        <v>1243.177167041518</v>
      </c>
      <c r="I5" s="37">
        <v>67</v>
      </c>
      <c r="J5" s="12">
        <v>0.13300000000000001</v>
      </c>
      <c r="K5" s="12">
        <v>7</v>
      </c>
      <c r="L5" s="40">
        <f t="shared" si="2"/>
        <v>62.37700000000001</v>
      </c>
      <c r="M5" s="11">
        <v>16</v>
      </c>
      <c r="N5" s="15">
        <v>73.8</v>
      </c>
      <c r="O5" s="9">
        <f t="shared" si="3"/>
        <v>1180.8</v>
      </c>
      <c r="P5" s="75">
        <f t="shared" si="5"/>
        <v>0.38742947974312064</v>
      </c>
      <c r="Q5" s="78">
        <f t="shared" si="4"/>
        <v>0.38667994002596906</v>
      </c>
      <c r="R5" s="10" t="s">
        <v>24</v>
      </c>
      <c r="S5" s="81" t="s">
        <v>25</v>
      </c>
      <c r="T5" s="10" t="s">
        <v>15</v>
      </c>
      <c r="U5" s="4"/>
    </row>
    <row r="6" spans="1:23" ht="17.25" customHeight="1" x14ac:dyDescent="0.3">
      <c r="A6" s="7" t="s">
        <v>9</v>
      </c>
      <c r="B6" s="7" t="s">
        <v>10</v>
      </c>
      <c r="C6" s="36">
        <v>320878310</v>
      </c>
      <c r="D6" s="8">
        <v>2015</v>
      </c>
      <c r="E6" s="7" t="s">
        <v>26</v>
      </c>
      <c r="F6" s="41">
        <f t="shared" si="0"/>
        <v>0.1269680708552722</v>
      </c>
      <c r="G6" s="11">
        <v>6</v>
      </c>
      <c r="H6" s="36">
        <f t="shared" si="1"/>
        <v>279785.48180842516</v>
      </c>
      <c r="I6" s="36">
        <v>407413</v>
      </c>
      <c r="J6" s="9">
        <v>0.128</v>
      </c>
      <c r="K6" s="9">
        <v>5</v>
      </c>
      <c r="L6" s="40">
        <f t="shared" si="2"/>
        <v>260744.32000000001</v>
      </c>
      <c r="M6" s="8">
        <v>258</v>
      </c>
      <c r="N6" s="14">
        <v>73.8</v>
      </c>
      <c r="O6" s="9">
        <f t="shared" si="3"/>
        <v>19040.399999999998</v>
      </c>
      <c r="P6" s="75">
        <f t="shared" si="5"/>
        <v>87.193641043679506</v>
      </c>
      <c r="Q6" s="78">
        <f t="shared" si="4"/>
        <v>58.185892794333704</v>
      </c>
      <c r="R6" s="7" t="s">
        <v>27</v>
      </c>
      <c r="S6" s="80" t="s">
        <v>28</v>
      </c>
      <c r="T6" s="7" t="s">
        <v>29</v>
      </c>
      <c r="U6" s="3" t="s">
        <v>16</v>
      </c>
      <c r="V6" s="42" t="s">
        <v>366</v>
      </c>
      <c r="W6" s="43" t="s">
        <v>367</v>
      </c>
    </row>
    <row r="7" spans="1:23" x14ac:dyDescent="0.3">
      <c r="A7" s="10" t="s">
        <v>9</v>
      </c>
      <c r="B7" s="10" t="s">
        <v>10</v>
      </c>
      <c r="C7" s="37">
        <v>320878310</v>
      </c>
      <c r="D7" s="11">
        <v>2015</v>
      </c>
      <c r="E7" s="10" t="s">
        <v>30</v>
      </c>
      <c r="F7" s="41">
        <f t="shared" si="0"/>
        <v>1.4958941911654919E-5</v>
      </c>
      <c r="G7" s="8">
        <v>6</v>
      </c>
      <c r="H7" s="36">
        <f t="shared" si="1"/>
        <v>3860.6400897536514</v>
      </c>
      <c r="I7" s="37">
        <v>48</v>
      </c>
      <c r="J7" s="12">
        <v>0.12</v>
      </c>
      <c r="K7" s="12">
        <v>4</v>
      </c>
      <c r="L7" s="40">
        <f t="shared" si="2"/>
        <v>23.04</v>
      </c>
      <c r="M7" s="11">
        <v>52</v>
      </c>
      <c r="N7" s="15">
        <v>73.8</v>
      </c>
      <c r="O7" s="9">
        <f t="shared" si="3"/>
        <v>3837.6</v>
      </c>
      <c r="P7" s="75">
        <f t="shared" si="5"/>
        <v>1.203147725925648</v>
      </c>
      <c r="Q7" s="78">
        <f t="shared" si="4"/>
        <v>1.1959388438044782</v>
      </c>
      <c r="R7" s="10" t="s">
        <v>31</v>
      </c>
      <c r="S7" s="81" t="s">
        <v>32</v>
      </c>
      <c r="T7" s="10" t="s">
        <v>33</v>
      </c>
      <c r="U7" s="4"/>
    </row>
    <row r="8" spans="1:23" ht="18.75" customHeight="1" x14ac:dyDescent="0.3">
      <c r="A8" s="7" t="s">
        <v>9</v>
      </c>
      <c r="B8" s="7" t="s">
        <v>10</v>
      </c>
      <c r="C8" s="36">
        <v>323127513</v>
      </c>
      <c r="D8" s="8">
        <v>2016</v>
      </c>
      <c r="E8" s="7" t="s">
        <v>11</v>
      </c>
      <c r="F8" s="41">
        <f t="shared" si="0"/>
        <v>1.430766435540263E-2</v>
      </c>
      <c r="G8" s="11">
        <v>9</v>
      </c>
      <c r="H8" s="36">
        <f t="shared" si="1"/>
        <v>2902151.3767689792</v>
      </c>
      <c r="I8" s="36">
        <v>46232</v>
      </c>
      <c r="J8" s="9">
        <v>0.13300000000000001</v>
      </c>
      <c r="K8" s="9">
        <v>8</v>
      </c>
      <c r="L8" s="40">
        <f t="shared" si="2"/>
        <v>49190.848000000005</v>
      </c>
      <c r="M8" s="8">
        <v>38658</v>
      </c>
      <c r="N8" s="14">
        <v>73.8</v>
      </c>
      <c r="O8" s="9">
        <f t="shared" si="3"/>
        <v>2852960.4</v>
      </c>
      <c r="P8" s="75">
        <f t="shared" si="5"/>
        <v>898.1443114591666</v>
      </c>
      <c r="Q8" s="78">
        <f t="shared" si="4"/>
        <v>99.987427871369633</v>
      </c>
      <c r="R8" s="7" t="s">
        <v>13</v>
      </c>
      <c r="S8" s="80" t="s">
        <v>14</v>
      </c>
      <c r="T8" s="7" t="s">
        <v>15</v>
      </c>
      <c r="U8" s="3" t="s">
        <v>16</v>
      </c>
      <c r="V8" s="42" t="s">
        <v>368</v>
      </c>
    </row>
    <row r="9" spans="1:23" s="13" customFormat="1" x14ac:dyDescent="0.3">
      <c r="A9" s="10" t="s">
        <v>9</v>
      </c>
      <c r="B9" s="10" t="s">
        <v>10</v>
      </c>
      <c r="C9" s="37">
        <v>323127513</v>
      </c>
      <c r="D9" s="11">
        <v>2016</v>
      </c>
      <c r="E9" s="10" t="s">
        <v>17</v>
      </c>
      <c r="F9" s="41">
        <f t="shared" si="0"/>
        <v>8.9438375988738536E-5</v>
      </c>
      <c r="G9" s="8">
        <v>7</v>
      </c>
      <c r="H9" s="36">
        <f t="shared" si="1"/>
        <v>230.62262606863194</v>
      </c>
      <c r="I9" s="37">
        <v>289</v>
      </c>
      <c r="J9" s="12">
        <v>0.13300000000000001</v>
      </c>
      <c r="K9" s="12">
        <v>6</v>
      </c>
      <c r="L9" s="40">
        <f t="shared" si="2"/>
        <v>230.62200000000001</v>
      </c>
      <c r="M9" s="11">
        <v>0</v>
      </c>
      <c r="N9" s="15">
        <v>73.8</v>
      </c>
      <c r="O9" s="9">
        <f t="shared" si="3"/>
        <v>0</v>
      </c>
      <c r="P9" s="75">
        <f t="shared" si="5"/>
        <v>7.1372017791822007E-2</v>
      </c>
      <c r="Q9" s="78">
        <f t="shared" si="4"/>
        <v>7.1346554025564224E-2</v>
      </c>
      <c r="R9" s="10" t="s">
        <v>34</v>
      </c>
      <c r="S9" s="81" t="s">
        <v>19</v>
      </c>
      <c r="T9" s="10"/>
      <c r="U9" s="10"/>
    </row>
    <row r="10" spans="1:23" x14ac:dyDescent="0.3">
      <c r="A10" s="7" t="s">
        <v>9</v>
      </c>
      <c r="B10" s="7" t="s">
        <v>10</v>
      </c>
      <c r="C10" s="36">
        <v>323127513</v>
      </c>
      <c r="D10" s="8">
        <v>2016</v>
      </c>
      <c r="E10" s="7" t="s">
        <v>20</v>
      </c>
      <c r="F10" s="41">
        <f t="shared" si="0"/>
        <v>1.1883853418572872E-4</v>
      </c>
      <c r="G10" s="11">
        <v>7</v>
      </c>
      <c r="H10" s="36">
        <f t="shared" si="1"/>
        <v>38756.232831869733</v>
      </c>
      <c r="I10" s="36">
        <v>384</v>
      </c>
      <c r="J10" s="9">
        <v>0.13300000000000001</v>
      </c>
      <c r="K10" s="9">
        <v>6</v>
      </c>
      <c r="L10" s="40">
        <f t="shared" si="2"/>
        <v>306.43200000000002</v>
      </c>
      <c r="M10" s="8">
        <v>521</v>
      </c>
      <c r="N10" s="14">
        <v>73.8</v>
      </c>
      <c r="O10" s="9">
        <f t="shared" si="3"/>
        <v>38449.799999999996</v>
      </c>
      <c r="P10" s="75">
        <f t="shared" si="5"/>
        <v>11.994098698698471</v>
      </c>
      <c r="Q10" s="78">
        <f t="shared" si="4"/>
        <v>11.302722189117054</v>
      </c>
      <c r="R10" s="7" t="s">
        <v>35</v>
      </c>
      <c r="S10" s="80" t="s">
        <v>19</v>
      </c>
      <c r="T10" s="7" t="s">
        <v>22</v>
      </c>
      <c r="U10" s="7"/>
    </row>
    <row r="11" spans="1:23" x14ac:dyDescent="0.3">
      <c r="A11" s="10" t="s">
        <v>9</v>
      </c>
      <c r="B11" s="10" t="s">
        <v>10</v>
      </c>
      <c r="C11" s="37">
        <v>323127513</v>
      </c>
      <c r="D11" s="11">
        <v>2016</v>
      </c>
      <c r="E11" s="10" t="s">
        <v>23</v>
      </c>
      <c r="F11" s="41">
        <f t="shared" si="0"/>
        <v>2.1972749810382131E-5</v>
      </c>
      <c r="G11" s="8">
        <v>8</v>
      </c>
      <c r="H11" s="36">
        <f t="shared" si="1"/>
        <v>3682.3011757819986</v>
      </c>
      <c r="I11" s="37">
        <v>71</v>
      </c>
      <c r="J11" s="12">
        <v>0.13300000000000001</v>
      </c>
      <c r="K11" s="12">
        <v>7</v>
      </c>
      <c r="L11" s="40">
        <f t="shared" si="2"/>
        <v>66.101000000000013</v>
      </c>
      <c r="M11" s="11">
        <v>49</v>
      </c>
      <c r="N11" s="15">
        <v>73.8</v>
      </c>
      <c r="O11" s="9">
        <f t="shared" si="3"/>
        <v>3616.2</v>
      </c>
      <c r="P11" s="75">
        <f t="shared" si="5"/>
        <v>1.1395814431258284</v>
      </c>
      <c r="Q11" s="78">
        <f t="shared" si="4"/>
        <v>1.1331128089002163</v>
      </c>
      <c r="R11" s="10" t="s">
        <v>36</v>
      </c>
      <c r="S11" s="81" t="s">
        <v>25</v>
      </c>
      <c r="T11" s="10" t="s">
        <v>15</v>
      </c>
      <c r="U11" s="4"/>
    </row>
    <row r="12" spans="1:23" ht="21.75" customHeight="1" x14ac:dyDescent="0.3">
      <c r="A12" s="7" t="s">
        <v>9</v>
      </c>
      <c r="B12" s="7" t="s">
        <v>10</v>
      </c>
      <c r="C12" s="36">
        <v>323127513</v>
      </c>
      <c r="D12" s="8">
        <v>2016</v>
      </c>
      <c r="E12" s="7" t="s">
        <v>26</v>
      </c>
      <c r="F12" s="41">
        <f t="shared" si="0"/>
        <v>0.10065500055391445</v>
      </c>
      <c r="G12" s="11">
        <v>6</v>
      </c>
      <c r="H12" s="36">
        <f t="shared" si="1"/>
        <v>211846.76393000336</v>
      </c>
      <c r="I12" s="36">
        <v>325244</v>
      </c>
      <c r="J12" s="9">
        <v>0.128</v>
      </c>
      <c r="K12" s="9">
        <v>5</v>
      </c>
      <c r="L12" s="40">
        <f t="shared" si="2"/>
        <v>208156.16000000003</v>
      </c>
      <c r="M12" s="8">
        <v>50</v>
      </c>
      <c r="N12" s="14">
        <v>73.8</v>
      </c>
      <c r="O12" s="9">
        <f t="shared" si="3"/>
        <v>3690</v>
      </c>
      <c r="P12" s="75">
        <f t="shared" si="5"/>
        <v>65.56135129539507</v>
      </c>
      <c r="Q12" s="78">
        <f t="shared" si="4"/>
        <v>48.087652410865054</v>
      </c>
      <c r="R12" s="7" t="s">
        <v>27</v>
      </c>
      <c r="S12" s="80" t="s">
        <v>28</v>
      </c>
      <c r="T12" s="7" t="s">
        <v>29</v>
      </c>
      <c r="U12" s="3" t="s">
        <v>16</v>
      </c>
      <c r="V12" s="42" t="s">
        <v>369</v>
      </c>
      <c r="W12" s="43" t="s">
        <v>370</v>
      </c>
    </row>
    <row r="13" spans="1:23" x14ac:dyDescent="0.3">
      <c r="A13" s="10" t="s">
        <v>9</v>
      </c>
      <c r="B13" s="10" t="s">
        <v>10</v>
      </c>
      <c r="C13" s="37">
        <v>323127513</v>
      </c>
      <c r="D13" s="11">
        <v>2016</v>
      </c>
      <c r="E13" s="10" t="s">
        <v>30</v>
      </c>
      <c r="F13" s="41">
        <f t="shared" si="0"/>
        <v>1.9187471665404116E-5</v>
      </c>
      <c r="G13" s="8">
        <v>6</v>
      </c>
      <c r="H13" s="36">
        <f t="shared" si="1"/>
        <v>10214.160115124831</v>
      </c>
      <c r="I13" s="37">
        <v>62</v>
      </c>
      <c r="J13" s="12">
        <v>0.12</v>
      </c>
      <c r="K13" s="12">
        <v>4</v>
      </c>
      <c r="L13" s="40">
        <f t="shared" si="2"/>
        <v>29.759999999999998</v>
      </c>
      <c r="M13" s="11">
        <v>138</v>
      </c>
      <c r="N13" s="15">
        <v>73.8</v>
      </c>
      <c r="O13" s="9">
        <f t="shared" si="3"/>
        <v>10184.4</v>
      </c>
      <c r="P13" s="75">
        <f t="shared" si="5"/>
        <v>3.1610307708848153</v>
      </c>
      <c r="Q13" s="78">
        <f t="shared" si="4"/>
        <v>3.1115924823538532</v>
      </c>
      <c r="R13" s="10" t="s">
        <v>37</v>
      </c>
      <c r="S13" s="81" t="s">
        <v>32</v>
      </c>
      <c r="T13" s="10" t="s">
        <v>33</v>
      </c>
      <c r="U13" s="4"/>
    </row>
    <row r="14" spans="1:23" ht="22.8" x14ac:dyDescent="0.3">
      <c r="A14" s="7" t="s">
        <v>9</v>
      </c>
      <c r="B14" s="7" t="s">
        <v>10</v>
      </c>
      <c r="C14" s="36">
        <v>325084756</v>
      </c>
      <c r="D14" s="8">
        <v>2017</v>
      </c>
      <c r="E14" s="7" t="s">
        <v>11</v>
      </c>
      <c r="F14" s="41">
        <f t="shared" si="0"/>
        <v>1.4667867108478012E-2</v>
      </c>
      <c r="G14" s="11">
        <v>9</v>
      </c>
      <c r="H14" s="36">
        <f t="shared" si="1"/>
        <v>2985982.2440108038</v>
      </c>
      <c r="I14" s="36">
        <v>47683</v>
      </c>
      <c r="J14" s="9">
        <v>0.13300000000000001</v>
      </c>
      <c r="K14" s="9">
        <v>8</v>
      </c>
      <c r="L14" s="40">
        <f t="shared" si="2"/>
        <v>50734.712</v>
      </c>
      <c r="M14" s="8">
        <v>39773</v>
      </c>
      <c r="N14" s="14">
        <v>73.8</v>
      </c>
      <c r="O14" s="9">
        <f t="shared" si="3"/>
        <v>2935247.4</v>
      </c>
      <c r="P14" s="75">
        <f t="shared" si="5"/>
        <v>918.52422757430179</v>
      </c>
      <c r="Q14" s="78">
        <f t="shared" si="4"/>
        <v>99.989745842949901</v>
      </c>
      <c r="R14" s="7" t="s">
        <v>13</v>
      </c>
      <c r="S14" s="80" t="s">
        <v>14</v>
      </c>
      <c r="T14" s="7" t="s">
        <v>15</v>
      </c>
      <c r="U14" s="3" t="s">
        <v>16</v>
      </c>
    </row>
    <row r="15" spans="1:23" x14ac:dyDescent="0.3">
      <c r="A15" s="10" t="s">
        <v>9</v>
      </c>
      <c r="B15" s="10" t="s">
        <v>10</v>
      </c>
      <c r="C15" s="37">
        <v>325084756</v>
      </c>
      <c r="D15" s="11">
        <v>2017</v>
      </c>
      <c r="E15" s="10" t="s">
        <v>17</v>
      </c>
      <c r="F15" s="41">
        <f t="shared" si="0"/>
        <v>1.2335244658473005E-4</v>
      </c>
      <c r="G15" s="8">
        <v>7</v>
      </c>
      <c r="H15" s="36">
        <f t="shared" si="1"/>
        <v>319.99886346712611</v>
      </c>
      <c r="I15" s="37">
        <v>401</v>
      </c>
      <c r="J15" s="12">
        <v>0.13300000000000001</v>
      </c>
      <c r="K15" s="12">
        <v>6</v>
      </c>
      <c r="L15" s="40">
        <f t="shared" si="2"/>
        <v>319.99800000000005</v>
      </c>
      <c r="M15" s="11">
        <v>0</v>
      </c>
      <c r="N15" s="15">
        <v>73.8</v>
      </c>
      <c r="O15" s="9">
        <f t="shared" si="3"/>
        <v>0</v>
      </c>
      <c r="P15" s="75">
        <f t="shared" si="5"/>
        <v>9.8435517987538648E-2</v>
      </c>
      <c r="Q15" s="78">
        <f t="shared" si="4"/>
        <v>9.8387086124218648E-2</v>
      </c>
      <c r="R15" s="10" t="s">
        <v>38</v>
      </c>
      <c r="S15" s="81" t="s">
        <v>19</v>
      </c>
      <c r="T15" s="10"/>
      <c r="U15" s="4"/>
    </row>
    <row r="16" spans="1:23" x14ac:dyDescent="0.3">
      <c r="A16" s="7" t="s">
        <v>9</v>
      </c>
      <c r="B16" s="7" t="s">
        <v>10</v>
      </c>
      <c r="C16" s="36">
        <v>325084756</v>
      </c>
      <c r="D16" s="8">
        <v>2017</v>
      </c>
      <c r="E16" s="7" t="s">
        <v>20</v>
      </c>
      <c r="F16" s="41">
        <f t="shared" si="0"/>
        <v>1.2858185205091562E-4</v>
      </c>
      <c r="G16" s="11">
        <v>7</v>
      </c>
      <c r="H16" s="36">
        <f t="shared" si="1"/>
        <v>45868.164900072959</v>
      </c>
      <c r="I16" s="36">
        <v>418</v>
      </c>
      <c r="J16" s="9">
        <v>0.13300000000000001</v>
      </c>
      <c r="K16" s="9">
        <v>6</v>
      </c>
      <c r="L16" s="40">
        <f t="shared" si="2"/>
        <v>333.56400000000002</v>
      </c>
      <c r="M16" s="8">
        <v>617</v>
      </c>
      <c r="N16" s="14">
        <v>73.8</v>
      </c>
      <c r="O16" s="9">
        <f t="shared" si="3"/>
        <v>45534.6</v>
      </c>
      <c r="P16" s="75">
        <f t="shared" si="5"/>
        <v>14.109601897196606</v>
      </c>
      <c r="Q16" s="78">
        <f t="shared" si="4"/>
        <v>13.159407574975223</v>
      </c>
      <c r="R16" s="7" t="s">
        <v>39</v>
      </c>
      <c r="S16" s="80" t="s">
        <v>19</v>
      </c>
      <c r="T16" s="7" t="s">
        <v>22</v>
      </c>
      <c r="U16" s="7"/>
    </row>
    <row r="17" spans="1:21" ht="22.8" x14ac:dyDescent="0.3">
      <c r="A17" s="10" t="s">
        <v>9</v>
      </c>
      <c r="B17" s="10" t="s">
        <v>10</v>
      </c>
      <c r="C17" s="37">
        <v>325084756</v>
      </c>
      <c r="D17" s="11">
        <v>2017</v>
      </c>
      <c r="E17" s="10" t="s">
        <v>23</v>
      </c>
      <c r="F17" s="41">
        <f t="shared" si="0"/>
        <v>2.5531803158435395E-5</v>
      </c>
      <c r="G17" s="8">
        <v>8</v>
      </c>
      <c r="H17" s="36">
        <f t="shared" si="1"/>
        <v>962.87320425442522</v>
      </c>
      <c r="I17" s="37">
        <v>83</v>
      </c>
      <c r="J17" s="12">
        <v>0.13300000000000001</v>
      </c>
      <c r="K17" s="12">
        <v>7</v>
      </c>
      <c r="L17" s="40">
        <f t="shared" si="2"/>
        <v>77.27300000000001</v>
      </c>
      <c r="M17" s="11">
        <v>12</v>
      </c>
      <c r="N17" s="15">
        <v>73.8</v>
      </c>
      <c r="O17" s="9">
        <f t="shared" si="3"/>
        <v>885.59999999999991</v>
      </c>
      <c r="P17" s="75">
        <f t="shared" si="5"/>
        <v>0.29619143515127644</v>
      </c>
      <c r="Q17" s="78">
        <f t="shared" si="4"/>
        <v>0.29575322107761037</v>
      </c>
      <c r="R17" s="10" t="s">
        <v>40</v>
      </c>
      <c r="S17" s="81" t="s">
        <v>25</v>
      </c>
      <c r="T17" s="10" t="s">
        <v>15</v>
      </c>
      <c r="U17" s="4"/>
    </row>
    <row r="18" spans="1:21" ht="22.8" x14ac:dyDescent="0.3">
      <c r="A18" s="7" t="s">
        <v>9</v>
      </c>
      <c r="B18" s="7" t="s">
        <v>10</v>
      </c>
      <c r="C18" s="36">
        <v>325084756</v>
      </c>
      <c r="D18" s="8">
        <v>2017</v>
      </c>
      <c r="E18" s="7" t="s">
        <v>26</v>
      </c>
      <c r="F18" s="41" t="e">
        <f t="shared" si="0"/>
        <v>#VALUE!</v>
      </c>
      <c r="G18" s="11">
        <v>6</v>
      </c>
      <c r="H18" s="36" t="e">
        <f t="shared" si="1"/>
        <v>#VALUE!</v>
      </c>
      <c r="I18" s="73" t="s">
        <v>12</v>
      </c>
      <c r="J18" s="9">
        <v>0.128</v>
      </c>
      <c r="K18" s="9">
        <v>5</v>
      </c>
      <c r="L18" s="40" t="e">
        <f t="shared" si="2"/>
        <v>#VALUE!</v>
      </c>
      <c r="M18" s="18" t="s">
        <v>12</v>
      </c>
      <c r="N18" s="14">
        <v>73.8</v>
      </c>
      <c r="O18" s="9" t="e">
        <f t="shared" si="3"/>
        <v>#VALUE!</v>
      </c>
      <c r="P18" s="75" t="e">
        <f t="shared" si="5"/>
        <v>#VALUE!</v>
      </c>
      <c r="Q18" s="78" t="e">
        <f t="shared" si="4"/>
        <v>#VALUE!</v>
      </c>
      <c r="R18" s="7" t="s">
        <v>27</v>
      </c>
      <c r="S18" s="80" t="s">
        <v>28</v>
      </c>
      <c r="T18" s="7" t="s">
        <v>29</v>
      </c>
      <c r="U18" s="3" t="s">
        <v>16</v>
      </c>
    </row>
    <row r="19" spans="1:21" ht="22.8" x14ac:dyDescent="0.3">
      <c r="A19" s="10" t="s">
        <v>9</v>
      </c>
      <c r="B19" s="10" t="s">
        <v>10</v>
      </c>
      <c r="C19" s="37">
        <v>325084756</v>
      </c>
      <c r="D19" s="11">
        <v>2017</v>
      </c>
      <c r="E19" s="10" t="s">
        <v>30</v>
      </c>
      <c r="F19" s="41">
        <f t="shared" si="0"/>
        <v>2.7377475675912653E-5</v>
      </c>
      <c r="G19" s="8">
        <v>6</v>
      </c>
      <c r="H19" s="36">
        <f t="shared" si="1"/>
        <v>40189.920164264855</v>
      </c>
      <c r="I19" s="37">
        <v>89</v>
      </c>
      <c r="J19" s="12">
        <v>0.12</v>
      </c>
      <c r="K19" s="12">
        <v>4</v>
      </c>
      <c r="L19" s="40">
        <f t="shared" si="2"/>
        <v>42.72</v>
      </c>
      <c r="M19" s="11">
        <v>544</v>
      </c>
      <c r="N19" s="15">
        <v>73.8</v>
      </c>
      <c r="O19" s="9">
        <f t="shared" si="3"/>
        <v>40147.199999999997</v>
      </c>
      <c r="P19" s="75">
        <f t="shared" si="5"/>
        <v>12.362905187798118</v>
      </c>
      <c r="Q19" s="78">
        <f t="shared" si="4"/>
        <v>11.629241023908721</v>
      </c>
      <c r="R19" s="10" t="s">
        <v>41</v>
      </c>
      <c r="S19" s="81" t="s">
        <v>32</v>
      </c>
      <c r="T19" s="10" t="s">
        <v>33</v>
      </c>
      <c r="U19" s="4"/>
    </row>
    <row r="20" spans="1:21" ht="22.8" x14ac:dyDescent="0.3">
      <c r="A20" s="7" t="s">
        <v>9</v>
      </c>
      <c r="B20" s="7" t="s">
        <v>10</v>
      </c>
      <c r="C20" s="36">
        <v>326838199</v>
      </c>
      <c r="D20" s="8">
        <v>2018</v>
      </c>
      <c r="E20" s="7" t="s">
        <v>11</v>
      </c>
      <c r="F20" s="41">
        <f t="shared" si="0"/>
        <v>1.2969720225388955E-2</v>
      </c>
      <c r="G20" s="11">
        <v>9</v>
      </c>
      <c r="H20" s="36">
        <f t="shared" si="1"/>
        <v>2977915.076727482</v>
      </c>
      <c r="I20" s="36">
        <v>42390</v>
      </c>
      <c r="J20" s="9">
        <v>0.13300000000000001</v>
      </c>
      <c r="K20" s="9">
        <v>8</v>
      </c>
      <c r="L20" s="40">
        <f t="shared" si="2"/>
        <v>45102.96</v>
      </c>
      <c r="M20" s="8">
        <v>39740</v>
      </c>
      <c r="N20" s="14">
        <v>73.8</v>
      </c>
      <c r="O20" s="9">
        <f t="shared" si="3"/>
        <v>2932812</v>
      </c>
      <c r="P20" s="75">
        <f t="shared" si="5"/>
        <v>911.12822364055501</v>
      </c>
      <c r="Q20" s="78">
        <f t="shared" si="4"/>
        <v>99.98895869513052</v>
      </c>
      <c r="R20" s="7" t="s">
        <v>13</v>
      </c>
      <c r="S20" s="80" t="s">
        <v>14</v>
      </c>
      <c r="T20" s="7" t="s">
        <v>15</v>
      </c>
      <c r="U20" s="3" t="s">
        <v>372</v>
      </c>
    </row>
    <row r="21" spans="1:21" ht="22.8" x14ac:dyDescent="0.3">
      <c r="A21" s="10" t="s">
        <v>9</v>
      </c>
      <c r="B21" s="10" t="s">
        <v>10</v>
      </c>
      <c r="C21" s="37">
        <v>326838199</v>
      </c>
      <c r="D21" s="11">
        <v>2018</v>
      </c>
      <c r="E21" s="10" t="s">
        <v>17</v>
      </c>
      <c r="F21" s="41">
        <f t="shared" si="0"/>
        <v>1.0892239679732172E-4</v>
      </c>
      <c r="G21" s="8">
        <v>7</v>
      </c>
      <c r="H21" s="36">
        <f t="shared" si="1"/>
        <v>284.08876245677754</v>
      </c>
      <c r="I21" s="37">
        <v>356</v>
      </c>
      <c r="J21" s="12">
        <v>0.13300000000000001</v>
      </c>
      <c r="K21" s="12">
        <v>6</v>
      </c>
      <c r="L21" s="40">
        <f t="shared" si="2"/>
        <v>284.08799999999997</v>
      </c>
      <c r="M21" s="11">
        <v>0</v>
      </c>
      <c r="N21" s="15">
        <v>73.8</v>
      </c>
      <c r="O21" s="9">
        <f t="shared" si="3"/>
        <v>0</v>
      </c>
      <c r="P21" s="75">
        <f t="shared" si="5"/>
        <v>8.6920305926902239E-2</v>
      </c>
      <c r="Q21" s="78">
        <f t="shared" si="4"/>
        <v>8.6882541171529049E-2</v>
      </c>
      <c r="R21" s="10" t="s">
        <v>42</v>
      </c>
      <c r="S21" s="81" t="s">
        <v>19</v>
      </c>
      <c r="T21" s="10"/>
      <c r="U21" s="4"/>
    </row>
    <row r="22" spans="1:21" x14ac:dyDescent="0.3">
      <c r="A22" s="7" t="s">
        <v>9</v>
      </c>
      <c r="B22" s="7" t="s">
        <v>10</v>
      </c>
      <c r="C22" s="36">
        <v>326838199</v>
      </c>
      <c r="D22" s="8">
        <v>2018</v>
      </c>
      <c r="E22" s="7" t="s">
        <v>20</v>
      </c>
      <c r="F22" s="41">
        <f t="shared" si="0"/>
        <v>1.1901913582628694E-4</v>
      </c>
      <c r="G22" s="11">
        <v>7</v>
      </c>
      <c r="H22" s="36">
        <f t="shared" si="1"/>
        <v>36324.822833133949</v>
      </c>
      <c r="I22" s="36">
        <v>389</v>
      </c>
      <c r="J22" s="9">
        <v>0.13300000000000001</v>
      </c>
      <c r="K22" s="9">
        <v>6</v>
      </c>
      <c r="L22" s="40">
        <f t="shared" si="2"/>
        <v>310.42200000000003</v>
      </c>
      <c r="M22" s="8">
        <v>488</v>
      </c>
      <c r="N22" s="14">
        <v>73.8</v>
      </c>
      <c r="O22" s="9">
        <f t="shared" si="3"/>
        <v>36014.400000000001</v>
      </c>
      <c r="P22" s="75">
        <f t="shared" si="5"/>
        <v>11.114007770289406</v>
      </c>
      <c r="Q22" s="78">
        <f t="shared" si="4"/>
        <v>10.518660325542184</v>
      </c>
      <c r="R22" s="7" t="s">
        <v>43</v>
      </c>
      <c r="S22" s="80" t="s">
        <v>19</v>
      </c>
      <c r="T22" s="7" t="s">
        <v>22</v>
      </c>
      <c r="U22" s="7"/>
    </row>
    <row r="23" spans="1:21" ht="22.8" x14ac:dyDescent="0.3">
      <c r="A23" s="10" t="s">
        <v>9</v>
      </c>
      <c r="B23" s="10" t="s">
        <v>10</v>
      </c>
      <c r="C23" s="37">
        <v>326838199</v>
      </c>
      <c r="D23" s="11">
        <v>2018</v>
      </c>
      <c r="E23" s="10" t="s">
        <v>23</v>
      </c>
      <c r="F23" s="41">
        <f t="shared" si="0"/>
        <v>2.3865019523008691E-5</v>
      </c>
      <c r="G23" s="8">
        <v>8</v>
      </c>
      <c r="H23" s="36">
        <f t="shared" si="1"/>
        <v>663.01819092015626</v>
      </c>
      <c r="I23" s="37">
        <v>78</v>
      </c>
      <c r="J23" s="12">
        <v>0.13300000000000001</v>
      </c>
      <c r="K23" s="12">
        <v>7</v>
      </c>
      <c r="L23" s="40">
        <f t="shared" si="2"/>
        <v>72.618000000000009</v>
      </c>
      <c r="M23" s="11">
        <v>8</v>
      </c>
      <c r="N23" s="12">
        <v>73.8</v>
      </c>
      <c r="O23" s="9">
        <f t="shared" si="3"/>
        <v>590.4</v>
      </c>
      <c r="P23" s="75">
        <f t="shared" si="5"/>
        <v>0.20285823167204403</v>
      </c>
      <c r="Q23" s="78">
        <f t="shared" si="4"/>
        <v>0.20265261342260477</v>
      </c>
      <c r="R23" s="10" t="s">
        <v>44</v>
      </c>
      <c r="S23" s="81" t="s">
        <v>25</v>
      </c>
      <c r="T23" s="10" t="s">
        <v>15</v>
      </c>
      <c r="U23" s="4"/>
    </row>
    <row r="24" spans="1:21" ht="22.8" x14ac:dyDescent="0.3">
      <c r="A24" s="7" t="s">
        <v>9</v>
      </c>
      <c r="B24" s="7" t="s">
        <v>10</v>
      </c>
      <c r="C24" s="36">
        <v>326838199</v>
      </c>
      <c r="D24" s="8">
        <v>2018</v>
      </c>
      <c r="E24" s="7" t="s">
        <v>26</v>
      </c>
      <c r="F24" s="41" t="e">
        <f t="shared" si="0"/>
        <v>#VALUE!</v>
      </c>
      <c r="G24" s="11">
        <v>6</v>
      </c>
      <c r="H24" s="36" t="e">
        <f t="shared" si="1"/>
        <v>#VALUE!</v>
      </c>
      <c r="I24" s="73" t="s">
        <v>12</v>
      </c>
      <c r="J24" s="9">
        <v>0.128</v>
      </c>
      <c r="K24" s="9">
        <v>5</v>
      </c>
      <c r="L24" s="40" t="e">
        <f t="shared" si="2"/>
        <v>#VALUE!</v>
      </c>
      <c r="M24" s="18" t="s">
        <v>12</v>
      </c>
      <c r="N24" s="9">
        <v>73.8</v>
      </c>
      <c r="O24" s="9" t="e">
        <f t="shared" si="3"/>
        <v>#VALUE!</v>
      </c>
      <c r="P24" s="75" t="e">
        <f t="shared" si="5"/>
        <v>#VALUE!</v>
      </c>
      <c r="Q24" s="78" t="e">
        <f t="shared" si="4"/>
        <v>#VALUE!</v>
      </c>
      <c r="R24" s="7" t="s">
        <v>27</v>
      </c>
      <c r="S24" s="80" t="s">
        <v>28</v>
      </c>
      <c r="T24" s="7" t="s">
        <v>29</v>
      </c>
      <c r="U24" s="3" t="s">
        <v>16</v>
      </c>
    </row>
    <row r="25" spans="1:21" ht="22.8" x14ac:dyDescent="0.3">
      <c r="A25" s="10" t="s">
        <v>9</v>
      </c>
      <c r="B25" s="10" t="s">
        <v>10</v>
      </c>
      <c r="C25" s="37">
        <v>326838199</v>
      </c>
      <c r="D25" s="11">
        <v>2018</v>
      </c>
      <c r="E25" s="10" t="s">
        <v>30</v>
      </c>
      <c r="F25" s="41">
        <f t="shared" si="0"/>
        <v>2.3253095945495647E-5</v>
      </c>
      <c r="G25" s="8">
        <v>6</v>
      </c>
      <c r="H25" s="36">
        <f t="shared" si="1"/>
        <v>18265.080139518574</v>
      </c>
      <c r="I25" s="37">
        <v>76</v>
      </c>
      <c r="J25" s="12">
        <v>0.12</v>
      </c>
      <c r="K25" s="12">
        <v>4</v>
      </c>
      <c r="L25" s="40">
        <f t="shared" si="2"/>
        <v>36.479999999999997</v>
      </c>
      <c r="M25" s="11">
        <v>247</v>
      </c>
      <c r="N25" s="12">
        <v>73.8</v>
      </c>
      <c r="O25" s="9">
        <f t="shared" si="3"/>
        <v>18228.599999999999</v>
      </c>
      <c r="P25" s="75">
        <f t="shared" si="5"/>
        <v>5.5884165912683219</v>
      </c>
      <c r="Q25" s="78">
        <f t="shared" si="4"/>
        <v>5.4351332103128041</v>
      </c>
      <c r="R25" s="10" t="s">
        <v>45</v>
      </c>
      <c r="S25" s="81" t="s">
        <v>32</v>
      </c>
      <c r="T25" s="10" t="s">
        <v>33</v>
      </c>
      <c r="U25" s="4"/>
    </row>
    <row r="26" spans="1:21" ht="22.8" x14ac:dyDescent="0.3">
      <c r="A26" s="7" t="s">
        <v>9</v>
      </c>
      <c r="B26" s="7" t="s">
        <v>10</v>
      </c>
      <c r="C26" s="36">
        <v>328329953</v>
      </c>
      <c r="D26" s="8">
        <v>2019</v>
      </c>
      <c r="E26" s="7" t="s">
        <v>11</v>
      </c>
      <c r="F26" s="41">
        <f t="shared" si="0"/>
        <v>1.2010174411348939E-2</v>
      </c>
      <c r="G26" s="11">
        <v>9</v>
      </c>
      <c r="H26" s="36">
        <f t="shared" si="1"/>
        <v>1182019.2200915697</v>
      </c>
      <c r="I26" s="36">
        <v>39433</v>
      </c>
      <c r="J26" s="9">
        <v>0.13300000000000001</v>
      </c>
      <c r="K26" s="9">
        <v>8</v>
      </c>
      <c r="L26" s="40">
        <f t="shared" si="2"/>
        <v>41956.712</v>
      </c>
      <c r="M26" s="8">
        <v>15448</v>
      </c>
      <c r="N26" s="9">
        <v>73.8</v>
      </c>
      <c r="O26" s="9">
        <f t="shared" si="3"/>
        <v>1140062.3999999999</v>
      </c>
      <c r="P26" s="75">
        <f t="shared" si="5"/>
        <v>360.00956028875311</v>
      </c>
      <c r="Q26" s="78">
        <f t="shared" si="4"/>
        <v>97.267888965460727</v>
      </c>
      <c r="R26" s="7" t="s">
        <v>13</v>
      </c>
      <c r="S26" s="80" t="s">
        <v>14</v>
      </c>
      <c r="T26" s="7" t="s">
        <v>15</v>
      </c>
      <c r="U26" s="3" t="s">
        <v>16</v>
      </c>
    </row>
    <row r="27" spans="1:21" x14ac:dyDescent="0.3">
      <c r="A27" s="10" t="s">
        <v>9</v>
      </c>
      <c r="B27" s="10" t="s">
        <v>10</v>
      </c>
      <c r="C27" s="37">
        <v>328329953</v>
      </c>
      <c r="D27" s="11">
        <v>2019</v>
      </c>
      <c r="E27" s="10" t="s">
        <v>17</v>
      </c>
      <c r="F27" s="41">
        <f t="shared" si="0"/>
        <v>9.0762355757410899E-5</v>
      </c>
      <c r="G27" s="8">
        <v>7</v>
      </c>
      <c r="H27" s="36">
        <f t="shared" si="1"/>
        <v>237.80463533649029</v>
      </c>
      <c r="I27" s="37">
        <v>298</v>
      </c>
      <c r="J27" s="12">
        <v>0.13300000000000001</v>
      </c>
      <c r="K27" s="12">
        <v>6</v>
      </c>
      <c r="L27" s="40">
        <f t="shared" si="2"/>
        <v>237.804</v>
      </c>
      <c r="M27" s="11">
        <v>0</v>
      </c>
      <c r="N27" s="12">
        <v>73.8</v>
      </c>
      <c r="O27" s="9">
        <f t="shared" si="3"/>
        <v>0</v>
      </c>
      <c r="P27" s="75">
        <f t="shared" si="5"/>
        <v>7.2428553399905699E-2</v>
      </c>
      <c r="Q27" s="78">
        <f t="shared" si="4"/>
        <v>7.2402330254561775E-2</v>
      </c>
      <c r="R27" s="10" t="s">
        <v>46</v>
      </c>
      <c r="S27" s="81" t="s">
        <v>19</v>
      </c>
      <c r="T27" s="10"/>
      <c r="U27" s="4"/>
    </row>
    <row r="28" spans="1:21" x14ac:dyDescent="0.3">
      <c r="A28" s="7" t="s">
        <v>9</v>
      </c>
      <c r="B28" s="7" t="s">
        <v>10</v>
      </c>
      <c r="C28" s="36">
        <v>328329953</v>
      </c>
      <c r="D28" s="8">
        <v>2019</v>
      </c>
      <c r="E28" s="7" t="s">
        <v>20</v>
      </c>
      <c r="F28" s="41">
        <f t="shared" si="0"/>
        <v>1.2700638372765218E-4</v>
      </c>
      <c r="G28" s="11">
        <v>7</v>
      </c>
      <c r="H28" s="36">
        <f t="shared" si="1"/>
        <v>35387.766889044688</v>
      </c>
      <c r="I28" s="36">
        <v>417</v>
      </c>
      <c r="J28" s="9">
        <v>0.13300000000000001</v>
      </c>
      <c r="K28" s="9">
        <v>6</v>
      </c>
      <c r="L28" s="40">
        <f t="shared" si="2"/>
        <v>332.76600000000002</v>
      </c>
      <c r="M28" s="8">
        <v>475</v>
      </c>
      <c r="N28" s="9">
        <v>73.8</v>
      </c>
      <c r="O28" s="9">
        <f t="shared" si="3"/>
        <v>35055</v>
      </c>
      <c r="P28" s="75">
        <f t="shared" si="5"/>
        <v>10.778111033032886</v>
      </c>
      <c r="Q28" s="78">
        <f t="shared" si="4"/>
        <v>10.217590065605043</v>
      </c>
      <c r="R28" s="7" t="s">
        <v>47</v>
      </c>
      <c r="S28" s="80" t="s">
        <v>19</v>
      </c>
      <c r="T28" s="7" t="s">
        <v>22</v>
      </c>
      <c r="U28" s="7"/>
    </row>
    <row r="29" spans="1:21" x14ac:dyDescent="0.3">
      <c r="A29" s="10" t="s">
        <v>9</v>
      </c>
      <c r="B29" s="10" t="s">
        <v>10</v>
      </c>
      <c r="C29" s="37">
        <v>328329953</v>
      </c>
      <c r="D29" s="11">
        <v>2019</v>
      </c>
      <c r="E29" s="10" t="s">
        <v>23</v>
      </c>
      <c r="F29" s="41">
        <f t="shared" si="0"/>
        <v>1.9797158135005735E-5</v>
      </c>
      <c r="G29" s="8">
        <v>8</v>
      </c>
      <c r="H29" s="36">
        <f t="shared" si="1"/>
        <v>355.71515837726503</v>
      </c>
      <c r="I29" s="37">
        <v>65</v>
      </c>
      <c r="J29" s="12">
        <v>0.13300000000000001</v>
      </c>
      <c r="K29" s="12">
        <v>7</v>
      </c>
      <c r="L29" s="40">
        <f t="shared" si="2"/>
        <v>60.515000000000001</v>
      </c>
      <c r="M29" s="11">
        <v>4</v>
      </c>
      <c r="N29" s="12">
        <v>73.8</v>
      </c>
      <c r="O29" s="9">
        <f t="shared" si="3"/>
        <v>295.2</v>
      </c>
      <c r="P29" s="75">
        <f t="shared" ref="P29:P92" si="6">H29/C29*100000</f>
        <v>0.108340757560205</v>
      </c>
      <c r="Q29" s="78">
        <f t="shared" si="4"/>
        <v>0.10828209015028012</v>
      </c>
      <c r="R29" s="10" t="s">
        <v>48</v>
      </c>
      <c r="S29" s="81" t="s">
        <v>25</v>
      </c>
      <c r="T29" s="10" t="s">
        <v>15</v>
      </c>
      <c r="U29" s="4"/>
    </row>
    <row r="30" spans="1:21" ht="22.8" x14ac:dyDescent="0.3">
      <c r="A30" s="7" t="s">
        <v>9</v>
      </c>
      <c r="B30" s="7" t="s">
        <v>10</v>
      </c>
      <c r="C30" s="36">
        <v>328329953</v>
      </c>
      <c r="D30" s="8">
        <v>2019</v>
      </c>
      <c r="E30" s="7" t="s">
        <v>26</v>
      </c>
      <c r="F30" s="41" t="e">
        <f t="shared" si="0"/>
        <v>#VALUE!</v>
      </c>
      <c r="G30" s="11">
        <v>6</v>
      </c>
      <c r="H30" s="36" t="e">
        <f t="shared" si="1"/>
        <v>#VALUE!</v>
      </c>
      <c r="I30" s="73" t="s">
        <v>12</v>
      </c>
      <c r="J30" s="9">
        <v>0.128</v>
      </c>
      <c r="K30" s="9">
        <v>5</v>
      </c>
      <c r="L30" s="40" t="e">
        <f t="shared" si="2"/>
        <v>#VALUE!</v>
      </c>
      <c r="M30" s="18" t="s">
        <v>12</v>
      </c>
      <c r="N30" s="9">
        <v>73.8</v>
      </c>
      <c r="O30" s="9" t="e">
        <f t="shared" si="3"/>
        <v>#VALUE!</v>
      </c>
      <c r="P30" s="75" t="e">
        <f t="shared" si="6"/>
        <v>#VALUE!</v>
      </c>
      <c r="Q30" s="78" t="e">
        <f t="shared" si="4"/>
        <v>#VALUE!</v>
      </c>
      <c r="R30" s="7" t="s">
        <v>27</v>
      </c>
      <c r="S30" s="80" t="s">
        <v>28</v>
      </c>
      <c r="T30" s="7" t="s">
        <v>29</v>
      </c>
      <c r="U30" s="3" t="s">
        <v>16</v>
      </c>
    </row>
    <row r="31" spans="1:21" x14ac:dyDescent="0.3">
      <c r="A31" s="10" t="s">
        <v>9</v>
      </c>
      <c r="B31" s="10" t="s">
        <v>10</v>
      </c>
      <c r="C31" s="37">
        <v>328329953</v>
      </c>
      <c r="D31" s="11">
        <v>2019</v>
      </c>
      <c r="E31" s="10" t="s">
        <v>30</v>
      </c>
      <c r="F31" s="41">
        <f t="shared" si="0"/>
        <v>1.7665156489697422E-5</v>
      </c>
      <c r="G31" s="8">
        <v>6</v>
      </c>
      <c r="H31" s="36">
        <f t="shared" si="1"/>
        <v>6596.0401059909391</v>
      </c>
      <c r="I31" s="37">
        <v>58</v>
      </c>
      <c r="J31" s="12">
        <v>0.12</v>
      </c>
      <c r="K31" s="12">
        <v>4</v>
      </c>
      <c r="L31" s="40">
        <f t="shared" si="2"/>
        <v>27.84</v>
      </c>
      <c r="M31" s="11">
        <v>89</v>
      </c>
      <c r="N31" s="12">
        <v>73.8</v>
      </c>
      <c r="O31" s="9">
        <f t="shared" si="3"/>
        <v>6568.2</v>
      </c>
      <c r="P31" s="75">
        <f t="shared" si="6"/>
        <v>2.0089669083560402</v>
      </c>
      <c r="Q31" s="78">
        <f t="shared" si="4"/>
        <v>1.9889216269439514</v>
      </c>
      <c r="R31" s="10" t="s">
        <v>49</v>
      </c>
      <c r="S31" s="81" t="s">
        <v>32</v>
      </c>
      <c r="T31" s="10" t="s">
        <v>33</v>
      </c>
      <c r="U31" s="4"/>
    </row>
    <row r="32" spans="1:21" ht="22.8" x14ac:dyDescent="0.3">
      <c r="A32" s="7" t="s">
        <v>9</v>
      </c>
      <c r="B32" s="7" t="s">
        <v>10</v>
      </c>
      <c r="C32" s="36">
        <v>329484123</v>
      </c>
      <c r="D32" s="8">
        <v>2020</v>
      </c>
      <c r="E32" s="7" t="s">
        <v>11</v>
      </c>
      <c r="F32" s="41">
        <f t="shared" si="0"/>
        <v>1.3423712073677067E-2</v>
      </c>
      <c r="G32" s="11">
        <v>9</v>
      </c>
      <c r="H32" s="36">
        <f t="shared" si="1"/>
        <v>1518410.3768134085</v>
      </c>
      <c r="I32" s="36">
        <v>44229</v>
      </c>
      <c r="J32" s="9">
        <v>0.13300000000000001</v>
      </c>
      <c r="K32" s="9">
        <v>8</v>
      </c>
      <c r="L32" s="40">
        <f t="shared" si="2"/>
        <v>47059.656000000003</v>
      </c>
      <c r="M32" s="8">
        <v>19937</v>
      </c>
      <c r="N32" s="9">
        <v>73.8</v>
      </c>
      <c r="O32" s="9">
        <f t="shared" si="3"/>
        <v>1471350.5999999999</v>
      </c>
      <c r="P32" s="75">
        <f t="shared" si="6"/>
        <v>460.84477849435206</v>
      </c>
      <c r="Q32" s="78">
        <f t="shared" si="4"/>
        <v>99.003272233491529</v>
      </c>
      <c r="R32" s="7" t="s">
        <v>13</v>
      </c>
      <c r="S32" s="80" t="s">
        <v>14</v>
      </c>
      <c r="T32" s="7" t="s">
        <v>15</v>
      </c>
      <c r="U32" s="3" t="s">
        <v>16</v>
      </c>
    </row>
    <row r="33" spans="1:21" ht="22.8" x14ac:dyDescent="0.3">
      <c r="A33" s="10" t="s">
        <v>9</v>
      </c>
      <c r="B33" s="10" t="s">
        <v>10</v>
      </c>
      <c r="C33" s="37">
        <v>329484123</v>
      </c>
      <c r="D33" s="11">
        <v>2020</v>
      </c>
      <c r="E33" s="10" t="s">
        <v>17</v>
      </c>
      <c r="F33" s="41">
        <f t="shared" si="0"/>
        <v>2.3521618976462791E-3</v>
      </c>
      <c r="G33" s="8">
        <v>7</v>
      </c>
      <c r="H33" s="36">
        <f t="shared" si="1"/>
        <v>7586.7164651332832</v>
      </c>
      <c r="I33" s="37">
        <v>7750</v>
      </c>
      <c r="J33" s="12">
        <v>0.13300000000000001</v>
      </c>
      <c r="K33" s="12">
        <v>6</v>
      </c>
      <c r="L33" s="40">
        <f t="shared" si="2"/>
        <v>6184.5</v>
      </c>
      <c r="M33" s="11">
        <v>19</v>
      </c>
      <c r="N33" s="12">
        <v>73.8</v>
      </c>
      <c r="O33" s="9">
        <f t="shared" si="3"/>
        <v>1402.2</v>
      </c>
      <c r="P33" s="75">
        <f t="shared" si="6"/>
        <v>2.3026045674235065</v>
      </c>
      <c r="Q33" s="78">
        <f t="shared" si="4"/>
        <v>2.2762969355544005</v>
      </c>
      <c r="R33" s="10" t="s">
        <v>50</v>
      </c>
      <c r="S33" s="81" t="s">
        <v>19</v>
      </c>
      <c r="T33" s="10" t="s">
        <v>51</v>
      </c>
      <c r="U33" s="4"/>
    </row>
    <row r="34" spans="1:21" ht="22.8" x14ac:dyDescent="0.3">
      <c r="A34" s="7" t="s">
        <v>9</v>
      </c>
      <c r="B34" s="7" t="s">
        <v>10</v>
      </c>
      <c r="C34" s="36">
        <v>329484123</v>
      </c>
      <c r="D34" s="8">
        <v>2020</v>
      </c>
      <c r="E34" s="7" t="s">
        <v>20</v>
      </c>
      <c r="F34" s="41">
        <f t="shared" si="0"/>
        <v>1.8088883754802351E-4</v>
      </c>
      <c r="G34" s="11">
        <v>7</v>
      </c>
      <c r="H34" s="36">
        <f t="shared" si="1"/>
        <v>45567.409266221861</v>
      </c>
      <c r="I34" s="36">
        <v>596</v>
      </c>
      <c r="J34" s="9">
        <v>0.13300000000000001</v>
      </c>
      <c r="K34" s="9">
        <v>6</v>
      </c>
      <c r="L34" s="40">
        <f t="shared" si="2"/>
        <v>475.608</v>
      </c>
      <c r="M34" s="8">
        <v>611</v>
      </c>
      <c r="N34" s="9">
        <v>73.8</v>
      </c>
      <c r="O34" s="9">
        <f t="shared" si="3"/>
        <v>45091.799999999996</v>
      </c>
      <c r="P34" s="75">
        <f t="shared" si="6"/>
        <v>13.829925658124008</v>
      </c>
      <c r="Q34" s="78">
        <f t="shared" si="4"/>
        <v>12.916195126910225</v>
      </c>
      <c r="R34" s="7" t="s">
        <v>52</v>
      </c>
      <c r="S34" s="80" t="s">
        <v>19</v>
      </c>
      <c r="T34" s="7" t="s">
        <v>22</v>
      </c>
      <c r="U34" s="7"/>
    </row>
    <row r="35" spans="1:21" x14ac:dyDescent="0.3">
      <c r="A35" s="10" t="s">
        <v>9</v>
      </c>
      <c r="B35" s="10" t="s">
        <v>10</v>
      </c>
      <c r="C35" s="37">
        <v>329484123</v>
      </c>
      <c r="D35" s="11">
        <v>2020</v>
      </c>
      <c r="E35" s="10" t="s">
        <v>23</v>
      </c>
      <c r="F35" s="41">
        <f t="shared" si="0"/>
        <v>3.7634590362340461E-5</v>
      </c>
      <c r="G35" s="8">
        <v>8</v>
      </c>
      <c r="H35" s="36">
        <f t="shared" si="1"/>
        <v>336.8443010767229</v>
      </c>
      <c r="I35" s="37">
        <v>124</v>
      </c>
      <c r="J35" s="12">
        <v>0.13300000000000001</v>
      </c>
      <c r="K35" s="12">
        <v>7</v>
      </c>
      <c r="L35" s="40">
        <f t="shared" si="2"/>
        <v>115.444</v>
      </c>
      <c r="M35" s="11">
        <v>3</v>
      </c>
      <c r="N35" s="12">
        <v>73.8</v>
      </c>
      <c r="O35" s="9">
        <f t="shared" si="3"/>
        <v>221.39999999999998</v>
      </c>
      <c r="P35" s="75">
        <f t="shared" si="6"/>
        <v>0.10223384908799472</v>
      </c>
      <c r="Q35" s="78">
        <f t="shared" si="4"/>
        <v>0.1021816080926774</v>
      </c>
      <c r="R35" s="10" t="s">
        <v>53</v>
      </c>
      <c r="S35" s="81" t="s">
        <v>25</v>
      </c>
      <c r="T35" s="10" t="s">
        <v>15</v>
      </c>
      <c r="U35" s="4"/>
    </row>
    <row r="36" spans="1:21" ht="22.8" x14ac:dyDescent="0.3">
      <c r="A36" s="7" t="s">
        <v>9</v>
      </c>
      <c r="B36" s="7" t="s">
        <v>10</v>
      </c>
      <c r="C36" s="36">
        <v>329484123</v>
      </c>
      <c r="D36" s="8">
        <v>2020</v>
      </c>
      <c r="E36" s="7" t="s">
        <v>26</v>
      </c>
      <c r="F36" s="41" t="e">
        <f t="shared" si="0"/>
        <v>#VALUE!</v>
      </c>
      <c r="G36" s="11">
        <v>6</v>
      </c>
      <c r="H36" s="36" t="e">
        <f t="shared" si="1"/>
        <v>#VALUE!</v>
      </c>
      <c r="I36" s="73" t="s">
        <v>12</v>
      </c>
      <c r="J36" s="9">
        <v>0.128</v>
      </c>
      <c r="K36" s="9">
        <v>5</v>
      </c>
      <c r="L36" s="40" t="e">
        <f t="shared" si="2"/>
        <v>#VALUE!</v>
      </c>
      <c r="M36" s="18" t="s">
        <v>12</v>
      </c>
      <c r="N36" s="9">
        <v>73.8</v>
      </c>
      <c r="O36" s="9" t="e">
        <f t="shared" si="3"/>
        <v>#VALUE!</v>
      </c>
      <c r="P36" s="75" t="e">
        <f t="shared" si="6"/>
        <v>#VALUE!</v>
      </c>
      <c r="Q36" s="78" t="e">
        <f t="shared" si="4"/>
        <v>#VALUE!</v>
      </c>
      <c r="R36" s="7" t="s">
        <v>27</v>
      </c>
      <c r="S36" s="80" t="s">
        <v>28</v>
      </c>
      <c r="T36" s="7" t="s">
        <v>29</v>
      </c>
      <c r="U36" s="3" t="s">
        <v>16</v>
      </c>
    </row>
    <row r="37" spans="1:21" x14ac:dyDescent="0.3">
      <c r="A37" s="10" t="s">
        <v>9</v>
      </c>
      <c r="B37" s="10" t="s">
        <v>10</v>
      </c>
      <c r="C37" s="37">
        <v>329484123</v>
      </c>
      <c r="D37" s="11">
        <v>2020</v>
      </c>
      <c r="E37" s="10" t="s">
        <v>30</v>
      </c>
      <c r="F37" s="41">
        <f t="shared" si="0"/>
        <v>2.8529447532741965E-5</v>
      </c>
      <c r="G37" s="8">
        <v>6</v>
      </c>
      <c r="H37" s="36">
        <f t="shared" si="1"/>
        <v>16723.920171176684</v>
      </c>
      <c r="I37" s="37">
        <v>94</v>
      </c>
      <c r="J37" s="12">
        <v>0.12</v>
      </c>
      <c r="K37" s="12">
        <v>4</v>
      </c>
      <c r="L37" s="40">
        <f t="shared" si="2"/>
        <v>45.12</v>
      </c>
      <c r="M37" s="11">
        <v>226</v>
      </c>
      <c r="N37" s="12">
        <v>73.8</v>
      </c>
      <c r="O37" s="9">
        <f t="shared" si="3"/>
        <v>16678.8</v>
      </c>
      <c r="P37" s="75">
        <f t="shared" si="6"/>
        <v>5.0757893943122365</v>
      </c>
      <c r="Q37" s="78">
        <f t="shared" si="4"/>
        <v>4.9491233393012752</v>
      </c>
      <c r="R37" s="10" t="s">
        <v>54</v>
      </c>
      <c r="S37" s="81" t="s">
        <v>32</v>
      </c>
      <c r="T37" s="10" t="s">
        <v>33</v>
      </c>
      <c r="U37" s="4"/>
    </row>
    <row r="38" spans="1:21" ht="22.8" x14ac:dyDescent="0.3">
      <c r="A38" s="7" t="s">
        <v>9</v>
      </c>
      <c r="B38" s="7" t="s">
        <v>10</v>
      </c>
      <c r="C38" s="36">
        <v>331893745</v>
      </c>
      <c r="D38" s="8">
        <v>2021</v>
      </c>
      <c r="E38" s="7" t="s">
        <v>11</v>
      </c>
      <c r="F38" s="41">
        <f t="shared" si="0"/>
        <v>1.8728885655859527E-2</v>
      </c>
      <c r="G38" s="11">
        <v>9</v>
      </c>
      <c r="H38" s="36">
        <f t="shared" si="1"/>
        <v>3669792.408559971</v>
      </c>
      <c r="I38" s="36">
        <v>62160</v>
      </c>
      <c r="J38" s="9">
        <v>0.13300000000000001</v>
      </c>
      <c r="K38" s="9">
        <v>8</v>
      </c>
      <c r="L38" s="40">
        <f t="shared" si="2"/>
        <v>66138.240000000005</v>
      </c>
      <c r="M38" s="36">
        <v>48830</v>
      </c>
      <c r="N38" s="9">
        <v>73.8</v>
      </c>
      <c r="O38" s="9">
        <f t="shared" si="3"/>
        <v>3603654</v>
      </c>
      <c r="P38" s="75">
        <f t="shared" si="6"/>
        <v>1105.7130373336715</v>
      </c>
      <c r="Q38" s="78">
        <f t="shared" si="4"/>
        <v>99.998422572916354</v>
      </c>
      <c r="R38" s="7" t="s">
        <v>13</v>
      </c>
      <c r="S38" s="80" t="s">
        <v>14</v>
      </c>
      <c r="T38" s="7" t="s">
        <v>15</v>
      </c>
      <c r="U38" s="3" t="s">
        <v>16</v>
      </c>
    </row>
    <row r="39" spans="1:21" x14ac:dyDescent="0.3">
      <c r="A39" s="10" t="s">
        <v>9</v>
      </c>
      <c r="B39" s="10" t="s">
        <v>10</v>
      </c>
      <c r="C39" s="37">
        <v>331893745</v>
      </c>
      <c r="D39" s="11">
        <v>2021</v>
      </c>
      <c r="E39" s="10" t="s">
        <v>17</v>
      </c>
      <c r="F39" s="41">
        <f t="shared" si="0"/>
        <v>7.0534622458763119E-4</v>
      </c>
      <c r="G39" s="8">
        <v>7</v>
      </c>
      <c r="H39" s="36">
        <f t="shared" si="1"/>
        <v>2089.5229374235723</v>
      </c>
      <c r="I39" s="37">
        <v>2341</v>
      </c>
      <c r="J39" s="12">
        <v>0.13300000000000001</v>
      </c>
      <c r="K39" s="12">
        <v>6</v>
      </c>
      <c r="L39" s="40">
        <f t="shared" si="2"/>
        <v>1868.1179999999999</v>
      </c>
      <c r="M39" s="11">
        <v>3</v>
      </c>
      <c r="N39" s="12">
        <v>73.8</v>
      </c>
      <c r="O39" s="9">
        <f t="shared" si="3"/>
        <v>221.39999999999998</v>
      </c>
      <c r="P39" s="75">
        <f t="shared" si="6"/>
        <v>0.62957587146560179</v>
      </c>
      <c r="Q39" s="78">
        <f t="shared" si="4"/>
        <v>0.62759819507693937</v>
      </c>
      <c r="R39" s="10" t="s">
        <v>55</v>
      </c>
      <c r="S39" s="81" t="s">
        <v>19</v>
      </c>
      <c r="T39" s="10"/>
      <c r="U39" s="4"/>
    </row>
    <row r="40" spans="1:21" ht="22.8" x14ac:dyDescent="0.3">
      <c r="A40" s="7" t="s">
        <v>9</v>
      </c>
      <c r="B40" s="7" t="s">
        <v>10</v>
      </c>
      <c r="C40" s="36">
        <v>331893745</v>
      </c>
      <c r="D40" s="8">
        <v>2021</v>
      </c>
      <c r="E40" s="7" t="s">
        <v>20</v>
      </c>
      <c r="F40" s="41">
        <f t="shared" si="0"/>
        <v>2.088017657578934E-4</v>
      </c>
      <c r="G40" s="11">
        <v>7</v>
      </c>
      <c r="H40" s="36">
        <f t="shared" si="1"/>
        <v>52434.415461612363</v>
      </c>
      <c r="I40" s="36">
        <v>693</v>
      </c>
      <c r="J40" s="9">
        <v>0.13300000000000001</v>
      </c>
      <c r="K40" s="9">
        <v>6</v>
      </c>
      <c r="L40" s="40">
        <f t="shared" si="2"/>
        <v>553.01400000000012</v>
      </c>
      <c r="M40" s="8">
        <v>703</v>
      </c>
      <c r="N40" s="9">
        <v>73.8</v>
      </c>
      <c r="O40" s="9">
        <f t="shared" si="3"/>
        <v>51881.4</v>
      </c>
      <c r="P40" s="75">
        <f t="shared" si="6"/>
        <v>15.798554884368901</v>
      </c>
      <c r="Q40" s="78">
        <f t="shared" si="4"/>
        <v>14.613787882569529</v>
      </c>
      <c r="R40" s="7" t="s">
        <v>56</v>
      </c>
      <c r="S40" s="80" t="s">
        <v>19</v>
      </c>
      <c r="T40" s="7" t="s">
        <v>22</v>
      </c>
      <c r="U40" s="7"/>
    </row>
    <row r="41" spans="1:21" ht="22.8" x14ac:dyDescent="0.3">
      <c r="A41" s="10" t="s">
        <v>9</v>
      </c>
      <c r="B41" s="10" t="s">
        <v>10</v>
      </c>
      <c r="C41" s="37">
        <v>331893745</v>
      </c>
      <c r="D41" s="11">
        <v>2021</v>
      </c>
      <c r="E41" s="10" t="s">
        <v>23</v>
      </c>
      <c r="F41" s="41">
        <f t="shared" si="0"/>
        <v>2.9527522430409165E-5</v>
      </c>
      <c r="G41" s="8">
        <v>8</v>
      </c>
      <c r="H41" s="36">
        <f t="shared" si="1"/>
        <v>460.23823622017943</v>
      </c>
      <c r="I41" s="37">
        <v>98</v>
      </c>
      <c r="J41" s="12">
        <v>0.13300000000000001</v>
      </c>
      <c r="K41" s="12">
        <v>7</v>
      </c>
      <c r="L41" s="40">
        <f t="shared" si="2"/>
        <v>91.238</v>
      </c>
      <c r="M41" s="11">
        <v>5</v>
      </c>
      <c r="N41" s="12">
        <v>73.8</v>
      </c>
      <c r="O41" s="9">
        <f t="shared" si="3"/>
        <v>369</v>
      </c>
      <c r="P41" s="75">
        <f t="shared" si="6"/>
        <v>0.1386703555441153</v>
      </c>
      <c r="Q41" s="78">
        <f t="shared" si="4"/>
        <v>0.13857425263379408</v>
      </c>
      <c r="R41" s="10" t="s">
        <v>57</v>
      </c>
      <c r="S41" s="81" t="s">
        <v>25</v>
      </c>
      <c r="T41" s="10" t="s">
        <v>15</v>
      </c>
      <c r="U41" s="4"/>
    </row>
    <row r="42" spans="1:21" ht="22.8" x14ac:dyDescent="0.3">
      <c r="A42" s="7" t="s">
        <v>9</v>
      </c>
      <c r="B42" s="7" t="s">
        <v>10</v>
      </c>
      <c r="C42" s="36">
        <v>331893745</v>
      </c>
      <c r="D42" s="8">
        <v>2021</v>
      </c>
      <c r="E42" s="7" t="s">
        <v>26</v>
      </c>
      <c r="F42" s="41" t="e">
        <f t="shared" si="0"/>
        <v>#VALUE!</v>
      </c>
      <c r="G42" s="11">
        <v>6</v>
      </c>
      <c r="H42" s="36" t="e">
        <f t="shared" si="1"/>
        <v>#VALUE!</v>
      </c>
      <c r="I42" s="73" t="s">
        <v>12</v>
      </c>
      <c r="J42" s="9">
        <v>0.128</v>
      </c>
      <c r="K42" s="9">
        <v>5</v>
      </c>
      <c r="L42" s="40" t="e">
        <f t="shared" si="2"/>
        <v>#VALUE!</v>
      </c>
      <c r="M42" s="18" t="s">
        <v>12</v>
      </c>
      <c r="N42" s="9">
        <v>73.8</v>
      </c>
      <c r="O42" s="9" t="e">
        <f t="shared" si="3"/>
        <v>#VALUE!</v>
      </c>
      <c r="P42" s="75" t="e">
        <f t="shared" si="6"/>
        <v>#VALUE!</v>
      </c>
      <c r="Q42" s="78" t="e">
        <f t="shared" si="4"/>
        <v>#VALUE!</v>
      </c>
      <c r="R42" s="7" t="s">
        <v>27</v>
      </c>
      <c r="S42" s="80" t="s">
        <v>28</v>
      </c>
      <c r="T42" s="7" t="s">
        <v>29</v>
      </c>
      <c r="U42" s="3" t="s">
        <v>16</v>
      </c>
    </row>
    <row r="43" spans="1:21" ht="22.8" x14ac:dyDescent="0.3">
      <c r="A43" s="10" t="s">
        <v>9</v>
      </c>
      <c r="B43" s="10" t="s">
        <v>10</v>
      </c>
      <c r="C43" s="37">
        <v>331893745</v>
      </c>
      <c r="D43" s="11">
        <v>2021</v>
      </c>
      <c r="E43" s="10" t="s">
        <v>30</v>
      </c>
      <c r="F43" s="41">
        <f t="shared" si="0"/>
        <v>2.6213208688220382E-5</v>
      </c>
      <c r="G43" s="8">
        <v>6</v>
      </c>
      <c r="H43" s="36">
        <f t="shared" si="1"/>
        <v>50225.760157279256</v>
      </c>
      <c r="I43" s="37">
        <v>87</v>
      </c>
      <c r="J43" s="12">
        <v>0.12</v>
      </c>
      <c r="K43" s="12">
        <v>4</v>
      </c>
      <c r="L43" s="40">
        <f t="shared" si="2"/>
        <v>41.76</v>
      </c>
      <c r="M43" s="11">
        <v>680</v>
      </c>
      <c r="N43" s="12">
        <v>73.8</v>
      </c>
      <c r="O43" s="9">
        <f t="shared" si="3"/>
        <v>50184</v>
      </c>
      <c r="P43" s="75">
        <f t="shared" si="6"/>
        <v>15.133084281922596</v>
      </c>
      <c r="Q43" s="78">
        <f t="shared" si="4"/>
        <v>14.043672872455071</v>
      </c>
      <c r="R43" s="10" t="s">
        <v>58</v>
      </c>
      <c r="S43" s="81" t="s">
        <v>32</v>
      </c>
      <c r="T43" s="10" t="s">
        <v>33</v>
      </c>
      <c r="U43" s="4"/>
    </row>
    <row r="44" spans="1:21" ht="22.8" x14ac:dyDescent="0.3">
      <c r="A44" s="7" t="s">
        <v>9</v>
      </c>
      <c r="B44" s="7" t="s">
        <v>10</v>
      </c>
      <c r="C44" s="36">
        <v>333271411</v>
      </c>
      <c r="D44" s="8">
        <v>2022</v>
      </c>
      <c r="E44" s="7" t="s">
        <v>11</v>
      </c>
      <c r="F44" s="41">
        <f t="shared" si="0"/>
        <v>1.7794505631927728E-2</v>
      </c>
      <c r="G44" s="11">
        <v>9</v>
      </c>
      <c r="H44" s="36">
        <f t="shared" si="1"/>
        <v>1582715.4161505508</v>
      </c>
      <c r="I44" s="36">
        <v>59304</v>
      </c>
      <c r="J44" s="9">
        <v>0.13300000000000001</v>
      </c>
      <c r="K44" s="9">
        <v>8</v>
      </c>
      <c r="L44" s="40">
        <f t="shared" si="2"/>
        <v>63099.456000000006</v>
      </c>
      <c r="M44" s="8">
        <v>20591</v>
      </c>
      <c r="N44" s="9">
        <v>73.8</v>
      </c>
      <c r="O44" s="9">
        <f t="shared" si="3"/>
        <v>1519615.8</v>
      </c>
      <c r="P44" s="75">
        <f t="shared" si="6"/>
        <v>474.90284612218079</v>
      </c>
      <c r="Q44" s="78">
        <f t="shared" si="4"/>
        <v>99.133989525505598</v>
      </c>
      <c r="R44" s="7" t="s">
        <v>13</v>
      </c>
      <c r="S44" s="80" t="s">
        <v>14</v>
      </c>
      <c r="T44" s="7" t="s">
        <v>15</v>
      </c>
      <c r="U44" s="3" t="s">
        <v>16</v>
      </c>
    </row>
    <row r="45" spans="1:21" ht="22.8" x14ac:dyDescent="0.3">
      <c r="A45" s="10" t="s">
        <v>9</v>
      </c>
      <c r="B45" s="10" t="s">
        <v>10</v>
      </c>
      <c r="C45" s="37">
        <v>333271411</v>
      </c>
      <c r="D45" s="11">
        <v>2022</v>
      </c>
      <c r="E45" s="10" t="s">
        <v>17</v>
      </c>
      <c r="F45" s="41">
        <f t="shared" si="0"/>
        <v>5.629045690930867E-4</v>
      </c>
      <c r="G45" s="8">
        <v>7</v>
      </c>
      <c r="H45" s="36">
        <f t="shared" si="1"/>
        <v>1570.8519403319835</v>
      </c>
      <c r="I45" s="37">
        <v>1876</v>
      </c>
      <c r="J45" s="12">
        <v>0.13300000000000001</v>
      </c>
      <c r="K45" s="12">
        <v>6</v>
      </c>
      <c r="L45" s="40">
        <f t="shared" si="2"/>
        <v>1497.048</v>
      </c>
      <c r="M45" s="11">
        <v>1</v>
      </c>
      <c r="N45" s="12">
        <v>73.8</v>
      </c>
      <c r="O45" s="9">
        <f t="shared" si="3"/>
        <v>73.8</v>
      </c>
      <c r="P45" s="75">
        <f t="shared" si="6"/>
        <v>0.47134314210107381</v>
      </c>
      <c r="Q45" s="78">
        <f t="shared" si="4"/>
        <v>0.47023406351921482</v>
      </c>
      <c r="R45" s="10" t="s">
        <v>59</v>
      </c>
      <c r="S45" s="81" t="s">
        <v>19</v>
      </c>
      <c r="T45" s="10"/>
      <c r="U45" s="4"/>
    </row>
    <row r="46" spans="1:21" x14ac:dyDescent="0.3">
      <c r="A46" s="7" t="s">
        <v>9</v>
      </c>
      <c r="B46" s="7" t="s">
        <v>10</v>
      </c>
      <c r="C46" s="36">
        <v>333271411</v>
      </c>
      <c r="D46" s="8">
        <v>2022</v>
      </c>
      <c r="E46" s="7" t="s">
        <v>20</v>
      </c>
      <c r="F46" s="41">
        <f t="shared" si="0"/>
        <v>1.9413606407421487E-4</v>
      </c>
      <c r="G46" s="11">
        <v>7</v>
      </c>
      <c r="H46" s="36">
        <f t="shared" si="1"/>
        <v>48191.107358952439</v>
      </c>
      <c r="I46" s="36">
        <v>647</v>
      </c>
      <c r="J46" s="9">
        <v>0.13300000000000001</v>
      </c>
      <c r="K46" s="9">
        <v>6</v>
      </c>
      <c r="L46" s="40">
        <f t="shared" si="2"/>
        <v>516.30600000000004</v>
      </c>
      <c r="M46" s="8">
        <v>646</v>
      </c>
      <c r="N46" s="9">
        <v>73.8</v>
      </c>
      <c r="O46" s="9">
        <f t="shared" si="3"/>
        <v>47674.799999999996</v>
      </c>
      <c r="P46" s="75">
        <f t="shared" si="6"/>
        <v>14.460018401924202</v>
      </c>
      <c r="Q46" s="78">
        <f t="shared" si="4"/>
        <v>13.463178800542019</v>
      </c>
      <c r="R46" s="7" t="s">
        <v>60</v>
      </c>
      <c r="S46" s="80" t="s">
        <v>19</v>
      </c>
      <c r="T46" s="7" t="s">
        <v>22</v>
      </c>
      <c r="U46" s="7"/>
    </row>
    <row r="47" spans="1:21" x14ac:dyDescent="0.3">
      <c r="A47" s="10" t="s">
        <v>9</v>
      </c>
      <c r="B47" s="10" t="s">
        <v>10</v>
      </c>
      <c r="C47" s="37">
        <v>333271411</v>
      </c>
      <c r="D47" s="11">
        <v>2022</v>
      </c>
      <c r="E47" s="10" t="s">
        <v>23</v>
      </c>
      <c r="F47" s="41">
        <f t="shared" si="0"/>
        <v>2.1604013312741068E-5</v>
      </c>
      <c r="G47" s="8">
        <v>8</v>
      </c>
      <c r="H47" s="36">
        <f t="shared" si="1"/>
        <v>288.43217283210652</v>
      </c>
      <c r="I47" s="37">
        <v>72</v>
      </c>
      <c r="J47" s="12">
        <v>0.13300000000000001</v>
      </c>
      <c r="K47" s="12">
        <v>7</v>
      </c>
      <c r="L47" s="40">
        <f t="shared" si="2"/>
        <v>67.032000000000011</v>
      </c>
      <c r="M47" s="11">
        <v>3</v>
      </c>
      <c r="N47" s="12">
        <v>73.8</v>
      </c>
      <c r="O47" s="9">
        <f t="shared" si="3"/>
        <v>221.39999999999998</v>
      </c>
      <c r="P47" s="75">
        <f t="shared" si="6"/>
        <v>8.6545729190106405E-2</v>
      </c>
      <c r="Q47" s="78">
        <f t="shared" si="4"/>
        <v>8.6508289175590836E-2</v>
      </c>
      <c r="R47" s="10" t="s">
        <v>61</v>
      </c>
      <c r="S47" s="81" t="s">
        <v>25</v>
      </c>
      <c r="T47" s="10" t="s">
        <v>15</v>
      </c>
      <c r="U47" s="4"/>
    </row>
    <row r="48" spans="1:21" ht="22.8" x14ac:dyDescent="0.3">
      <c r="A48" s="7" t="s">
        <v>9</v>
      </c>
      <c r="B48" s="7" t="s">
        <v>10</v>
      </c>
      <c r="C48" s="36">
        <v>333271411</v>
      </c>
      <c r="D48" s="8">
        <v>2022</v>
      </c>
      <c r="E48" s="7" t="s">
        <v>26</v>
      </c>
      <c r="F48" s="41" t="e">
        <f t="shared" si="0"/>
        <v>#VALUE!</v>
      </c>
      <c r="G48" s="11">
        <v>6</v>
      </c>
      <c r="H48" s="36" t="e">
        <f t="shared" si="1"/>
        <v>#VALUE!</v>
      </c>
      <c r="I48" s="73" t="s">
        <v>12</v>
      </c>
      <c r="J48" s="9">
        <v>0.128</v>
      </c>
      <c r="K48" s="9">
        <v>5</v>
      </c>
      <c r="L48" s="40" t="e">
        <f t="shared" si="2"/>
        <v>#VALUE!</v>
      </c>
      <c r="M48" s="18" t="s">
        <v>12</v>
      </c>
      <c r="N48" s="9">
        <v>73.8</v>
      </c>
      <c r="O48" s="9" t="e">
        <f t="shared" si="3"/>
        <v>#VALUE!</v>
      </c>
      <c r="P48" s="75" t="e">
        <f t="shared" si="6"/>
        <v>#VALUE!</v>
      </c>
      <c r="Q48" s="78" t="e">
        <f t="shared" si="4"/>
        <v>#VALUE!</v>
      </c>
      <c r="R48" s="7" t="s">
        <v>27</v>
      </c>
      <c r="S48" s="80" t="s">
        <v>28</v>
      </c>
      <c r="T48" s="7" t="s">
        <v>29</v>
      </c>
      <c r="U48" s="3" t="s">
        <v>16</v>
      </c>
    </row>
    <row r="49" spans="1:21" x14ac:dyDescent="0.3">
      <c r="A49" s="10" t="s">
        <v>9</v>
      </c>
      <c r="B49" s="10" t="s">
        <v>10</v>
      </c>
      <c r="C49" s="37">
        <v>333271411</v>
      </c>
      <c r="D49" s="11">
        <v>2022</v>
      </c>
      <c r="E49" s="10" t="s">
        <v>30</v>
      </c>
      <c r="F49" s="41">
        <f t="shared" si="0"/>
        <v>2.1303957572286332E-5</v>
      </c>
      <c r="G49" s="8">
        <v>6</v>
      </c>
      <c r="H49" s="36">
        <f t="shared" si="1"/>
        <v>12284.880127823744</v>
      </c>
      <c r="I49" s="37">
        <v>71</v>
      </c>
      <c r="J49" s="12">
        <v>0.12</v>
      </c>
      <c r="K49" s="12">
        <v>4</v>
      </c>
      <c r="L49" s="40">
        <f t="shared" si="2"/>
        <v>34.08</v>
      </c>
      <c r="M49" s="11">
        <v>166</v>
      </c>
      <c r="N49" s="12">
        <v>73.8</v>
      </c>
      <c r="O49" s="9">
        <f t="shared" si="3"/>
        <v>12250.8</v>
      </c>
      <c r="P49" s="75">
        <f t="shared" si="6"/>
        <v>3.6861488031518386</v>
      </c>
      <c r="Q49" s="78">
        <f t="shared" si="4"/>
        <v>3.6190374727698038</v>
      </c>
      <c r="R49" s="10" t="s">
        <v>62</v>
      </c>
      <c r="S49" s="81" t="s">
        <v>32</v>
      </c>
      <c r="T49" s="10" t="s">
        <v>33</v>
      </c>
      <c r="U49" s="4"/>
    </row>
    <row r="50" spans="1:21" s="13" customFormat="1" ht="22.8" x14ac:dyDescent="0.3">
      <c r="A50" s="7" t="s">
        <v>9</v>
      </c>
      <c r="B50" s="7" t="s">
        <v>10</v>
      </c>
      <c r="C50" s="36">
        <v>334914895</v>
      </c>
      <c r="D50" s="8">
        <v>2023</v>
      </c>
      <c r="E50" s="7" t="s">
        <v>11</v>
      </c>
      <c r="F50" s="41">
        <f t="shared" si="0"/>
        <v>2.387740921466034E-2</v>
      </c>
      <c r="G50" s="11">
        <v>9</v>
      </c>
      <c r="H50" s="36">
        <f t="shared" si="1"/>
        <v>3533613.6308966829</v>
      </c>
      <c r="I50" s="36">
        <v>79969</v>
      </c>
      <c r="J50" s="9">
        <v>0.13300000000000001</v>
      </c>
      <c r="K50" s="9">
        <v>8</v>
      </c>
      <c r="L50" s="40">
        <f t="shared" si="2"/>
        <v>85087.016000000003</v>
      </c>
      <c r="M50" s="36">
        <v>46728</v>
      </c>
      <c r="N50" s="9">
        <v>73.8</v>
      </c>
      <c r="O50" s="9">
        <f t="shared" si="3"/>
        <v>3448526.4</v>
      </c>
      <c r="P50" s="75">
        <f t="shared" si="6"/>
        <v>1055.0780761472802</v>
      </c>
      <c r="Q50" s="78">
        <f t="shared" si="4"/>
        <v>99.997382696201143</v>
      </c>
      <c r="R50" s="7" t="s">
        <v>13</v>
      </c>
      <c r="S50" s="80" t="s">
        <v>14</v>
      </c>
      <c r="T50" s="7" t="s">
        <v>15</v>
      </c>
      <c r="U50" s="44" t="s">
        <v>16</v>
      </c>
    </row>
    <row r="51" spans="1:21" ht="22.8" x14ac:dyDescent="0.3">
      <c r="A51" s="10" t="s">
        <v>9</v>
      </c>
      <c r="B51" s="10" t="s">
        <v>10</v>
      </c>
      <c r="C51" s="37">
        <v>334914895</v>
      </c>
      <c r="D51" s="11">
        <v>2023</v>
      </c>
      <c r="E51" s="10" t="s">
        <v>17</v>
      </c>
      <c r="F51" s="41">
        <f t="shared" si="0"/>
        <v>4.9385680502504975E-4</v>
      </c>
      <c r="G51" s="8">
        <v>7</v>
      </c>
      <c r="H51" s="36">
        <f t="shared" si="1"/>
        <v>1319.8954569976352</v>
      </c>
      <c r="I51" s="37">
        <v>1654</v>
      </c>
      <c r="J51" s="12">
        <v>0.13300000000000001</v>
      </c>
      <c r="K51" s="12">
        <v>6</v>
      </c>
      <c r="L51" s="40">
        <f t="shared" si="2"/>
        <v>1319.8920000000001</v>
      </c>
      <c r="M51" s="11">
        <v>0</v>
      </c>
      <c r="N51" s="12">
        <v>73.8</v>
      </c>
      <c r="O51" s="9">
        <f t="shared" si="3"/>
        <v>0</v>
      </c>
      <c r="P51" s="75">
        <f t="shared" si="6"/>
        <v>0.39409876261180771</v>
      </c>
      <c r="Q51" s="78">
        <f t="shared" si="4"/>
        <v>0.3933232125838737</v>
      </c>
      <c r="R51" s="10" t="s">
        <v>63</v>
      </c>
      <c r="S51" s="81" t="s">
        <v>19</v>
      </c>
      <c r="T51" s="10"/>
      <c r="U51" s="4"/>
    </row>
    <row r="52" spans="1:21" ht="22.8" x14ac:dyDescent="0.3">
      <c r="A52" s="7" t="s">
        <v>9</v>
      </c>
      <c r="B52" s="7" t="s">
        <v>10</v>
      </c>
      <c r="C52" s="36">
        <v>334914895</v>
      </c>
      <c r="D52" s="8">
        <v>2023</v>
      </c>
      <c r="E52" s="7" t="s">
        <v>20</v>
      </c>
      <c r="F52" s="41">
        <f t="shared" si="0"/>
        <v>1.8273298952559277E-4</v>
      </c>
      <c r="G52" s="11">
        <v>7</v>
      </c>
      <c r="H52" s="36">
        <f t="shared" si="1"/>
        <v>44620.777279130925</v>
      </c>
      <c r="I52" s="36">
        <v>612</v>
      </c>
      <c r="J52" s="9">
        <v>0.13300000000000001</v>
      </c>
      <c r="K52" s="9">
        <v>6</v>
      </c>
      <c r="L52" s="40">
        <f t="shared" si="2"/>
        <v>488.37599999999998</v>
      </c>
      <c r="M52" s="8">
        <v>598</v>
      </c>
      <c r="N52" s="9">
        <v>73.8</v>
      </c>
      <c r="O52" s="9">
        <f t="shared" si="3"/>
        <v>44132.4</v>
      </c>
      <c r="P52" s="75">
        <f t="shared" si="6"/>
        <v>13.323019652240587</v>
      </c>
      <c r="Q52" s="78">
        <f t="shared" si="4"/>
        <v>12.473641371706002</v>
      </c>
      <c r="R52" s="7" t="s">
        <v>64</v>
      </c>
      <c r="S52" s="80" t="s">
        <v>19</v>
      </c>
      <c r="T52" s="7" t="s">
        <v>22</v>
      </c>
      <c r="U52" s="7"/>
    </row>
    <row r="53" spans="1:21" x14ac:dyDescent="0.3">
      <c r="A53" s="10" t="s">
        <v>9</v>
      </c>
      <c r="B53" s="10" t="s">
        <v>10</v>
      </c>
      <c r="C53" s="37">
        <v>334914895</v>
      </c>
      <c r="D53" s="11">
        <v>2023</v>
      </c>
      <c r="E53" s="10" t="s">
        <v>23</v>
      </c>
      <c r="F53" s="41">
        <f t="shared" si="0"/>
        <v>2.0303665502843641E-5</v>
      </c>
      <c r="G53" s="8">
        <v>8</v>
      </c>
      <c r="H53" s="36">
        <f t="shared" si="1"/>
        <v>358.50816242932399</v>
      </c>
      <c r="I53" s="37">
        <v>68</v>
      </c>
      <c r="J53" s="12">
        <v>0.13300000000000001</v>
      </c>
      <c r="K53" s="12">
        <v>7</v>
      </c>
      <c r="L53" s="40">
        <f t="shared" si="2"/>
        <v>63.308000000000007</v>
      </c>
      <c r="M53" s="11">
        <v>4</v>
      </c>
      <c r="N53" s="12">
        <v>73.8</v>
      </c>
      <c r="O53" s="9">
        <f t="shared" si="3"/>
        <v>295.2</v>
      </c>
      <c r="P53" s="75">
        <f t="shared" si="6"/>
        <v>0.10704455602947249</v>
      </c>
      <c r="Q53" s="78">
        <f t="shared" si="4"/>
        <v>0.10698728378202293</v>
      </c>
      <c r="R53" s="10" t="s">
        <v>65</v>
      </c>
      <c r="S53" s="81" t="s">
        <v>25</v>
      </c>
      <c r="T53" s="10" t="s">
        <v>15</v>
      </c>
      <c r="U53" s="4"/>
    </row>
    <row r="54" spans="1:21" ht="22.8" x14ac:dyDescent="0.3">
      <c r="A54" s="7" t="s">
        <v>9</v>
      </c>
      <c r="B54" s="7" t="s">
        <v>10</v>
      </c>
      <c r="C54" s="36">
        <v>334914895</v>
      </c>
      <c r="D54" s="8">
        <v>2023</v>
      </c>
      <c r="E54" s="7" t="s">
        <v>26</v>
      </c>
      <c r="F54" s="41" t="e">
        <f t="shared" si="0"/>
        <v>#VALUE!</v>
      </c>
      <c r="G54" s="11">
        <v>6</v>
      </c>
      <c r="H54" s="36" t="e">
        <f t="shared" si="1"/>
        <v>#VALUE!</v>
      </c>
      <c r="I54" s="73" t="s">
        <v>12</v>
      </c>
      <c r="J54" s="9">
        <v>0.128</v>
      </c>
      <c r="K54" s="9">
        <v>5</v>
      </c>
      <c r="L54" s="40" t="e">
        <f t="shared" si="2"/>
        <v>#VALUE!</v>
      </c>
      <c r="M54" s="18" t="s">
        <v>12</v>
      </c>
      <c r="N54" s="9">
        <v>73.8</v>
      </c>
      <c r="O54" s="9" t="e">
        <f t="shared" si="3"/>
        <v>#VALUE!</v>
      </c>
      <c r="P54" s="75" t="e">
        <f t="shared" si="6"/>
        <v>#VALUE!</v>
      </c>
      <c r="Q54" s="78" t="e">
        <f t="shared" si="4"/>
        <v>#VALUE!</v>
      </c>
      <c r="R54" s="7" t="s">
        <v>27</v>
      </c>
      <c r="S54" s="80" t="s">
        <v>28</v>
      </c>
      <c r="T54" s="7" t="s">
        <v>29</v>
      </c>
      <c r="U54" s="3" t="s">
        <v>16</v>
      </c>
    </row>
    <row r="55" spans="1:21" x14ac:dyDescent="0.3">
      <c r="A55" s="10" t="s">
        <v>9</v>
      </c>
      <c r="B55" s="10" t="s">
        <v>10</v>
      </c>
      <c r="C55" s="37">
        <v>334914895</v>
      </c>
      <c r="D55" s="11">
        <v>2023</v>
      </c>
      <c r="E55" s="10" t="s">
        <v>30</v>
      </c>
      <c r="F55" s="41">
        <f t="shared" si="0"/>
        <v>2.0303665502843641E-5</v>
      </c>
      <c r="G55" s="8">
        <v>6</v>
      </c>
      <c r="H55" s="36">
        <f t="shared" si="1"/>
        <v>6822.2401218219929</v>
      </c>
      <c r="I55" s="37">
        <v>68</v>
      </c>
      <c r="J55" s="12">
        <v>0.12</v>
      </c>
      <c r="K55" s="12">
        <v>4</v>
      </c>
      <c r="L55" s="40">
        <f t="shared" si="2"/>
        <v>32.64</v>
      </c>
      <c r="M55" s="11">
        <v>92</v>
      </c>
      <c r="N55" s="12">
        <v>73.8</v>
      </c>
      <c r="O55" s="9">
        <f t="shared" si="3"/>
        <v>6789.5999999999995</v>
      </c>
      <c r="P55" s="75">
        <f t="shared" si="6"/>
        <v>2.0370070796110733</v>
      </c>
      <c r="Q55" s="78">
        <f t="shared" si="4"/>
        <v>2.0164002484623467</v>
      </c>
      <c r="R55" s="10" t="s">
        <v>66</v>
      </c>
      <c r="S55" s="81" t="s">
        <v>32</v>
      </c>
      <c r="T55" s="10" t="s">
        <v>33</v>
      </c>
      <c r="U55" s="4"/>
    </row>
    <row r="56" spans="1:21" ht="22.8" x14ac:dyDescent="0.3">
      <c r="A56" s="7" t="s">
        <v>9</v>
      </c>
      <c r="B56" s="7" t="s">
        <v>10</v>
      </c>
      <c r="C56" s="36">
        <v>336597624</v>
      </c>
      <c r="D56" s="8">
        <v>2024</v>
      </c>
      <c r="E56" s="7" t="s">
        <v>11</v>
      </c>
      <c r="F56" s="41">
        <f t="shared" si="0"/>
        <v>1.5459407996296491E-2</v>
      </c>
      <c r="G56" s="11">
        <v>9</v>
      </c>
      <c r="H56" s="36">
        <f t="shared" si="1"/>
        <v>3335555.0431346721</v>
      </c>
      <c r="I56" s="36">
        <v>52036</v>
      </c>
      <c r="J56" s="9">
        <v>0.13300000000000001</v>
      </c>
      <c r="K56" s="9">
        <v>8</v>
      </c>
      <c r="L56" s="40">
        <f t="shared" si="2"/>
        <v>55366.304000000004</v>
      </c>
      <c r="M56" s="36">
        <v>44447</v>
      </c>
      <c r="N56" s="9">
        <v>73.8</v>
      </c>
      <c r="O56" s="9">
        <f t="shared" si="3"/>
        <v>3280188.6</v>
      </c>
      <c r="P56" s="75">
        <f t="shared" si="6"/>
        <v>990.96214747335</v>
      </c>
      <c r="Q56" s="78">
        <f t="shared" si="4"/>
        <v>99.995030575740515</v>
      </c>
      <c r="R56" s="7" t="s">
        <v>13</v>
      </c>
      <c r="S56" s="80" t="s">
        <v>14</v>
      </c>
      <c r="T56" s="7" t="s">
        <v>15</v>
      </c>
      <c r="U56" s="3" t="s">
        <v>16</v>
      </c>
    </row>
    <row r="57" spans="1:21" ht="22.8" x14ac:dyDescent="0.3">
      <c r="A57" s="10" t="s">
        <v>9</v>
      </c>
      <c r="B57" s="10" t="s">
        <v>10</v>
      </c>
      <c r="C57" s="37">
        <v>336597624</v>
      </c>
      <c r="D57" s="11">
        <v>2024</v>
      </c>
      <c r="E57" s="10" t="s">
        <v>17</v>
      </c>
      <c r="F57" s="41">
        <f t="shared" si="0"/>
        <v>6.2448450319423521E-4</v>
      </c>
      <c r="G57" s="8">
        <v>7</v>
      </c>
      <c r="H57" s="36">
        <f t="shared" si="1"/>
        <v>1751.2003713915226</v>
      </c>
      <c r="I57" s="37">
        <v>2102</v>
      </c>
      <c r="J57" s="12">
        <v>0.13300000000000001</v>
      </c>
      <c r="K57" s="12">
        <v>6</v>
      </c>
      <c r="L57" s="40">
        <f t="shared" si="2"/>
        <v>1677.3960000000002</v>
      </c>
      <c r="M57" s="11">
        <v>1</v>
      </c>
      <c r="N57" s="12">
        <v>73.8</v>
      </c>
      <c r="O57" s="9">
        <f t="shared" si="3"/>
        <v>73.8</v>
      </c>
      <c r="P57" s="75">
        <f t="shared" si="6"/>
        <v>0.52026522070504055</v>
      </c>
      <c r="Q57" s="78">
        <f t="shared" si="4"/>
        <v>0.51891418521039512</v>
      </c>
      <c r="R57" s="10" t="s">
        <v>67</v>
      </c>
      <c r="S57" s="81" t="s">
        <v>19</v>
      </c>
      <c r="T57" s="10"/>
      <c r="U57" s="4"/>
    </row>
    <row r="58" spans="1:21" x14ac:dyDescent="0.3">
      <c r="A58" s="7" t="s">
        <v>9</v>
      </c>
      <c r="B58" s="7" t="s">
        <v>10</v>
      </c>
      <c r="C58" s="36">
        <v>336597624</v>
      </c>
      <c r="D58" s="8">
        <v>2024</v>
      </c>
      <c r="E58" s="7" t="s">
        <v>20</v>
      </c>
      <c r="F58" s="41">
        <f t="shared" si="0"/>
        <v>1.7231256510592599E-4</v>
      </c>
      <c r="G58" s="11">
        <v>7</v>
      </c>
      <c r="H58" s="36">
        <f t="shared" si="1"/>
        <v>41790.84120618795</v>
      </c>
      <c r="I58" s="36">
        <v>580</v>
      </c>
      <c r="J58" s="9">
        <v>0.13300000000000001</v>
      </c>
      <c r="K58" s="9">
        <v>6</v>
      </c>
      <c r="L58" s="40">
        <f t="shared" si="2"/>
        <v>462.84000000000003</v>
      </c>
      <c r="M58" s="8">
        <v>560</v>
      </c>
      <c r="N58" s="9">
        <v>73.8</v>
      </c>
      <c r="O58" s="9">
        <f t="shared" si="3"/>
        <v>41328</v>
      </c>
      <c r="P58" s="75">
        <f t="shared" si="6"/>
        <v>12.415667320987373</v>
      </c>
      <c r="Q58" s="78">
        <f t="shared" si="4"/>
        <v>11.675855023108483</v>
      </c>
      <c r="R58" s="7" t="s">
        <v>68</v>
      </c>
      <c r="S58" s="80" t="s">
        <v>19</v>
      </c>
      <c r="T58" s="7" t="s">
        <v>22</v>
      </c>
      <c r="U58" s="7"/>
    </row>
    <row r="59" spans="1:21" x14ac:dyDescent="0.3">
      <c r="A59" s="10" t="s">
        <v>9</v>
      </c>
      <c r="B59" s="10" t="s">
        <v>10</v>
      </c>
      <c r="C59" s="37">
        <v>336597624</v>
      </c>
      <c r="D59" s="11">
        <v>2024</v>
      </c>
      <c r="E59" s="10" t="s">
        <v>23</v>
      </c>
      <c r="F59" s="41">
        <f t="shared" si="0"/>
        <v>2.1984706582480214E-5</v>
      </c>
      <c r="G59" s="8">
        <v>8</v>
      </c>
      <c r="H59" s="36">
        <f t="shared" si="1"/>
        <v>216.49417587765265</v>
      </c>
      <c r="I59" s="37">
        <v>74</v>
      </c>
      <c r="J59" s="12">
        <v>0.13300000000000001</v>
      </c>
      <c r="K59" s="12">
        <v>7</v>
      </c>
      <c r="L59" s="40">
        <f t="shared" si="2"/>
        <v>68.894000000000005</v>
      </c>
      <c r="M59" s="11">
        <v>2</v>
      </c>
      <c r="N59" s="12">
        <v>73.8</v>
      </c>
      <c r="O59" s="9">
        <f t="shared" si="3"/>
        <v>147.6</v>
      </c>
      <c r="P59" s="75">
        <f t="shared" si="6"/>
        <v>6.4318390993054864E-2</v>
      </c>
      <c r="Q59" s="78">
        <f t="shared" si="4"/>
        <v>6.4297711149841064E-2</v>
      </c>
      <c r="R59" s="10" t="s">
        <v>69</v>
      </c>
      <c r="S59" s="81" t="s">
        <v>25</v>
      </c>
      <c r="T59" s="10" t="s">
        <v>15</v>
      </c>
      <c r="U59" s="4"/>
    </row>
    <row r="60" spans="1:21" ht="22.8" x14ac:dyDescent="0.3">
      <c r="A60" s="7" t="s">
        <v>9</v>
      </c>
      <c r="B60" s="7" t="s">
        <v>10</v>
      </c>
      <c r="C60" s="36">
        <v>336597624</v>
      </c>
      <c r="D60" s="8">
        <v>2024</v>
      </c>
      <c r="E60" s="7" t="s">
        <v>26</v>
      </c>
      <c r="F60" s="41" t="e">
        <f t="shared" si="0"/>
        <v>#VALUE!</v>
      </c>
      <c r="G60" s="11">
        <v>6</v>
      </c>
      <c r="H60" s="36" t="e">
        <f t="shared" si="1"/>
        <v>#VALUE!</v>
      </c>
      <c r="I60" s="73" t="s">
        <v>12</v>
      </c>
      <c r="J60" s="9">
        <v>0.128</v>
      </c>
      <c r="K60" s="9">
        <v>5</v>
      </c>
      <c r="L60" s="40" t="e">
        <f t="shared" si="2"/>
        <v>#VALUE!</v>
      </c>
      <c r="M60" s="18" t="s">
        <v>12</v>
      </c>
      <c r="N60" s="9">
        <v>73.8</v>
      </c>
      <c r="O60" s="9" t="e">
        <f t="shared" si="3"/>
        <v>#VALUE!</v>
      </c>
      <c r="P60" s="75" t="e">
        <f t="shared" si="6"/>
        <v>#VALUE!</v>
      </c>
      <c r="Q60" s="78" t="e">
        <f t="shared" si="4"/>
        <v>#VALUE!</v>
      </c>
      <c r="R60" s="7" t="s">
        <v>27</v>
      </c>
      <c r="S60" s="80" t="s">
        <v>28</v>
      </c>
      <c r="T60" s="7" t="s">
        <v>29</v>
      </c>
      <c r="U60" s="3" t="s">
        <v>16</v>
      </c>
    </row>
    <row r="61" spans="1:21" x14ac:dyDescent="0.3">
      <c r="A61" s="10" t="s">
        <v>9</v>
      </c>
      <c r="B61" s="10" t="s">
        <v>10</v>
      </c>
      <c r="C61" s="37">
        <v>336597624</v>
      </c>
      <c r="D61" s="11">
        <v>2024</v>
      </c>
      <c r="E61" s="10" t="s">
        <v>30</v>
      </c>
      <c r="F61" s="41">
        <f t="shared" si="0"/>
        <v>2.2281797211973189E-5</v>
      </c>
      <c r="G61" s="8">
        <v>6</v>
      </c>
      <c r="H61" s="36">
        <f t="shared" si="1"/>
        <v>8154.0001336907835</v>
      </c>
      <c r="I61" s="37">
        <v>75</v>
      </c>
      <c r="J61" s="12">
        <v>0.12</v>
      </c>
      <c r="K61" s="12">
        <v>4</v>
      </c>
      <c r="L61" s="40">
        <f t="shared" si="2"/>
        <v>36</v>
      </c>
      <c r="M61" s="11">
        <v>110</v>
      </c>
      <c r="N61" s="12">
        <v>73.8</v>
      </c>
      <c r="O61" s="9">
        <f t="shared" si="3"/>
        <v>8118</v>
      </c>
      <c r="P61" s="75">
        <f t="shared" si="6"/>
        <v>2.4224770326040042</v>
      </c>
      <c r="Q61" s="78">
        <f t="shared" si="4"/>
        <v>2.3933705639422209</v>
      </c>
      <c r="R61" s="10" t="s">
        <v>70</v>
      </c>
      <c r="S61" s="81" t="s">
        <v>32</v>
      </c>
      <c r="T61" s="10" t="s">
        <v>33</v>
      </c>
      <c r="U61" s="4"/>
    </row>
    <row r="62" spans="1:21" ht="22.8" x14ac:dyDescent="0.3">
      <c r="A62" s="7" t="s">
        <v>9</v>
      </c>
      <c r="B62" s="7" t="s">
        <v>10</v>
      </c>
      <c r="C62" s="36">
        <v>338289857</v>
      </c>
      <c r="D62" s="8">
        <v>2025</v>
      </c>
      <c r="E62" s="7" t="s">
        <v>11</v>
      </c>
      <c r="F62" s="41">
        <f t="shared" si="0"/>
        <v>1.3008962311276155E-2</v>
      </c>
      <c r="G62" s="11">
        <v>9</v>
      </c>
      <c r="H62" s="36">
        <f t="shared" si="1"/>
        <v>2913069.029080661</v>
      </c>
      <c r="I62" s="36">
        <v>44008</v>
      </c>
      <c r="J62" s="9">
        <v>0.13300000000000001</v>
      </c>
      <c r="K62" s="9">
        <v>8</v>
      </c>
      <c r="L62" s="40">
        <f t="shared" si="2"/>
        <v>46824.512000000002</v>
      </c>
      <c r="M62" s="36">
        <v>38838</v>
      </c>
      <c r="N62" s="9">
        <v>73.8</v>
      </c>
      <c r="O62" s="9">
        <f t="shared" si="3"/>
        <v>2866244.4</v>
      </c>
      <c r="P62" s="75">
        <f t="shared" si="6"/>
        <v>861.1162790732626</v>
      </c>
      <c r="Q62" s="78">
        <f t="shared" si="4"/>
        <v>99.981793791282399</v>
      </c>
      <c r="R62" s="7" t="s">
        <v>13</v>
      </c>
      <c r="S62" s="80" t="s">
        <v>14</v>
      </c>
      <c r="T62" s="7" t="s">
        <v>15</v>
      </c>
      <c r="U62" s="3" t="s">
        <v>16</v>
      </c>
    </row>
    <row r="63" spans="1:21" x14ac:dyDescent="0.3">
      <c r="A63" s="10" t="s">
        <v>9</v>
      </c>
      <c r="B63" s="10" t="s">
        <v>10</v>
      </c>
      <c r="C63" s="37">
        <v>338289857</v>
      </c>
      <c r="D63" s="11">
        <v>2025</v>
      </c>
      <c r="E63" s="10" t="s">
        <v>17</v>
      </c>
      <c r="F63" s="41">
        <f t="shared" si="0"/>
        <v>5.3208807853792671E-4</v>
      </c>
      <c r="G63" s="8">
        <v>7</v>
      </c>
      <c r="H63" s="36">
        <f t="shared" si="1"/>
        <v>1510.2037246165498</v>
      </c>
      <c r="I63" s="37">
        <v>1800</v>
      </c>
      <c r="J63" s="12">
        <v>0.13300000000000001</v>
      </c>
      <c r="K63" s="12">
        <v>6</v>
      </c>
      <c r="L63" s="40">
        <f t="shared" si="2"/>
        <v>1436.4</v>
      </c>
      <c r="M63" s="11">
        <v>1</v>
      </c>
      <c r="N63" s="12">
        <v>73.8</v>
      </c>
      <c r="O63" s="9">
        <f t="shared" si="3"/>
        <v>73.8</v>
      </c>
      <c r="P63" s="75">
        <f t="shared" si="6"/>
        <v>0.44642299890668902</v>
      </c>
      <c r="Q63" s="78">
        <f t="shared" si="4"/>
        <v>0.44542801260347709</v>
      </c>
      <c r="R63" s="10" t="s">
        <v>71</v>
      </c>
      <c r="S63" s="81" t="s">
        <v>19</v>
      </c>
      <c r="T63" s="10"/>
      <c r="U63" s="4"/>
    </row>
    <row r="64" spans="1:21" x14ac:dyDescent="0.3">
      <c r="A64" s="7" t="s">
        <v>9</v>
      </c>
      <c r="B64" s="7" t="s">
        <v>10</v>
      </c>
      <c r="C64" s="36">
        <v>338289857</v>
      </c>
      <c r="D64" s="8">
        <v>2025</v>
      </c>
      <c r="E64" s="7" t="s">
        <v>20</v>
      </c>
      <c r="F64" s="41">
        <f t="shared" si="0"/>
        <v>1.5371433379984551E-4</v>
      </c>
      <c r="G64" s="11">
        <v>7</v>
      </c>
      <c r="H64" s="36">
        <f t="shared" si="1"/>
        <v>37314.961076000334</v>
      </c>
      <c r="I64" s="36">
        <v>520</v>
      </c>
      <c r="J64" s="9">
        <v>0.13300000000000001</v>
      </c>
      <c r="K64" s="9">
        <v>6</v>
      </c>
      <c r="L64" s="40">
        <f t="shared" si="2"/>
        <v>414.96</v>
      </c>
      <c r="M64" s="8">
        <v>500</v>
      </c>
      <c r="N64" s="9">
        <v>73.8</v>
      </c>
      <c r="O64" s="9">
        <f t="shared" si="3"/>
        <v>36900</v>
      </c>
      <c r="P64" s="75">
        <f t="shared" si="6"/>
        <v>11.030469966470303</v>
      </c>
      <c r="Q64" s="78">
        <f t="shared" si="4"/>
        <v>10.443878348288427</v>
      </c>
      <c r="R64" s="7" t="s">
        <v>72</v>
      </c>
      <c r="S64" s="80" t="s">
        <v>19</v>
      </c>
      <c r="T64" s="7" t="s">
        <v>22</v>
      </c>
      <c r="U64" s="7"/>
    </row>
    <row r="65" spans="1:21" x14ac:dyDescent="0.3">
      <c r="A65" s="10" t="s">
        <v>9</v>
      </c>
      <c r="B65" s="10" t="s">
        <v>10</v>
      </c>
      <c r="C65" s="37">
        <v>338289857</v>
      </c>
      <c r="D65" s="11">
        <v>2025</v>
      </c>
      <c r="E65" s="10" t="s">
        <v>23</v>
      </c>
      <c r="F65" s="41">
        <f t="shared" si="0"/>
        <v>1.7736269284597558E-5</v>
      </c>
      <c r="G65" s="8">
        <v>8</v>
      </c>
      <c r="H65" s="36">
        <f t="shared" si="1"/>
        <v>203.46014189015426</v>
      </c>
      <c r="I65" s="37">
        <v>60</v>
      </c>
      <c r="J65" s="12">
        <v>0.13300000000000001</v>
      </c>
      <c r="K65" s="12">
        <v>7</v>
      </c>
      <c r="L65" s="40">
        <f t="shared" si="2"/>
        <v>55.86</v>
      </c>
      <c r="M65" s="11">
        <v>2</v>
      </c>
      <c r="N65" s="12">
        <v>73.8</v>
      </c>
      <c r="O65" s="9">
        <f t="shared" si="3"/>
        <v>147.6</v>
      </c>
      <c r="P65" s="75">
        <f t="shared" si="6"/>
        <v>6.014373108743673E-2</v>
      </c>
      <c r="Q65" s="78">
        <f t="shared" si="4"/>
        <v>6.012564837087897E-2</v>
      </c>
      <c r="R65" s="10" t="s">
        <v>73</v>
      </c>
      <c r="S65" s="81" t="s">
        <v>25</v>
      </c>
      <c r="T65" s="10" t="s">
        <v>15</v>
      </c>
      <c r="U65" s="4"/>
    </row>
    <row r="66" spans="1:21" ht="22.8" x14ac:dyDescent="0.3">
      <c r="A66" s="7" t="s">
        <v>9</v>
      </c>
      <c r="B66" s="7" t="s">
        <v>10</v>
      </c>
      <c r="C66" s="36">
        <v>338289857</v>
      </c>
      <c r="D66" s="8">
        <v>2025</v>
      </c>
      <c r="E66" s="7" t="s">
        <v>26</v>
      </c>
      <c r="F66" s="41" t="e">
        <f t="shared" ref="F66:F129" si="7">I66*100/C66</f>
        <v>#VALUE!</v>
      </c>
      <c r="G66" s="11">
        <v>6</v>
      </c>
      <c r="H66" s="36" t="e">
        <f t="shared" ref="H66:H129" si="8">O66+L66+(G66*F66)</f>
        <v>#VALUE!</v>
      </c>
      <c r="I66" s="73" t="s">
        <v>12</v>
      </c>
      <c r="J66" s="9">
        <v>0.128</v>
      </c>
      <c r="K66" s="9">
        <v>5</v>
      </c>
      <c r="L66" s="40" t="e">
        <f t="shared" si="2"/>
        <v>#VALUE!</v>
      </c>
      <c r="M66" s="18" t="s">
        <v>12</v>
      </c>
      <c r="N66" s="9">
        <v>73.8</v>
      </c>
      <c r="O66" s="9" t="e">
        <f t="shared" si="3"/>
        <v>#VALUE!</v>
      </c>
      <c r="P66" s="75" t="e">
        <f t="shared" si="6"/>
        <v>#VALUE!</v>
      </c>
      <c r="Q66" s="78" t="e">
        <f t="shared" si="4"/>
        <v>#VALUE!</v>
      </c>
      <c r="R66" s="7" t="s">
        <v>27</v>
      </c>
      <c r="S66" s="80" t="s">
        <v>28</v>
      </c>
      <c r="T66" s="7" t="s">
        <v>29</v>
      </c>
      <c r="U66" s="3" t="s">
        <v>16</v>
      </c>
    </row>
    <row r="67" spans="1:21" x14ac:dyDescent="0.3">
      <c r="A67" s="10" t="s">
        <v>9</v>
      </c>
      <c r="B67" s="10" t="s">
        <v>10</v>
      </c>
      <c r="C67" s="37">
        <v>338289857</v>
      </c>
      <c r="D67" s="11">
        <v>2025</v>
      </c>
      <c r="E67" s="10" t="s">
        <v>30</v>
      </c>
      <c r="F67" s="41">
        <f t="shared" si="7"/>
        <v>1.9214291724980689E-5</v>
      </c>
      <c r="G67" s="8">
        <v>6</v>
      </c>
      <c r="H67" s="36">
        <f t="shared" si="8"/>
        <v>7042.2001152857501</v>
      </c>
      <c r="I67" s="37">
        <v>65</v>
      </c>
      <c r="J67" s="12">
        <v>0.12</v>
      </c>
      <c r="K67" s="12">
        <v>4</v>
      </c>
      <c r="L67" s="40">
        <f t="shared" ref="L67:L130" si="9">I67*J67*K67</f>
        <v>31.2</v>
      </c>
      <c r="M67" s="11">
        <v>95</v>
      </c>
      <c r="N67" s="12">
        <v>73.8</v>
      </c>
      <c r="O67" s="9">
        <f t="shared" ref="O67:O130" si="10">M67*N67</f>
        <v>7011</v>
      </c>
      <c r="P67" s="75">
        <f t="shared" si="6"/>
        <v>2.0817059600122003</v>
      </c>
      <c r="Q67" s="78">
        <f t="shared" ref="Q67:Q130" si="11">100*(1-EXP(-P67/100))</f>
        <v>2.0601880334741196</v>
      </c>
      <c r="R67" s="10" t="s">
        <v>74</v>
      </c>
      <c r="S67" s="81" t="s">
        <v>32</v>
      </c>
      <c r="T67" s="10" t="s">
        <v>33</v>
      </c>
      <c r="U67" s="4"/>
    </row>
    <row r="68" spans="1:21" x14ac:dyDescent="0.3">
      <c r="A68" s="7" t="s">
        <v>75</v>
      </c>
      <c r="B68" s="7" t="s">
        <v>76</v>
      </c>
      <c r="C68" s="36">
        <v>181137448</v>
      </c>
      <c r="D68" s="8">
        <v>2015</v>
      </c>
      <c r="E68" s="7" t="s">
        <v>11</v>
      </c>
      <c r="F68" s="41">
        <f t="shared" si="7"/>
        <v>1.5645577605796898E-3</v>
      </c>
      <c r="G68" s="11">
        <v>9</v>
      </c>
      <c r="H68" s="36">
        <f t="shared" si="8"/>
        <v>477549.39008101984</v>
      </c>
      <c r="I68" s="36">
        <v>2834</v>
      </c>
      <c r="J68" s="9">
        <v>0.13300000000000001</v>
      </c>
      <c r="K68" s="9">
        <v>8</v>
      </c>
      <c r="L68" s="40">
        <f t="shared" si="9"/>
        <v>3015.3760000000002</v>
      </c>
      <c r="M68" s="8">
        <v>6430</v>
      </c>
      <c r="N68" s="9">
        <v>73.8</v>
      </c>
      <c r="O68" s="9">
        <f t="shared" si="10"/>
        <v>474534</v>
      </c>
      <c r="P68" s="75">
        <f t="shared" si="6"/>
        <v>263.63923934769127</v>
      </c>
      <c r="Q68" s="78">
        <f t="shared" si="11"/>
        <v>92.838082212592113</v>
      </c>
      <c r="R68" s="7" t="s">
        <v>77</v>
      </c>
      <c r="S68" s="80" t="s">
        <v>19</v>
      </c>
      <c r="T68" s="7" t="s">
        <v>78</v>
      </c>
      <c r="U68" s="7"/>
    </row>
    <row r="69" spans="1:21" x14ac:dyDescent="0.3">
      <c r="A69" s="10" t="s">
        <v>75</v>
      </c>
      <c r="B69" s="10" t="s">
        <v>76</v>
      </c>
      <c r="C69" s="37">
        <v>181137448</v>
      </c>
      <c r="D69" s="11">
        <v>2015</v>
      </c>
      <c r="E69" s="10" t="s">
        <v>17</v>
      </c>
      <c r="F69" s="41">
        <f t="shared" si="7"/>
        <v>9.9372052542111554E-5</v>
      </c>
      <c r="G69" s="8">
        <v>7</v>
      </c>
      <c r="H69" s="36">
        <f t="shared" si="8"/>
        <v>1029.2406956043678</v>
      </c>
      <c r="I69" s="37">
        <v>180</v>
      </c>
      <c r="J69" s="12">
        <v>0.13300000000000001</v>
      </c>
      <c r="K69" s="12">
        <v>6</v>
      </c>
      <c r="L69" s="40">
        <f t="shared" si="9"/>
        <v>143.64000000000001</v>
      </c>
      <c r="M69" s="11">
        <v>12</v>
      </c>
      <c r="N69" s="12">
        <v>73.8</v>
      </c>
      <c r="O69" s="9">
        <f t="shared" si="10"/>
        <v>885.59999999999991</v>
      </c>
      <c r="P69" s="75">
        <f t="shared" si="6"/>
        <v>0.56820978045598158</v>
      </c>
      <c r="Q69" s="78">
        <f t="shared" si="11"/>
        <v>0.56659852190367177</v>
      </c>
      <c r="R69" s="10" t="s">
        <v>79</v>
      </c>
      <c r="S69" s="81" t="s">
        <v>19</v>
      </c>
      <c r="T69" s="10"/>
      <c r="U69" s="4"/>
    </row>
    <row r="70" spans="1:21" ht="22.8" x14ac:dyDescent="0.3">
      <c r="A70" s="7" t="s">
        <v>75</v>
      </c>
      <c r="B70" s="7" t="s">
        <v>76</v>
      </c>
      <c r="C70" s="36">
        <v>181137448</v>
      </c>
      <c r="D70" s="8">
        <v>2015</v>
      </c>
      <c r="E70" s="7" t="s">
        <v>20</v>
      </c>
      <c r="F70" s="41">
        <f t="shared" si="7"/>
        <v>1.0047618645924613E-3</v>
      </c>
      <c r="G70" s="11">
        <v>7</v>
      </c>
      <c r="H70" s="36">
        <f t="shared" si="8"/>
        <v>174144.36703333305</v>
      </c>
      <c r="I70" s="36">
        <v>1820</v>
      </c>
      <c r="J70" s="9">
        <v>0.13300000000000001</v>
      </c>
      <c r="K70" s="9">
        <v>6</v>
      </c>
      <c r="L70" s="40">
        <f t="shared" si="9"/>
        <v>1452.3600000000001</v>
      </c>
      <c r="M70" s="8">
        <v>2340</v>
      </c>
      <c r="N70" s="9">
        <v>73.8</v>
      </c>
      <c r="O70" s="9">
        <f t="shared" si="10"/>
        <v>172692</v>
      </c>
      <c r="P70" s="75">
        <f t="shared" si="6"/>
        <v>96.139351059717399</v>
      </c>
      <c r="Q70" s="78">
        <f t="shared" si="11"/>
        <v>61.764030772725675</v>
      </c>
      <c r="R70" s="7" t="s">
        <v>80</v>
      </c>
      <c r="S70" s="80" t="s">
        <v>19</v>
      </c>
      <c r="T70" s="7" t="s">
        <v>22</v>
      </c>
      <c r="U70" s="7"/>
    </row>
    <row r="71" spans="1:21" x14ac:dyDescent="0.3">
      <c r="A71" s="10" t="s">
        <v>75</v>
      </c>
      <c r="B71" s="10" t="s">
        <v>76</v>
      </c>
      <c r="C71" s="37">
        <v>181137448</v>
      </c>
      <c r="D71" s="11">
        <v>2015</v>
      </c>
      <c r="E71" s="10" t="s">
        <v>23</v>
      </c>
      <c r="F71" s="41">
        <f t="shared" si="7"/>
        <v>4.9133959312488496E-4</v>
      </c>
      <c r="G71" s="8">
        <v>8</v>
      </c>
      <c r="H71" s="36">
        <f t="shared" si="8"/>
        <v>92340.593930716743</v>
      </c>
      <c r="I71" s="37">
        <v>890</v>
      </c>
      <c r="J71" s="12">
        <v>0.13300000000000001</v>
      </c>
      <c r="K71" s="12">
        <v>7</v>
      </c>
      <c r="L71" s="40">
        <f t="shared" si="9"/>
        <v>828.59</v>
      </c>
      <c r="M71" s="11">
        <v>1240</v>
      </c>
      <c r="N71" s="12">
        <v>73.8</v>
      </c>
      <c r="O71" s="9">
        <f t="shared" si="10"/>
        <v>91512</v>
      </c>
      <c r="P71" s="75">
        <f t="shared" si="6"/>
        <v>50.978190843627623</v>
      </c>
      <c r="Q71" s="78">
        <f t="shared" si="11"/>
        <v>39.937344388593857</v>
      </c>
      <c r="R71" s="10" t="s">
        <v>81</v>
      </c>
      <c r="S71" s="81" t="s">
        <v>25</v>
      </c>
      <c r="T71" s="10" t="s">
        <v>15</v>
      </c>
      <c r="U71" s="4"/>
    </row>
    <row r="72" spans="1:21" x14ac:dyDescent="0.3">
      <c r="A72" s="7" t="s">
        <v>75</v>
      </c>
      <c r="B72" s="7" t="s">
        <v>76</v>
      </c>
      <c r="C72" s="36">
        <v>181137448</v>
      </c>
      <c r="D72" s="8">
        <v>2015</v>
      </c>
      <c r="E72" s="7" t="s">
        <v>26</v>
      </c>
      <c r="F72" s="41" t="e">
        <f t="shared" si="7"/>
        <v>#VALUE!</v>
      </c>
      <c r="G72" s="11">
        <v>6</v>
      </c>
      <c r="H72" s="36" t="e">
        <f t="shared" si="8"/>
        <v>#VALUE!</v>
      </c>
      <c r="I72" s="73" t="s">
        <v>12</v>
      </c>
      <c r="J72" s="9">
        <v>0.128</v>
      </c>
      <c r="K72" s="9">
        <v>5</v>
      </c>
      <c r="L72" s="40" t="e">
        <f t="shared" si="9"/>
        <v>#VALUE!</v>
      </c>
      <c r="M72" s="18" t="s">
        <v>12</v>
      </c>
      <c r="N72" s="9">
        <v>73.8</v>
      </c>
      <c r="O72" s="9" t="e">
        <f t="shared" si="10"/>
        <v>#VALUE!</v>
      </c>
      <c r="P72" s="75" t="e">
        <f t="shared" si="6"/>
        <v>#VALUE!</v>
      </c>
      <c r="Q72" s="78" t="e">
        <f t="shared" si="11"/>
        <v>#VALUE!</v>
      </c>
      <c r="R72" s="7" t="s">
        <v>82</v>
      </c>
      <c r="S72" s="80" t="s">
        <v>28</v>
      </c>
      <c r="T72" s="7" t="s">
        <v>83</v>
      </c>
      <c r="U72" s="3" t="s">
        <v>16</v>
      </c>
    </row>
    <row r="73" spans="1:21" x14ac:dyDescent="0.3">
      <c r="A73" s="10" t="s">
        <v>75</v>
      </c>
      <c r="B73" s="10" t="s">
        <v>76</v>
      </c>
      <c r="C73" s="37">
        <v>181137448</v>
      </c>
      <c r="D73" s="11">
        <v>2015</v>
      </c>
      <c r="E73" s="10" t="s">
        <v>30</v>
      </c>
      <c r="F73" s="41">
        <f t="shared" si="7"/>
        <v>2.3186812259826031E-5</v>
      </c>
      <c r="G73" s="8">
        <v>6</v>
      </c>
      <c r="H73" s="36">
        <f t="shared" si="8"/>
        <v>28064.160139120875</v>
      </c>
      <c r="I73" s="37">
        <v>42</v>
      </c>
      <c r="J73" s="12">
        <v>0.12</v>
      </c>
      <c r="K73" s="12">
        <v>4</v>
      </c>
      <c r="L73" s="40">
        <f t="shared" si="9"/>
        <v>20.16</v>
      </c>
      <c r="M73" s="11">
        <v>380</v>
      </c>
      <c r="N73" s="12">
        <v>73.8</v>
      </c>
      <c r="O73" s="9">
        <f t="shared" si="10"/>
        <v>28044</v>
      </c>
      <c r="P73" s="75">
        <f t="shared" si="6"/>
        <v>15.493295532749736</v>
      </c>
      <c r="Q73" s="78">
        <f t="shared" si="11"/>
        <v>14.352740251645479</v>
      </c>
      <c r="R73" s="10" t="s">
        <v>84</v>
      </c>
      <c r="S73" s="81" t="s">
        <v>29</v>
      </c>
      <c r="T73" s="10" t="s">
        <v>33</v>
      </c>
      <c r="U73" s="4"/>
    </row>
    <row r="74" spans="1:21" x14ac:dyDescent="0.3">
      <c r="A74" s="7" t="s">
        <v>75</v>
      </c>
      <c r="B74" s="7" t="s">
        <v>76</v>
      </c>
      <c r="C74" s="36">
        <v>185960289</v>
      </c>
      <c r="D74" s="8">
        <v>2016</v>
      </c>
      <c r="E74" s="7" t="s">
        <v>11</v>
      </c>
      <c r="F74" s="41">
        <f t="shared" si="7"/>
        <v>1.2050959976729226E-3</v>
      </c>
      <c r="G74" s="11">
        <v>9</v>
      </c>
      <c r="H74" s="36">
        <f t="shared" si="8"/>
        <v>361790.43484586396</v>
      </c>
      <c r="I74" s="36">
        <v>2241</v>
      </c>
      <c r="J74" s="9">
        <v>0.13300000000000001</v>
      </c>
      <c r="K74" s="9">
        <v>8</v>
      </c>
      <c r="L74" s="40">
        <f t="shared" si="9"/>
        <v>2384.424</v>
      </c>
      <c r="M74" s="8">
        <v>4870</v>
      </c>
      <c r="N74" s="9">
        <v>73.8</v>
      </c>
      <c r="O74" s="9">
        <f t="shared" si="10"/>
        <v>359406</v>
      </c>
      <c r="P74" s="75">
        <f t="shared" si="6"/>
        <v>194.5525234400254</v>
      </c>
      <c r="Q74" s="78">
        <f t="shared" si="11"/>
        <v>85.708785875082711</v>
      </c>
      <c r="R74" s="7" t="s">
        <v>85</v>
      </c>
      <c r="S74" s="80" t="s">
        <v>19</v>
      </c>
      <c r="T74" s="7" t="s">
        <v>78</v>
      </c>
      <c r="U74" s="7"/>
    </row>
    <row r="75" spans="1:21" x14ac:dyDescent="0.3">
      <c r="A75" s="10" t="s">
        <v>75</v>
      </c>
      <c r="B75" s="10" t="s">
        <v>76</v>
      </c>
      <c r="C75" s="37">
        <v>185960289</v>
      </c>
      <c r="D75" s="11">
        <v>2016</v>
      </c>
      <c r="E75" s="10" t="s">
        <v>17</v>
      </c>
      <c r="F75" s="41">
        <f t="shared" si="7"/>
        <v>9.6794859250837157E-5</v>
      </c>
      <c r="G75" s="8">
        <v>7</v>
      </c>
      <c r="H75" s="36">
        <f t="shared" si="8"/>
        <v>1029.2406775640147</v>
      </c>
      <c r="I75" s="37">
        <v>180</v>
      </c>
      <c r="J75" s="12">
        <v>0.13300000000000001</v>
      </c>
      <c r="K75" s="12">
        <v>6</v>
      </c>
      <c r="L75" s="40">
        <f t="shared" si="9"/>
        <v>143.64000000000001</v>
      </c>
      <c r="M75" s="11">
        <v>12</v>
      </c>
      <c r="N75" s="12">
        <v>73.8</v>
      </c>
      <c r="O75" s="9">
        <f t="shared" si="10"/>
        <v>885.59999999999991</v>
      </c>
      <c r="P75" s="75">
        <f t="shared" si="6"/>
        <v>0.55347336955580595</v>
      </c>
      <c r="Q75" s="78">
        <f t="shared" si="11"/>
        <v>0.55194452757995061</v>
      </c>
      <c r="R75" s="10" t="s">
        <v>79</v>
      </c>
      <c r="S75" s="81" t="s">
        <v>19</v>
      </c>
      <c r="T75" s="10"/>
      <c r="U75" s="4"/>
    </row>
    <row r="76" spans="1:21" ht="22.8" x14ac:dyDescent="0.3">
      <c r="A76" s="7" t="s">
        <v>75</v>
      </c>
      <c r="B76" s="7" t="s">
        <v>76</v>
      </c>
      <c r="C76" s="36">
        <v>185960289</v>
      </c>
      <c r="D76" s="8">
        <v>2016</v>
      </c>
      <c r="E76" s="7" t="s">
        <v>20</v>
      </c>
      <c r="F76" s="41">
        <f t="shared" si="7"/>
        <v>9.7870357686957558E-4</v>
      </c>
      <c r="G76" s="11">
        <v>7</v>
      </c>
      <c r="H76" s="36">
        <f t="shared" si="8"/>
        <v>174144.36685092503</v>
      </c>
      <c r="I76" s="36">
        <v>1820</v>
      </c>
      <c r="J76" s="9">
        <v>0.13300000000000001</v>
      </c>
      <c r="K76" s="9">
        <v>6</v>
      </c>
      <c r="L76" s="40">
        <f t="shared" si="9"/>
        <v>1452.3600000000001</v>
      </c>
      <c r="M76" s="8">
        <v>2340</v>
      </c>
      <c r="N76" s="9">
        <v>73.8</v>
      </c>
      <c r="O76" s="9">
        <f t="shared" si="10"/>
        <v>172692</v>
      </c>
      <c r="P76" s="75">
        <f t="shared" si="6"/>
        <v>93.645997103674659</v>
      </c>
      <c r="Q76" s="78">
        <f t="shared" si="11"/>
        <v>60.798688026372282</v>
      </c>
      <c r="R76" s="7" t="s">
        <v>80</v>
      </c>
      <c r="S76" s="80" t="s">
        <v>19</v>
      </c>
      <c r="T76" s="7" t="s">
        <v>22</v>
      </c>
      <c r="U76" s="7"/>
    </row>
    <row r="77" spans="1:21" x14ac:dyDescent="0.3">
      <c r="A77" s="10" t="s">
        <v>75</v>
      </c>
      <c r="B77" s="10" t="s">
        <v>76</v>
      </c>
      <c r="C77" s="37">
        <v>185960289</v>
      </c>
      <c r="D77" s="11">
        <v>2016</v>
      </c>
      <c r="E77" s="10" t="s">
        <v>23</v>
      </c>
      <c r="F77" s="41">
        <f t="shared" si="7"/>
        <v>4.7859680407358367E-4</v>
      </c>
      <c r="G77" s="8">
        <v>8</v>
      </c>
      <c r="H77" s="36">
        <f t="shared" si="8"/>
        <v>92340.593828774436</v>
      </c>
      <c r="I77" s="37">
        <v>890</v>
      </c>
      <c r="J77" s="12">
        <v>0.13300000000000001</v>
      </c>
      <c r="K77" s="12">
        <v>7</v>
      </c>
      <c r="L77" s="40">
        <f t="shared" si="9"/>
        <v>828.59</v>
      </c>
      <c r="M77" s="11">
        <v>1240</v>
      </c>
      <c r="N77" s="12">
        <v>73.8</v>
      </c>
      <c r="O77" s="9">
        <f t="shared" si="10"/>
        <v>91512</v>
      </c>
      <c r="P77" s="75">
        <f t="shared" si="6"/>
        <v>49.656082126638566</v>
      </c>
      <c r="Q77" s="78">
        <f t="shared" si="11"/>
        <v>39.137978181827215</v>
      </c>
      <c r="R77" s="10" t="s">
        <v>81</v>
      </c>
      <c r="S77" s="81" t="s">
        <v>25</v>
      </c>
      <c r="T77" s="10" t="s">
        <v>15</v>
      </c>
      <c r="U77" s="4"/>
    </row>
    <row r="78" spans="1:21" x14ac:dyDescent="0.3">
      <c r="A78" s="7" t="s">
        <v>75</v>
      </c>
      <c r="B78" s="7" t="s">
        <v>76</v>
      </c>
      <c r="C78" s="36">
        <v>185960289</v>
      </c>
      <c r="D78" s="8">
        <v>2016</v>
      </c>
      <c r="E78" s="7" t="s">
        <v>26</v>
      </c>
      <c r="F78" s="41" t="e">
        <f t="shared" si="7"/>
        <v>#VALUE!</v>
      </c>
      <c r="G78" s="11">
        <v>6</v>
      </c>
      <c r="H78" s="36" t="e">
        <f t="shared" si="8"/>
        <v>#VALUE!</v>
      </c>
      <c r="I78" s="73" t="s">
        <v>12</v>
      </c>
      <c r="J78" s="9">
        <v>0.128</v>
      </c>
      <c r="K78" s="9">
        <v>5</v>
      </c>
      <c r="L78" s="40" t="e">
        <f t="shared" si="9"/>
        <v>#VALUE!</v>
      </c>
      <c r="M78" s="18" t="s">
        <v>12</v>
      </c>
      <c r="N78" s="9">
        <v>73.8</v>
      </c>
      <c r="O78" s="9" t="e">
        <f t="shared" si="10"/>
        <v>#VALUE!</v>
      </c>
      <c r="P78" s="75" t="e">
        <f t="shared" si="6"/>
        <v>#VALUE!</v>
      </c>
      <c r="Q78" s="78" t="e">
        <f t="shared" si="11"/>
        <v>#VALUE!</v>
      </c>
      <c r="R78" s="7" t="s">
        <v>82</v>
      </c>
      <c r="S78" s="80" t="s">
        <v>28</v>
      </c>
      <c r="T78" s="7" t="s">
        <v>83</v>
      </c>
      <c r="U78" s="3" t="s">
        <v>16</v>
      </c>
    </row>
    <row r="79" spans="1:21" x14ac:dyDescent="0.3">
      <c r="A79" s="10" t="s">
        <v>75</v>
      </c>
      <c r="B79" s="10" t="s">
        <v>76</v>
      </c>
      <c r="C79" s="37">
        <v>185960289</v>
      </c>
      <c r="D79" s="11">
        <v>2016</v>
      </c>
      <c r="E79" s="10" t="s">
        <v>30</v>
      </c>
      <c r="F79" s="41">
        <f t="shared" si="7"/>
        <v>2.2585467158528669E-5</v>
      </c>
      <c r="G79" s="8">
        <v>6</v>
      </c>
      <c r="H79" s="36">
        <f t="shared" si="8"/>
        <v>28064.160135512804</v>
      </c>
      <c r="I79" s="37">
        <v>42</v>
      </c>
      <c r="J79" s="12">
        <v>0.12</v>
      </c>
      <c r="K79" s="12">
        <v>4</v>
      </c>
      <c r="L79" s="40">
        <f t="shared" si="9"/>
        <v>20.16</v>
      </c>
      <c r="M79" s="11">
        <v>380</v>
      </c>
      <c r="N79" s="12">
        <v>73.8</v>
      </c>
      <c r="O79" s="9">
        <f t="shared" si="10"/>
        <v>28044</v>
      </c>
      <c r="P79" s="75">
        <f t="shared" si="6"/>
        <v>15.091480168388427</v>
      </c>
      <c r="Q79" s="78">
        <f t="shared" si="11"/>
        <v>14.007904064395305</v>
      </c>
      <c r="R79" s="10" t="s">
        <v>84</v>
      </c>
      <c r="S79" s="81" t="s">
        <v>29</v>
      </c>
      <c r="T79" s="10" t="s">
        <v>33</v>
      </c>
      <c r="U79" s="4"/>
    </row>
    <row r="80" spans="1:21" x14ac:dyDescent="0.3">
      <c r="A80" s="7" t="s">
        <v>75</v>
      </c>
      <c r="B80" s="7" t="s">
        <v>76</v>
      </c>
      <c r="C80" s="36">
        <v>190873311</v>
      </c>
      <c r="D80" s="8">
        <v>2017</v>
      </c>
      <c r="E80" s="7" t="s">
        <v>11</v>
      </c>
      <c r="F80" s="41">
        <f t="shared" si="7"/>
        <v>1.1049213684987107E-3</v>
      </c>
      <c r="G80" s="11">
        <v>9</v>
      </c>
      <c r="H80" s="36">
        <f t="shared" si="8"/>
        <v>293015.98594429233</v>
      </c>
      <c r="I80" s="36">
        <v>2109</v>
      </c>
      <c r="J80" s="9">
        <v>0.13300000000000001</v>
      </c>
      <c r="K80" s="9">
        <v>8</v>
      </c>
      <c r="L80" s="40">
        <f t="shared" si="9"/>
        <v>2243.9760000000001</v>
      </c>
      <c r="M80" s="8">
        <v>3940</v>
      </c>
      <c r="N80" s="9">
        <v>73.8</v>
      </c>
      <c r="O80" s="9">
        <f t="shared" si="10"/>
        <v>290772</v>
      </c>
      <c r="P80" s="75">
        <f t="shared" si="6"/>
        <v>153.51333531605806</v>
      </c>
      <c r="Q80" s="78">
        <f t="shared" si="11"/>
        <v>78.457303861199435</v>
      </c>
      <c r="R80" s="7" t="s">
        <v>86</v>
      </c>
      <c r="S80" s="80" t="s">
        <v>19</v>
      </c>
      <c r="T80" s="7" t="s">
        <v>78</v>
      </c>
      <c r="U80" s="7"/>
    </row>
    <row r="81" spans="1:21" x14ac:dyDescent="0.3">
      <c r="A81" s="10" t="s">
        <v>75</v>
      </c>
      <c r="B81" s="10" t="s">
        <v>76</v>
      </c>
      <c r="C81" s="37">
        <v>190873311</v>
      </c>
      <c r="D81" s="11">
        <v>2017</v>
      </c>
      <c r="E81" s="10" t="s">
        <v>17</v>
      </c>
      <c r="F81" s="41">
        <f t="shared" si="7"/>
        <v>9.4303388492066338E-5</v>
      </c>
      <c r="G81" s="8">
        <v>7</v>
      </c>
      <c r="H81" s="36">
        <f t="shared" si="8"/>
        <v>1029.2406601237194</v>
      </c>
      <c r="I81" s="37">
        <v>180</v>
      </c>
      <c r="J81" s="12">
        <v>0.13300000000000001</v>
      </c>
      <c r="K81" s="12">
        <v>6</v>
      </c>
      <c r="L81" s="40">
        <f t="shared" si="9"/>
        <v>143.64000000000001</v>
      </c>
      <c r="M81" s="11">
        <v>12</v>
      </c>
      <c r="N81" s="12">
        <v>73.8</v>
      </c>
      <c r="O81" s="9">
        <f t="shared" si="10"/>
        <v>885.59999999999991</v>
      </c>
      <c r="P81" s="75">
        <f t="shared" si="6"/>
        <v>0.53922712124154404</v>
      </c>
      <c r="Q81" s="78">
        <f t="shared" si="11"/>
        <v>0.53777590142877196</v>
      </c>
      <c r="R81" s="10" t="s">
        <v>79</v>
      </c>
      <c r="S81" s="81" t="s">
        <v>19</v>
      </c>
      <c r="T81" s="10"/>
      <c r="U81" s="4"/>
    </row>
    <row r="82" spans="1:21" ht="22.8" x14ac:dyDescent="0.3">
      <c r="A82" s="7" t="s">
        <v>75</v>
      </c>
      <c r="B82" s="7" t="s">
        <v>76</v>
      </c>
      <c r="C82" s="36">
        <v>190873311</v>
      </c>
      <c r="D82" s="8">
        <v>2017</v>
      </c>
      <c r="E82" s="7" t="s">
        <v>20</v>
      </c>
      <c r="F82" s="41">
        <f t="shared" si="7"/>
        <v>9.535120391975597E-4</v>
      </c>
      <c r="G82" s="11">
        <v>7</v>
      </c>
      <c r="H82" s="36">
        <f t="shared" si="8"/>
        <v>174144.36667458425</v>
      </c>
      <c r="I82" s="36">
        <v>1820</v>
      </c>
      <c r="J82" s="9">
        <v>0.13300000000000001</v>
      </c>
      <c r="K82" s="9">
        <v>6</v>
      </c>
      <c r="L82" s="40">
        <f t="shared" si="9"/>
        <v>1452.3600000000001</v>
      </c>
      <c r="M82" s="8">
        <v>2340</v>
      </c>
      <c r="N82" s="9">
        <v>73.8</v>
      </c>
      <c r="O82" s="9">
        <f t="shared" si="10"/>
        <v>172692</v>
      </c>
      <c r="P82" s="75">
        <f t="shared" si="6"/>
        <v>91.235577023434274</v>
      </c>
      <c r="Q82" s="78">
        <f t="shared" si="11"/>
        <v>59.842291449354512</v>
      </c>
      <c r="R82" s="7" t="s">
        <v>80</v>
      </c>
      <c r="S82" s="80" t="s">
        <v>19</v>
      </c>
      <c r="T82" s="7" t="s">
        <v>22</v>
      </c>
      <c r="U82" s="7"/>
    </row>
    <row r="83" spans="1:21" x14ac:dyDescent="0.3">
      <c r="A83" s="10" t="s">
        <v>75</v>
      </c>
      <c r="B83" s="10" t="s">
        <v>76</v>
      </c>
      <c r="C83" s="37">
        <v>190873311</v>
      </c>
      <c r="D83" s="11">
        <v>2017</v>
      </c>
      <c r="E83" s="10" t="s">
        <v>23</v>
      </c>
      <c r="F83" s="41">
        <f t="shared" si="7"/>
        <v>4.6627786532188356E-4</v>
      </c>
      <c r="G83" s="8">
        <v>8</v>
      </c>
      <c r="H83" s="36">
        <f t="shared" si="8"/>
        <v>92340.593730222914</v>
      </c>
      <c r="I83" s="37">
        <v>890</v>
      </c>
      <c r="J83" s="12">
        <v>0.13300000000000001</v>
      </c>
      <c r="K83" s="12">
        <v>7</v>
      </c>
      <c r="L83" s="40">
        <f t="shared" si="9"/>
        <v>828.59</v>
      </c>
      <c r="M83" s="11">
        <v>1240</v>
      </c>
      <c r="N83" s="12">
        <v>73.8</v>
      </c>
      <c r="O83" s="9">
        <f t="shared" si="10"/>
        <v>91512</v>
      </c>
      <c r="P83" s="75">
        <f t="shared" si="6"/>
        <v>48.37794935627376</v>
      </c>
      <c r="Q83" s="78">
        <f t="shared" si="11"/>
        <v>38.355088207469166</v>
      </c>
      <c r="R83" s="10" t="s">
        <v>81</v>
      </c>
      <c r="S83" s="81" t="s">
        <v>25</v>
      </c>
      <c r="T83" s="10" t="s">
        <v>15</v>
      </c>
      <c r="U83" s="4"/>
    </row>
    <row r="84" spans="1:21" x14ac:dyDescent="0.3">
      <c r="A84" s="7" t="s">
        <v>75</v>
      </c>
      <c r="B84" s="7" t="s">
        <v>76</v>
      </c>
      <c r="C84" s="36">
        <v>190873311</v>
      </c>
      <c r="D84" s="8">
        <v>2017</v>
      </c>
      <c r="E84" s="7" t="s">
        <v>26</v>
      </c>
      <c r="F84" s="41" t="e">
        <f t="shared" si="7"/>
        <v>#VALUE!</v>
      </c>
      <c r="G84" s="11">
        <v>6</v>
      </c>
      <c r="H84" s="36" t="e">
        <f t="shared" si="8"/>
        <v>#VALUE!</v>
      </c>
      <c r="I84" s="73" t="s">
        <v>12</v>
      </c>
      <c r="J84" s="9">
        <v>0.128</v>
      </c>
      <c r="K84" s="9">
        <v>5</v>
      </c>
      <c r="L84" s="40" t="e">
        <f t="shared" si="9"/>
        <v>#VALUE!</v>
      </c>
      <c r="M84" s="18" t="s">
        <v>12</v>
      </c>
      <c r="N84" s="9">
        <v>73.8</v>
      </c>
      <c r="O84" s="9" t="e">
        <f t="shared" si="10"/>
        <v>#VALUE!</v>
      </c>
      <c r="P84" s="75" t="e">
        <f t="shared" si="6"/>
        <v>#VALUE!</v>
      </c>
      <c r="Q84" s="78" t="e">
        <f t="shared" si="11"/>
        <v>#VALUE!</v>
      </c>
      <c r="R84" s="7" t="s">
        <v>82</v>
      </c>
      <c r="S84" s="80" t="s">
        <v>28</v>
      </c>
      <c r="T84" s="7" t="s">
        <v>83</v>
      </c>
      <c r="U84" s="3" t="s">
        <v>16</v>
      </c>
    </row>
    <row r="85" spans="1:21" x14ac:dyDescent="0.3">
      <c r="A85" s="10" t="s">
        <v>75</v>
      </c>
      <c r="B85" s="10" t="s">
        <v>76</v>
      </c>
      <c r="C85" s="37">
        <v>190873311</v>
      </c>
      <c r="D85" s="11">
        <v>2017</v>
      </c>
      <c r="E85" s="10" t="s">
        <v>30</v>
      </c>
      <c r="F85" s="41">
        <f t="shared" si="7"/>
        <v>2.2004123981482146E-5</v>
      </c>
      <c r="G85" s="8">
        <v>6</v>
      </c>
      <c r="H85" s="36">
        <f t="shared" si="8"/>
        <v>28064.160132024743</v>
      </c>
      <c r="I85" s="37">
        <v>42</v>
      </c>
      <c r="J85" s="12">
        <v>0.12</v>
      </c>
      <c r="K85" s="12">
        <v>4</v>
      </c>
      <c r="L85" s="40">
        <f t="shared" si="9"/>
        <v>20.16</v>
      </c>
      <c r="M85" s="11">
        <v>380</v>
      </c>
      <c r="N85" s="12">
        <v>73.8</v>
      </c>
      <c r="O85" s="9">
        <f t="shared" si="10"/>
        <v>28044</v>
      </c>
      <c r="P85" s="75">
        <f t="shared" si="6"/>
        <v>14.703029975743828</v>
      </c>
      <c r="Q85" s="78">
        <f t="shared" si="11"/>
        <v>13.673217978551378</v>
      </c>
      <c r="R85" s="10" t="s">
        <v>84</v>
      </c>
      <c r="S85" s="81" t="s">
        <v>29</v>
      </c>
      <c r="T85" s="10" t="s">
        <v>33</v>
      </c>
      <c r="U85" s="4"/>
    </row>
    <row r="86" spans="1:21" x14ac:dyDescent="0.3">
      <c r="A86" s="7" t="s">
        <v>75</v>
      </c>
      <c r="B86" s="7" t="s">
        <v>76</v>
      </c>
      <c r="C86" s="36">
        <v>195874740</v>
      </c>
      <c r="D86" s="8">
        <v>2018</v>
      </c>
      <c r="E86" s="7" t="s">
        <v>11</v>
      </c>
      <c r="F86" s="41">
        <f t="shared" si="7"/>
        <v>1.4682852929377213E-3</v>
      </c>
      <c r="G86" s="11">
        <v>9</v>
      </c>
      <c r="H86" s="36">
        <f t="shared" si="8"/>
        <v>313758.07721456763</v>
      </c>
      <c r="I86" s="36">
        <v>2876</v>
      </c>
      <c r="J86" s="9">
        <v>0.13300000000000001</v>
      </c>
      <c r="K86" s="9">
        <v>8</v>
      </c>
      <c r="L86" s="40">
        <f t="shared" si="9"/>
        <v>3060.0640000000003</v>
      </c>
      <c r="M86" s="8">
        <v>4210</v>
      </c>
      <c r="N86" s="9">
        <v>73.8</v>
      </c>
      <c r="O86" s="9">
        <f t="shared" si="10"/>
        <v>310698</v>
      </c>
      <c r="P86" s="75">
        <f t="shared" si="6"/>
        <v>160.18302166709583</v>
      </c>
      <c r="Q86" s="78">
        <f t="shared" si="11"/>
        <v>79.847265843890298</v>
      </c>
      <c r="R86" s="7" t="s">
        <v>87</v>
      </c>
      <c r="S86" s="80" t="s">
        <v>19</v>
      </c>
      <c r="T86" s="7" t="s">
        <v>78</v>
      </c>
      <c r="U86" s="7"/>
    </row>
    <row r="87" spans="1:21" x14ac:dyDescent="0.3">
      <c r="A87" s="10" t="s">
        <v>75</v>
      </c>
      <c r="B87" s="10" t="s">
        <v>76</v>
      </c>
      <c r="C87" s="37">
        <v>195874740</v>
      </c>
      <c r="D87" s="11">
        <v>2018</v>
      </c>
      <c r="E87" s="10" t="s">
        <v>17</v>
      </c>
      <c r="F87" s="41">
        <f t="shared" si="7"/>
        <v>9.1895463396658502E-5</v>
      </c>
      <c r="G87" s="8">
        <v>7</v>
      </c>
      <c r="H87" s="36">
        <f t="shared" si="8"/>
        <v>1029.2406432682437</v>
      </c>
      <c r="I87" s="37">
        <v>180</v>
      </c>
      <c r="J87" s="12">
        <v>0.13300000000000001</v>
      </c>
      <c r="K87" s="12">
        <v>6</v>
      </c>
      <c r="L87" s="40">
        <f t="shared" si="9"/>
        <v>143.64000000000001</v>
      </c>
      <c r="M87" s="11">
        <v>12</v>
      </c>
      <c r="N87" s="12">
        <v>73.8</v>
      </c>
      <c r="O87" s="9">
        <f t="shared" si="10"/>
        <v>885.59999999999991</v>
      </c>
      <c r="P87" s="75">
        <f t="shared" si="6"/>
        <v>0.5254585881100563</v>
      </c>
      <c r="Q87" s="78">
        <f t="shared" si="11"/>
        <v>0.52408046934203645</v>
      </c>
      <c r="R87" s="10" t="s">
        <v>79</v>
      </c>
      <c r="S87" s="81" t="s">
        <v>19</v>
      </c>
      <c r="T87" s="10"/>
      <c r="U87" s="10"/>
    </row>
    <row r="88" spans="1:21" ht="22.8" x14ac:dyDescent="0.3">
      <c r="A88" s="7" t="s">
        <v>75</v>
      </c>
      <c r="B88" s="7" t="s">
        <v>76</v>
      </c>
      <c r="C88" s="36">
        <v>195874740</v>
      </c>
      <c r="D88" s="8">
        <v>2018</v>
      </c>
      <c r="E88" s="7" t="s">
        <v>20</v>
      </c>
      <c r="F88" s="41">
        <f t="shared" si="7"/>
        <v>9.2916524101065818E-4</v>
      </c>
      <c r="G88" s="11">
        <v>7</v>
      </c>
      <c r="H88" s="36">
        <f t="shared" si="8"/>
        <v>174144.36650415667</v>
      </c>
      <c r="I88" s="36">
        <v>1820</v>
      </c>
      <c r="J88" s="9">
        <v>0.13300000000000001</v>
      </c>
      <c r="K88" s="9">
        <v>6</v>
      </c>
      <c r="L88" s="40">
        <f t="shared" si="9"/>
        <v>1452.3600000000001</v>
      </c>
      <c r="M88" s="8">
        <v>2340</v>
      </c>
      <c r="N88" s="9">
        <v>73.8</v>
      </c>
      <c r="O88" s="9">
        <f t="shared" si="10"/>
        <v>172692</v>
      </c>
      <c r="P88" s="75">
        <f t="shared" si="6"/>
        <v>88.905984765650061</v>
      </c>
      <c r="Q88" s="78">
        <f t="shared" si="11"/>
        <v>58.895798673592111</v>
      </c>
      <c r="R88" s="7" t="s">
        <v>80</v>
      </c>
      <c r="S88" s="80" t="s">
        <v>19</v>
      </c>
      <c r="T88" s="7" t="s">
        <v>22</v>
      </c>
      <c r="U88" s="7"/>
    </row>
    <row r="89" spans="1:21" x14ac:dyDescent="0.3">
      <c r="A89" s="10" t="s">
        <v>75</v>
      </c>
      <c r="B89" s="10" t="s">
        <v>76</v>
      </c>
      <c r="C89" s="37">
        <v>195874740</v>
      </c>
      <c r="D89" s="11">
        <v>2018</v>
      </c>
      <c r="E89" s="10" t="s">
        <v>23</v>
      </c>
      <c r="F89" s="41">
        <f t="shared" si="7"/>
        <v>4.5437201346125591E-4</v>
      </c>
      <c r="G89" s="8">
        <v>8</v>
      </c>
      <c r="H89" s="36">
        <f t="shared" si="8"/>
        <v>92340.593634976103</v>
      </c>
      <c r="I89" s="37">
        <v>890</v>
      </c>
      <c r="J89" s="12">
        <v>0.13300000000000001</v>
      </c>
      <c r="K89" s="12">
        <v>7</v>
      </c>
      <c r="L89" s="40">
        <f t="shared" si="9"/>
        <v>828.59</v>
      </c>
      <c r="M89" s="11">
        <v>1240</v>
      </c>
      <c r="N89" s="12">
        <v>73.8</v>
      </c>
      <c r="O89" s="9">
        <f t="shared" si="10"/>
        <v>91512</v>
      </c>
      <c r="P89" s="75">
        <f t="shared" si="6"/>
        <v>47.142675791159235</v>
      </c>
      <c r="Q89" s="78">
        <f t="shared" si="11"/>
        <v>37.588882281153879</v>
      </c>
      <c r="R89" s="10" t="s">
        <v>81</v>
      </c>
      <c r="S89" s="81" t="s">
        <v>25</v>
      </c>
      <c r="T89" s="10" t="s">
        <v>15</v>
      </c>
      <c r="U89" s="4"/>
    </row>
    <row r="90" spans="1:21" x14ac:dyDescent="0.3">
      <c r="A90" s="7" t="s">
        <v>75</v>
      </c>
      <c r="B90" s="7" t="s">
        <v>76</v>
      </c>
      <c r="C90" s="36">
        <v>195874740</v>
      </c>
      <c r="D90" s="8">
        <v>2018</v>
      </c>
      <c r="E90" s="7" t="s">
        <v>26</v>
      </c>
      <c r="F90" s="41" t="e">
        <f t="shared" si="7"/>
        <v>#VALUE!</v>
      </c>
      <c r="G90" s="11">
        <v>6</v>
      </c>
      <c r="H90" s="36" t="e">
        <f t="shared" si="8"/>
        <v>#VALUE!</v>
      </c>
      <c r="I90" s="73" t="s">
        <v>12</v>
      </c>
      <c r="J90" s="9">
        <v>0.128</v>
      </c>
      <c r="K90" s="9">
        <v>5</v>
      </c>
      <c r="L90" s="40" t="e">
        <f t="shared" si="9"/>
        <v>#VALUE!</v>
      </c>
      <c r="M90" s="18" t="s">
        <v>12</v>
      </c>
      <c r="N90" s="9">
        <v>73.8</v>
      </c>
      <c r="O90" s="9" t="e">
        <f t="shared" si="10"/>
        <v>#VALUE!</v>
      </c>
      <c r="P90" s="75" t="e">
        <f t="shared" si="6"/>
        <v>#VALUE!</v>
      </c>
      <c r="Q90" s="78" t="e">
        <f t="shared" si="11"/>
        <v>#VALUE!</v>
      </c>
      <c r="R90" s="7" t="s">
        <v>82</v>
      </c>
      <c r="S90" s="80" t="s">
        <v>28</v>
      </c>
      <c r="T90" s="7" t="s">
        <v>83</v>
      </c>
      <c r="U90" s="3" t="s">
        <v>16</v>
      </c>
    </row>
    <row r="91" spans="1:21" x14ac:dyDescent="0.3">
      <c r="A91" s="10" t="s">
        <v>75</v>
      </c>
      <c r="B91" s="10" t="s">
        <v>76</v>
      </c>
      <c r="C91" s="37">
        <v>195874740</v>
      </c>
      <c r="D91" s="11">
        <v>2018</v>
      </c>
      <c r="E91" s="10" t="s">
        <v>30</v>
      </c>
      <c r="F91" s="41">
        <f t="shared" si="7"/>
        <v>2.144227479255365E-5</v>
      </c>
      <c r="G91" s="8">
        <v>6</v>
      </c>
      <c r="H91" s="36">
        <f t="shared" si="8"/>
        <v>28064.16012865365</v>
      </c>
      <c r="I91" s="37">
        <v>42</v>
      </c>
      <c r="J91" s="12">
        <v>0.12</v>
      </c>
      <c r="K91" s="12">
        <v>4</v>
      </c>
      <c r="L91" s="40">
        <f t="shared" si="9"/>
        <v>20.16</v>
      </c>
      <c r="M91" s="11">
        <v>380</v>
      </c>
      <c r="N91" s="12">
        <v>73.8</v>
      </c>
      <c r="O91" s="9">
        <f t="shared" si="10"/>
        <v>28044</v>
      </c>
      <c r="P91" s="75">
        <f t="shared" si="6"/>
        <v>14.327605554781414</v>
      </c>
      <c r="Q91" s="78">
        <f t="shared" si="11"/>
        <v>13.348517035064022</v>
      </c>
      <c r="R91" s="10" t="s">
        <v>84</v>
      </c>
      <c r="S91" s="81" t="s">
        <v>29</v>
      </c>
      <c r="T91" s="10" t="s">
        <v>33</v>
      </c>
      <c r="U91" s="4"/>
    </row>
    <row r="92" spans="1:21" x14ac:dyDescent="0.3">
      <c r="A92" s="7" t="s">
        <v>75</v>
      </c>
      <c r="B92" s="7" t="s">
        <v>76</v>
      </c>
      <c r="C92" s="36">
        <v>200963599</v>
      </c>
      <c r="D92" s="8">
        <v>2019</v>
      </c>
      <c r="E92" s="7" t="s">
        <v>11</v>
      </c>
      <c r="F92" s="41">
        <f t="shared" si="7"/>
        <v>1.5545103767772392E-3</v>
      </c>
      <c r="G92" s="11">
        <v>9</v>
      </c>
      <c r="H92" s="36">
        <f t="shared" si="8"/>
        <v>418817.94999059336</v>
      </c>
      <c r="I92" s="36">
        <v>3124</v>
      </c>
      <c r="J92" s="9">
        <v>0.13300000000000001</v>
      </c>
      <c r="K92" s="9">
        <v>8</v>
      </c>
      <c r="L92" s="40">
        <f t="shared" si="9"/>
        <v>3323.9360000000001</v>
      </c>
      <c r="M92" s="8">
        <v>5630</v>
      </c>
      <c r="N92" s="9">
        <v>73.8</v>
      </c>
      <c r="O92" s="9">
        <f t="shared" si="10"/>
        <v>415494</v>
      </c>
      <c r="P92" s="75">
        <f t="shared" si="6"/>
        <v>208.40488131912554</v>
      </c>
      <c r="Q92" s="78">
        <f t="shared" si="11"/>
        <v>87.55745842896242</v>
      </c>
      <c r="R92" s="7" t="s">
        <v>88</v>
      </c>
      <c r="S92" s="80" t="s">
        <v>19</v>
      </c>
      <c r="T92" s="7" t="s">
        <v>78</v>
      </c>
      <c r="U92" s="7"/>
    </row>
    <row r="93" spans="1:21" x14ac:dyDescent="0.3">
      <c r="A93" s="10" t="s">
        <v>75</v>
      </c>
      <c r="B93" s="10" t="s">
        <v>76</v>
      </c>
      <c r="C93" s="37">
        <v>200963599</v>
      </c>
      <c r="D93" s="11">
        <v>2019</v>
      </c>
      <c r="E93" s="10" t="s">
        <v>17</v>
      </c>
      <c r="F93" s="41">
        <f t="shared" si="7"/>
        <v>8.9568459609444003E-5</v>
      </c>
      <c r="G93" s="8">
        <v>7</v>
      </c>
      <c r="H93" s="36">
        <f t="shared" si="8"/>
        <v>1029.2406269792173</v>
      </c>
      <c r="I93" s="37">
        <v>180</v>
      </c>
      <c r="J93" s="12">
        <v>0.13300000000000001</v>
      </c>
      <c r="K93" s="12">
        <v>6</v>
      </c>
      <c r="L93" s="40">
        <f t="shared" si="9"/>
        <v>143.64000000000001</v>
      </c>
      <c r="M93" s="11">
        <v>12</v>
      </c>
      <c r="N93" s="12">
        <v>73.8</v>
      </c>
      <c r="O93" s="9">
        <f t="shared" si="10"/>
        <v>885.59999999999991</v>
      </c>
      <c r="P93" s="75">
        <f t="shared" ref="P93:P156" si="12">H93/C93*100000</f>
        <v>0.51215276403326027</v>
      </c>
      <c r="Q93" s="78">
        <f t="shared" si="11"/>
        <v>0.51084349786596484</v>
      </c>
      <c r="R93" s="10" t="s">
        <v>79</v>
      </c>
      <c r="S93" s="81" t="s">
        <v>19</v>
      </c>
      <c r="T93" s="10"/>
      <c r="U93" s="10"/>
    </row>
    <row r="94" spans="1:21" ht="22.8" x14ac:dyDescent="0.3">
      <c r="A94" s="7" t="s">
        <v>75</v>
      </c>
      <c r="B94" s="7" t="s">
        <v>76</v>
      </c>
      <c r="C94" s="36">
        <v>200963599</v>
      </c>
      <c r="D94" s="8">
        <v>2019</v>
      </c>
      <c r="E94" s="7" t="s">
        <v>20</v>
      </c>
      <c r="F94" s="41">
        <f t="shared" si="7"/>
        <v>9.0563664716215592E-4</v>
      </c>
      <c r="G94" s="11">
        <v>7</v>
      </c>
      <c r="H94" s="36">
        <f t="shared" si="8"/>
        <v>174144.36633945652</v>
      </c>
      <c r="I94" s="36">
        <v>1820</v>
      </c>
      <c r="J94" s="9">
        <v>0.13300000000000001</v>
      </c>
      <c r="K94" s="9">
        <v>6</v>
      </c>
      <c r="L94" s="40">
        <f t="shared" si="9"/>
        <v>1452.3600000000001</v>
      </c>
      <c r="M94" s="8">
        <v>2340</v>
      </c>
      <c r="N94" s="9">
        <v>73.8</v>
      </c>
      <c r="O94" s="9">
        <f t="shared" si="10"/>
        <v>172692</v>
      </c>
      <c r="P94" s="75">
        <f t="shared" si="12"/>
        <v>86.654681348265726</v>
      </c>
      <c r="Q94" s="78">
        <f t="shared" si="11"/>
        <v>57.959923214009294</v>
      </c>
      <c r="R94" s="7" t="s">
        <v>80</v>
      </c>
      <c r="S94" s="80" t="s">
        <v>19</v>
      </c>
      <c r="T94" s="7" t="s">
        <v>22</v>
      </c>
      <c r="U94" s="7"/>
    </row>
    <row r="95" spans="1:21" x14ac:dyDescent="0.3">
      <c r="A95" s="10" t="s">
        <v>75</v>
      </c>
      <c r="B95" s="10" t="s">
        <v>76</v>
      </c>
      <c r="C95" s="37">
        <v>200963599</v>
      </c>
      <c r="D95" s="11">
        <v>2019</v>
      </c>
      <c r="E95" s="10" t="s">
        <v>23</v>
      </c>
      <c r="F95" s="41">
        <f t="shared" si="7"/>
        <v>4.4286627251336196E-4</v>
      </c>
      <c r="G95" s="8">
        <v>8</v>
      </c>
      <c r="H95" s="36">
        <f t="shared" si="8"/>
        <v>92340.593542930175</v>
      </c>
      <c r="I95" s="37">
        <v>890</v>
      </c>
      <c r="J95" s="12">
        <v>0.13300000000000001</v>
      </c>
      <c r="K95" s="12">
        <v>7</v>
      </c>
      <c r="L95" s="40">
        <f t="shared" si="9"/>
        <v>828.59</v>
      </c>
      <c r="M95" s="11">
        <v>1240</v>
      </c>
      <c r="N95" s="12">
        <v>73.8</v>
      </c>
      <c r="O95" s="9">
        <f t="shared" si="10"/>
        <v>91512</v>
      </c>
      <c r="P95" s="75">
        <f t="shared" si="12"/>
        <v>45.948915128122373</v>
      </c>
      <c r="Q95" s="78">
        <f t="shared" si="11"/>
        <v>36.839378166563961</v>
      </c>
      <c r="R95" s="10" t="s">
        <v>81</v>
      </c>
      <c r="S95" s="81" t="s">
        <v>25</v>
      </c>
      <c r="T95" s="10" t="s">
        <v>15</v>
      </c>
      <c r="U95" s="4"/>
    </row>
    <row r="96" spans="1:21" x14ac:dyDescent="0.3">
      <c r="A96" s="7" t="s">
        <v>75</v>
      </c>
      <c r="B96" s="7" t="s">
        <v>76</v>
      </c>
      <c r="C96" s="36">
        <v>200963599</v>
      </c>
      <c r="D96" s="8">
        <v>2019</v>
      </c>
      <c r="E96" s="7" t="s">
        <v>26</v>
      </c>
      <c r="F96" s="41" t="e">
        <f t="shared" si="7"/>
        <v>#VALUE!</v>
      </c>
      <c r="G96" s="11">
        <v>6</v>
      </c>
      <c r="H96" s="36" t="e">
        <f t="shared" si="8"/>
        <v>#VALUE!</v>
      </c>
      <c r="I96" s="73" t="s">
        <v>12</v>
      </c>
      <c r="J96" s="9">
        <v>0.128</v>
      </c>
      <c r="K96" s="9">
        <v>5</v>
      </c>
      <c r="L96" s="40" t="e">
        <f t="shared" si="9"/>
        <v>#VALUE!</v>
      </c>
      <c r="M96" s="18" t="s">
        <v>12</v>
      </c>
      <c r="N96" s="9">
        <v>73.8</v>
      </c>
      <c r="O96" s="9" t="e">
        <f t="shared" si="10"/>
        <v>#VALUE!</v>
      </c>
      <c r="P96" s="75" t="e">
        <f t="shared" si="12"/>
        <v>#VALUE!</v>
      </c>
      <c r="Q96" s="78" t="e">
        <f t="shared" si="11"/>
        <v>#VALUE!</v>
      </c>
      <c r="R96" s="7" t="s">
        <v>82</v>
      </c>
      <c r="S96" s="80" t="s">
        <v>28</v>
      </c>
      <c r="T96" s="7" t="s">
        <v>83</v>
      </c>
      <c r="U96" s="3" t="s">
        <v>16</v>
      </c>
    </row>
    <row r="97" spans="1:21" x14ac:dyDescent="0.3">
      <c r="A97" s="10" t="s">
        <v>75</v>
      </c>
      <c r="B97" s="10" t="s">
        <v>76</v>
      </c>
      <c r="C97" s="37">
        <v>200963599</v>
      </c>
      <c r="D97" s="11">
        <v>2019</v>
      </c>
      <c r="E97" s="10" t="s">
        <v>30</v>
      </c>
      <c r="F97" s="41">
        <f t="shared" si="7"/>
        <v>2.08993072422036E-5</v>
      </c>
      <c r="G97" s="8">
        <v>6</v>
      </c>
      <c r="H97" s="36">
        <f t="shared" si="8"/>
        <v>28064.160125395843</v>
      </c>
      <c r="I97" s="37">
        <v>42</v>
      </c>
      <c r="J97" s="12">
        <v>0.12</v>
      </c>
      <c r="K97" s="12">
        <v>4</v>
      </c>
      <c r="L97" s="40">
        <f t="shared" si="9"/>
        <v>20.16</v>
      </c>
      <c r="M97" s="11">
        <v>380</v>
      </c>
      <c r="N97" s="12">
        <v>73.8</v>
      </c>
      <c r="O97" s="9">
        <f t="shared" si="10"/>
        <v>28044</v>
      </c>
      <c r="P97" s="75">
        <f t="shared" si="12"/>
        <v>13.964797737024925</v>
      </c>
      <c r="Q97" s="78">
        <f t="shared" si="11"/>
        <v>13.03356769572458</v>
      </c>
      <c r="R97" s="10" t="s">
        <v>84</v>
      </c>
      <c r="S97" s="81" t="s">
        <v>29</v>
      </c>
      <c r="T97" s="10" t="s">
        <v>33</v>
      </c>
      <c r="U97" s="4"/>
    </row>
    <row r="98" spans="1:21" ht="22.8" x14ac:dyDescent="0.3">
      <c r="A98" s="7" t="s">
        <v>75</v>
      </c>
      <c r="B98" s="7" t="s">
        <v>76</v>
      </c>
      <c r="C98" s="36">
        <v>206139587</v>
      </c>
      <c r="D98" s="8">
        <v>2020</v>
      </c>
      <c r="E98" s="7" t="s">
        <v>11</v>
      </c>
      <c r="F98" s="41">
        <f t="shared" si="7"/>
        <v>1.655189112220352E-3</v>
      </c>
      <c r="G98" s="11">
        <v>9</v>
      </c>
      <c r="H98" s="36">
        <f t="shared" si="8"/>
        <v>457500.38289670204</v>
      </c>
      <c r="I98" s="36">
        <v>3412</v>
      </c>
      <c r="J98" s="9">
        <v>0.13300000000000001</v>
      </c>
      <c r="K98" s="9">
        <v>8</v>
      </c>
      <c r="L98" s="40">
        <f t="shared" si="9"/>
        <v>3630.3680000000004</v>
      </c>
      <c r="M98" s="8">
        <v>6150</v>
      </c>
      <c r="N98" s="9">
        <v>73.8</v>
      </c>
      <c r="O98" s="9">
        <f t="shared" si="10"/>
        <v>453870</v>
      </c>
      <c r="P98" s="75">
        <f t="shared" si="12"/>
        <v>221.93717837258598</v>
      </c>
      <c r="Q98" s="78">
        <f t="shared" si="11"/>
        <v>89.13226397292685</v>
      </c>
      <c r="R98" s="7" t="s">
        <v>89</v>
      </c>
      <c r="S98" s="80" t="s">
        <v>19</v>
      </c>
      <c r="T98" s="7" t="s">
        <v>78</v>
      </c>
      <c r="U98" s="7"/>
    </row>
    <row r="99" spans="1:21" x14ac:dyDescent="0.3">
      <c r="A99" s="10" t="s">
        <v>75</v>
      </c>
      <c r="B99" s="10" t="s">
        <v>76</v>
      </c>
      <c r="C99" s="37">
        <v>206139587</v>
      </c>
      <c r="D99" s="11">
        <v>2020</v>
      </c>
      <c r="E99" s="10" t="s">
        <v>17</v>
      </c>
      <c r="F99" s="41">
        <f t="shared" si="7"/>
        <v>6.0153414394877969E-4</v>
      </c>
      <c r="G99" s="8">
        <v>7</v>
      </c>
      <c r="H99" s="36">
        <f t="shared" si="8"/>
        <v>5122.3242107390079</v>
      </c>
      <c r="I99" s="37">
        <v>1240</v>
      </c>
      <c r="J99" s="12">
        <v>0.13300000000000001</v>
      </c>
      <c r="K99" s="12">
        <v>6</v>
      </c>
      <c r="L99" s="40">
        <f t="shared" si="9"/>
        <v>989.5200000000001</v>
      </c>
      <c r="M99" s="11">
        <v>56</v>
      </c>
      <c r="N99" s="12">
        <v>73.8</v>
      </c>
      <c r="O99" s="9">
        <f t="shared" si="10"/>
        <v>4132.8</v>
      </c>
      <c r="P99" s="75">
        <f t="shared" si="12"/>
        <v>2.4848813783346757</v>
      </c>
      <c r="Q99" s="78">
        <f t="shared" si="11"/>
        <v>2.4542623408979614</v>
      </c>
      <c r="R99" s="10" t="s">
        <v>90</v>
      </c>
      <c r="S99" s="81" t="s">
        <v>19</v>
      </c>
      <c r="T99" s="10"/>
      <c r="U99" s="4"/>
    </row>
    <row r="100" spans="1:21" ht="22.8" x14ac:dyDescent="0.3">
      <c r="A100" s="7" t="s">
        <v>75</v>
      </c>
      <c r="B100" s="7" t="s">
        <v>76</v>
      </c>
      <c r="C100" s="36">
        <v>206139587</v>
      </c>
      <c r="D100" s="8">
        <v>2020</v>
      </c>
      <c r="E100" s="7" t="s">
        <v>20</v>
      </c>
      <c r="F100" s="41">
        <f t="shared" si="7"/>
        <v>8.828968886990154E-4</v>
      </c>
      <c r="G100" s="11">
        <v>7</v>
      </c>
      <c r="H100" s="36">
        <f t="shared" si="8"/>
        <v>174144.36618027822</v>
      </c>
      <c r="I100" s="36">
        <v>1820</v>
      </c>
      <c r="J100" s="9">
        <v>0.13300000000000001</v>
      </c>
      <c r="K100" s="9">
        <v>6</v>
      </c>
      <c r="L100" s="40">
        <f t="shared" si="9"/>
        <v>1452.3600000000001</v>
      </c>
      <c r="M100" s="8">
        <v>2340</v>
      </c>
      <c r="N100" s="9">
        <v>73.8</v>
      </c>
      <c r="O100" s="9">
        <f t="shared" si="10"/>
        <v>172692</v>
      </c>
      <c r="P100" s="75">
        <f t="shared" si="12"/>
        <v>84.478856640126196</v>
      </c>
      <c r="Q100" s="78">
        <f t="shared" si="11"/>
        <v>57.035180932897134</v>
      </c>
      <c r="R100" s="7" t="s">
        <v>80</v>
      </c>
      <c r="S100" s="80" t="s">
        <v>19</v>
      </c>
      <c r="T100" s="7" t="s">
        <v>22</v>
      </c>
      <c r="U100" s="7"/>
    </row>
    <row r="101" spans="1:21" x14ac:dyDescent="0.3">
      <c r="A101" s="10" t="s">
        <v>75</v>
      </c>
      <c r="B101" s="10" t="s">
        <v>76</v>
      </c>
      <c r="C101" s="37">
        <v>206139587</v>
      </c>
      <c r="D101" s="11">
        <v>2020</v>
      </c>
      <c r="E101" s="10" t="s">
        <v>23</v>
      </c>
      <c r="F101" s="41">
        <f t="shared" si="7"/>
        <v>4.3174628073743059E-4</v>
      </c>
      <c r="G101" s="8">
        <v>8</v>
      </c>
      <c r="H101" s="36">
        <f t="shared" si="8"/>
        <v>92340.593453970243</v>
      </c>
      <c r="I101" s="37">
        <v>890</v>
      </c>
      <c r="J101" s="12">
        <v>0.13300000000000001</v>
      </c>
      <c r="K101" s="12">
        <v>7</v>
      </c>
      <c r="L101" s="40">
        <f t="shared" si="9"/>
        <v>828.59</v>
      </c>
      <c r="M101" s="11">
        <v>1240</v>
      </c>
      <c r="N101" s="12">
        <v>73.8</v>
      </c>
      <c r="O101" s="9">
        <f t="shared" si="10"/>
        <v>91512</v>
      </c>
      <c r="P101" s="75">
        <f t="shared" si="12"/>
        <v>44.795177286335715</v>
      </c>
      <c r="Q101" s="78">
        <f t="shared" si="11"/>
        <v>36.106450268157289</v>
      </c>
      <c r="R101" s="10" t="s">
        <v>81</v>
      </c>
      <c r="S101" s="81" t="s">
        <v>25</v>
      </c>
      <c r="T101" s="10" t="s">
        <v>15</v>
      </c>
      <c r="U101" s="4"/>
    </row>
    <row r="102" spans="1:21" x14ac:dyDescent="0.3">
      <c r="A102" s="7" t="s">
        <v>75</v>
      </c>
      <c r="B102" s="7" t="s">
        <v>76</v>
      </c>
      <c r="C102" s="36">
        <v>206139587</v>
      </c>
      <c r="D102" s="8">
        <v>2020</v>
      </c>
      <c r="E102" s="7" t="s">
        <v>26</v>
      </c>
      <c r="F102" s="41" t="e">
        <f t="shared" si="7"/>
        <v>#VALUE!</v>
      </c>
      <c r="G102" s="11">
        <v>6</v>
      </c>
      <c r="H102" s="36" t="e">
        <f t="shared" si="8"/>
        <v>#VALUE!</v>
      </c>
      <c r="I102" s="73" t="s">
        <v>12</v>
      </c>
      <c r="J102" s="9">
        <v>0.128</v>
      </c>
      <c r="K102" s="9">
        <v>5</v>
      </c>
      <c r="L102" s="40" t="e">
        <f t="shared" si="9"/>
        <v>#VALUE!</v>
      </c>
      <c r="M102" s="18" t="s">
        <v>12</v>
      </c>
      <c r="N102" s="9">
        <v>73.8</v>
      </c>
      <c r="O102" s="9" t="e">
        <f t="shared" si="10"/>
        <v>#VALUE!</v>
      </c>
      <c r="P102" s="75" t="e">
        <f t="shared" si="12"/>
        <v>#VALUE!</v>
      </c>
      <c r="Q102" s="78" t="e">
        <f t="shared" si="11"/>
        <v>#VALUE!</v>
      </c>
      <c r="R102" s="7" t="s">
        <v>82</v>
      </c>
      <c r="S102" s="80" t="s">
        <v>28</v>
      </c>
      <c r="T102" s="7" t="s">
        <v>83</v>
      </c>
      <c r="U102" s="3" t="s">
        <v>16</v>
      </c>
    </row>
    <row r="103" spans="1:21" x14ac:dyDescent="0.3">
      <c r="A103" s="10" t="s">
        <v>75</v>
      </c>
      <c r="B103" s="10" t="s">
        <v>76</v>
      </c>
      <c r="C103" s="37">
        <v>206139587</v>
      </c>
      <c r="D103" s="11">
        <v>2020</v>
      </c>
      <c r="E103" s="10" t="s">
        <v>30</v>
      </c>
      <c r="F103" s="41">
        <f t="shared" si="7"/>
        <v>2.0374543585361895E-5</v>
      </c>
      <c r="G103" s="8">
        <v>6</v>
      </c>
      <c r="H103" s="36">
        <f t="shared" si="8"/>
        <v>28064.16012224726</v>
      </c>
      <c r="I103" s="37">
        <v>42</v>
      </c>
      <c r="J103" s="12">
        <v>0.12</v>
      </c>
      <c r="K103" s="12">
        <v>4</v>
      </c>
      <c r="L103" s="40">
        <f t="shared" si="9"/>
        <v>20.16</v>
      </c>
      <c r="M103" s="11">
        <v>380</v>
      </c>
      <c r="N103" s="12">
        <v>73.8</v>
      </c>
      <c r="O103" s="9">
        <f t="shared" si="10"/>
        <v>28044</v>
      </c>
      <c r="P103" s="75">
        <f t="shared" si="12"/>
        <v>13.614153657078617</v>
      </c>
      <c r="Q103" s="78">
        <f t="shared" si="11"/>
        <v>12.728089792207752</v>
      </c>
      <c r="R103" s="10" t="s">
        <v>84</v>
      </c>
      <c r="S103" s="81" t="s">
        <v>29</v>
      </c>
      <c r="T103" s="10" t="s">
        <v>33</v>
      </c>
      <c r="U103" s="4"/>
    </row>
    <row r="104" spans="1:21" x14ac:dyDescent="0.3">
      <c r="A104" s="7" t="s">
        <v>75</v>
      </c>
      <c r="B104" s="7" t="s">
        <v>76</v>
      </c>
      <c r="C104" s="36">
        <v>211400708</v>
      </c>
      <c r="D104" s="8">
        <v>2021</v>
      </c>
      <c r="E104" s="7" t="s">
        <v>11</v>
      </c>
      <c r="F104" s="41">
        <f t="shared" si="7"/>
        <v>1.7923307995732919E-3</v>
      </c>
      <c r="G104" s="11">
        <v>9</v>
      </c>
      <c r="H104" s="36">
        <f t="shared" si="8"/>
        <v>537605.51213097724</v>
      </c>
      <c r="I104" s="36">
        <v>3789</v>
      </c>
      <c r="J104" s="9">
        <v>0.13300000000000001</v>
      </c>
      <c r="K104" s="9">
        <v>8</v>
      </c>
      <c r="L104" s="40">
        <f t="shared" si="9"/>
        <v>4031.4960000000001</v>
      </c>
      <c r="M104" s="8">
        <v>7230</v>
      </c>
      <c r="N104" s="9">
        <v>73.8</v>
      </c>
      <c r="O104" s="9">
        <f t="shared" si="10"/>
        <v>533574</v>
      </c>
      <c r="P104" s="75">
        <f t="shared" si="12"/>
        <v>254.30639150507352</v>
      </c>
      <c r="Q104" s="78">
        <f t="shared" si="11"/>
        <v>92.137487035428165</v>
      </c>
      <c r="R104" s="7" t="s">
        <v>91</v>
      </c>
      <c r="S104" s="80" t="s">
        <v>19</v>
      </c>
      <c r="T104" s="7" t="s">
        <v>78</v>
      </c>
      <c r="U104" s="7"/>
    </row>
    <row r="105" spans="1:21" x14ac:dyDescent="0.3">
      <c r="A105" s="10" t="s">
        <v>75</v>
      </c>
      <c r="B105" s="10" t="s">
        <v>76</v>
      </c>
      <c r="C105" s="37">
        <v>211400708</v>
      </c>
      <c r="D105" s="11">
        <v>2021</v>
      </c>
      <c r="E105" s="10" t="s">
        <v>17</v>
      </c>
      <c r="F105" s="41">
        <f t="shared" si="7"/>
        <v>8.5146356274265651E-5</v>
      </c>
      <c r="G105" s="8">
        <v>7</v>
      </c>
      <c r="H105" s="36">
        <f t="shared" si="8"/>
        <v>1029.2405960244939</v>
      </c>
      <c r="I105" s="37">
        <v>180</v>
      </c>
      <c r="J105" s="12">
        <v>0.13300000000000001</v>
      </c>
      <c r="K105" s="12">
        <v>6</v>
      </c>
      <c r="L105" s="40">
        <f t="shared" si="9"/>
        <v>143.64000000000001</v>
      </c>
      <c r="M105" s="11">
        <v>12</v>
      </c>
      <c r="N105" s="12">
        <v>73.8</v>
      </c>
      <c r="O105" s="9">
        <f t="shared" si="10"/>
        <v>885.59999999999991</v>
      </c>
      <c r="P105" s="75">
        <f t="shared" si="12"/>
        <v>0.48686714711688384</v>
      </c>
      <c r="Q105" s="78">
        <f t="shared" si="11"/>
        <v>0.4856838701300159</v>
      </c>
      <c r="R105" s="10" t="s">
        <v>79</v>
      </c>
      <c r="S105" s="81" t="s">
        <v>19</v>
      </c>
      <c r="T105" s="10"/>
      <c r="U105" s="4"/>
    </row>
    <row r="106" spans="1:21" ht="22.8" x14ac:dyDescent="0.3">
      <c r="A106" s="7" t="s">
        <v>75</v>
      </c>
      <c r="B106" s="7" t="s">
        <v>76</v>
      </c>
      <c r="C106" s="36">
        <v>211400708</v>
      </c>
      <c r="D106" s="8">
        <v>2021</v>
      </c>
      <c r="E106" s="7" t="s">
        <v>20</v>
      </c>
      <c r="F106" s="41">
        <f t="shared" si="7"/>
        <v>8.6092426899535268E-4</v>
      </c>
      <c r="G106" s="11">
        <v>7</v>
      </c>
      <c r="H106" s="36">
        <f t="shared" si="8"/>
        <v>174144.36602646986</v>
      </c>
      <c r="I106" s="36">
        <v>1820</v>
      </c>
      <c r="J106" s="9">
        <v>0.13300000000000001</v>
      </c>
      <c r="K106" s="9">
        <v>6</v>
      </c>
      <c r="L106" s="40">
        <f t="shared" si="9"/>
        <v>1452.3600000000001</v>
      </c>
      <c r="M106" s="8">
        <v>2340</v>
      </c>
      <c r="N106" s="9">
        <v>73.8</v>
      </c>
      <c r="O106" s="9">
        <f t="shared" si="10"/>
        <v>172692</v>
      </c>
      <c r="P106" s="75">
        <f t="shared" si="12"/>
        <v>82.376434626921807</v>
      </c>
      <c r="Q106" s="78">
        <f t="shared" si="11"/>
        <v>56.122316613642155</v>
      </c>
      <c r="R106" s="7" t="s">
        <v>80</v>
      </c>
      <c r="S106" s="80" t="s">
        <v>19</v>
      </c>
      <c r="T106" s="7" t="s">
        <v>22</v>
      </c>
      <c r="U106" s="7"/>
    </row>
    <row r="107" spans="1:21" x14ac:dyDescent="0.3">
      <c r="A107" s="10" t="s">
        <v>75</v>
      </c>
      <c r="B107" s="10" t="s">
        <v>76</v>
      </c>
      <c r="C107" s="37">
        <v>211400708</v>
      </c>
      <c r="D107" s="11">
        <v>2021</v>
      </c>
      <c r="E107" s="10" t="s">
        <v>23</v>
      </c>
      <c r="F107" s="41">
        <f t="shared" si="7"/>
        <v>4.2100142824498017E-4</v>
      </c>
      <c r="G107" s="8">
        <v>8</v>
      </c>
      <c r="H107" s="36">
        <f t="shared" si="8"/>
        <v>92340.593368011425</v>
      </c>
      <c r="I107" s="37">
        <v>890</v>
      </c>
      <c r="J107" s="12">
        <v>0.13300000000000001</v>
      </c>
      <c r="K107" s="12">
        <v>7</v>
      </c>
      <c r="L107" s="40">
        <f t="shared" si="9"/>
        <v>828.59</v>
      </c>
      <c r="M107" s="11">
        <v>1240</v>
      </c>
      <c r="N107" s="12">
        <v>73.8</v>
      </c>
      <c r="O107" s="9">
        <f t="shared" si="10"/>
        <v>91512</v>
      </c>
      <c r="P107" s="75">
        <f t="shared" si="12"/>
        <v>43.680361452721066</v>
      </c>
      <c r="Q107" s="78">
        <f t="shared" si="11"/>
        <v>35.390169672692195</v>
      </c>
      <c r="R107" s="10" t="s">
        <v>81</v>
      </c>
      <c r="S107" s="81" t="s">
        <v>25</v>
      </c>
      <c r="T107" s="10" t="s">
        <v>15</v>
      </c>
      <c r="U107" s="4"/>
    </row>
    <row r="108" spans="1:21" x14ac:dyDescent="0.3">
      <c r="A108" s="7" t="s">
        <v>75</v>
      </c>
      <c r="B108" s="7" t="s">
        <v>76</v>
      </c>
      <c r="C108" s="36">
        <v>211400708</v>
      </c>
      <c r="D108" s="8">
        <v>2021</v>
      </c>
      <c r="E108" s="7" t="s">
        <v>26</v>
      </c>
      <c r="F108" s="41" t="e">
        <f t="shared" si="7"/>
        <v>#VALUE!</v>
      </c>
      <c r="G108" s="11">
        <v>6</v>
      </c>
      <c r="H108" s="36" t="e">
        <f t="shared" si="8"/>
        <v>#VALUE!</v>
      </c>
      <c r="I108" s="73" t="s">
        <v>12</v>
      </c>
      <c r="J108" s="9">
        <v>0.128</v>
      </c>
      <c r="K108" s="9">
        <v>5</v>
      </c>
      <c r="L108" s="40" t="e">
        <f t="shared" si="9"/>
        <v>#VALUE!</v>
      </c>
      <c r="M108" s="18" t="s">
        <v>12</v>
      </c>
      <c r="N108" s="9">
        <v>73.8</v>
      </c>
      <c r="O108" s="9" t="e">
        <f t="shared" si="10"/>
        <v>#VALUE!</v>
      </c>
      <c r="P108" s="75" t="e">
        <f t="shared" si="12"/>
        <v>#VALUE!</v>
      </c>
      <c r="Q108" s="78" t="e">
        <f t="shared" si="11"/>
        <v>#VALUE!</v>
      </c>
      <c r="R108" s="7" t="s">
        <v>82</v>
      </c>
      <c r="S108" s="80" t="s">
        <v>28</v>
      </c>
      <c r="T108" s="7" t="s">
        <v>83</v>
      </c>
      <c r="U108" s="3" t="s">
        <v>16</v>
      </c>
    </row>
    <row r="109" spans="1:21" x14ac:dyDescent="0.3">
      <c r="A109" s="10" t="s">
        <v>75</v>
      </c>
      <c r="B109" s="10" t="s">
        <v>76</v>
      </c>
      <c r="C109" s="37">
        <v>211400708</v>
      </c>
      <c r="D109" s="11">
        <v>2021</v>
      </c>
      <c r="E109" s="10" t="s">
        <v>30</v>
      </c>
      <c r="F109" s="41">
        <f t="shared" si="7"/>
        <v>1.9867483130661984E-5</v>
      </c>
      <c r="G109" s="8">
        <v>6</v>
      </c>
      <c r="H109" s="36">
        <f t="shared" si="8"/>
        <v>28064.160119204898</v>
      </c>
      <c r="I109" s="37">
        <v>42</v>
      </c>
      <c r="J109" s="12">
        <v>0.12</v>
      </c>
      <c r="K109" s="12">
        <v>4</v>
      </c>
      <c r="L109" s="40">
        <f t="shared" si="9"/>
        <v>20.16</v>
      </c>
      <c r="M109" s="11">
        <v>380</v>
      </c>
      <c r="N109" s="12">
        <v>73.8</v>
      </c>
      <c r="O109" s="9">
        <f t="shared" si="10"/>
        <v>28044</v>
      </c>
      <c r="P109" s="75">
        <f t="shared" si="12"/>
        <v>13.275338755821434</v>
      </c>
      <c r="Q109" s="78">
        <f t="shared" si="11"/>
        <v>12.431898068309211</v>
      </c>
      <c r="R109" s="10" t="s">
        <v>84</v>
      </c>
      <c r="S109" s="81" t="s">
        <v>29</v>
      </c>
      <c r="T109" s="10" t="s">
        <v>33</v>
      </c>
      <c r="U109" s="4"/>
    </row>
    <row r="110" spans="1:21" x14ac:dyDescent="0.3">
      <c r="A110" s="7" t="s">
        <v>75</v>
      </c>
      <c r="B110" s="7" t="s">
        <v>76</v>
      </c>
      <c r="C110" s="36">
        <v>216746934</v>
      </c>
      <c r="D110" s="8">
        <v>2022</v>
      </c>
      <c r="E110" s="7" t="s">
        <v>11</v>
      </c>
      <c r="F110" s="41">
        <f t="shared" si="7"/>
        <v>1.851006575253332E-3</v>
      </c>
      <c r="G110" s="11">
        <v>9</v>
      </c>
      <c r="H110" s="36">
        <f t="shared" si="8"/>
        <v>507584.78465905914</v>
      </c>
      <c r="I110" s="36">
        <v>4012</v>
      </c>
      <c r="J110" s="9">
        <v>0.13300000000000001</v>
      </c>
      <c r="K110" s="9">
        <v>8</v>
      </c>
      <c r="L110" s="40">
        <f t="shared" si="9"/>
        <v>4268.768</v>
      </c>
      <c r="M110" s="8">
        <v>6820</v>
      </c>
      <c r="N110" s="9">
        <v>73.8</v>
      </c>
      <c r="O110" s="9">
        <f t="shared" si="10"/>
        <v>503316</v>
      </c>
      <c r="P110" s="75">
        <f t="shared" si="12"/>
        <v>234.18314404348581</v>
      </c>
      <c r="Q110" s="78">
        <f t="shared" si="11"/>
        <v>90.384861864990157</v>
      </c>
      <c r="R110" s="7" t="s">
        <v>92</v>
      </c>
      <c r="S110" s="80" t="s">
        <v>19</v>
      </c>
      <c r="T110" s="7" t="s">
        <v>78</v>
      </c>
      <c r="U110" s="7"/>
    </row>
    <row r="111" spans="1:21" x14ac:dyDescent="0.3">
      <c r="A111" s="10" t="s">
        <v>75</v>
      </c>
      <c r="B111" s="10" t="s">
        <v>76</v>
      </c>
      <c r="C111" s="37">
        <v>216746934</v>
      </c>
      <c r="D111" s="11">
        <v>2022</v>
      </c>
      <c r="E111" s="10" t="s">
        <v>17</v>
      </c>
      <c r="F111" s="41">
        <f t="shared" si="7"/>
        <v>8.3046157414157465E-5</v>
      </c>
      <c r="G111" s="8">
        <v>7</v>
      </c>
      <c r="H111" s="36">
        <f t="shared" si="8"/>
        <v>1029.2405813231019</v>
      </c>
      <c r="I111" s="37">
        <v>180</v>
      </c>
      <c r="J111" s="12">
        <v>0.13300000000000001</v>
      </c>
      <c r="K111" s="12">
        <v>6</v>
      </c>
      <c r="L111" s="40">
        <f t="shared" si="9"/>
        <v>143.64000000000001</v>
      </c>
      <c r="M111" s="11">
        <v>12</v>
      </c>
      <c r="N111" s="12">
        <v>73.8</v>
      </c>
      <c r="O111" s="9">
        <f t="shared" si="10"/>
        <v>885.59999999999991</v>
      </c>
      <c r="P111" s="75">
        <f t="shared" si="12"/>
        <v>0.4748581962977626</v>
      </c>
      <c r="Q111" s="78">
        <f t="shared" si="11"/>
        <v>0.47373252724690618</v>
      </c>
      <c r="R111" s="10" t="s">
        <v>79</v>
      </c>
      <c r="S111" s="81" t="s">
        <v>19</v>
      </c>
      <c r="T111" s="10"/>
      <c r="U111" s="4"/>
    </row>
    <row r="112" spans="1:21" ht="22.8" x14ac:dyDescent="0.3">
      <c r="A112" s="7" t="s">
        <v>75</v>
      </c>
      <c r="B112" s="7" t="s">
        <v>76</v>
      </c>
      <c r="C112" s="36">
        <v>216746934</v>
      </c>
      <c r="D112" s="8">
        <v>2022</v>
      </c>
      <c r="E112" s="7" t="s">
        <v>20</v>
      </c>
      <c r="F112" s="41">
        <f t="shared" si="7"/>
        <v>8.3968892496537003E-4</v>
      </c>
      <c r="G112" s="11">
        <v>7</v>
      </c>
      <c r="H112" s="36">
        <f t="shared" si="8"/>
        <v>174144.36587782245</v>
      </c>
      <c r="I112" s="36">
        <v>1820</v>
      </c>
      <c r="J112" s="9">
        <v>0.13300000000000001</v>
      </c>
      <c r="K112" s="9">
        <v>6</v>
      </c>
      <c r="L112" s="40">
        <f t="shared" si="9"/>
        <v>1452.3600000000001</v>
      </c>
      <c r="M112" s="8">
        <v>2340</v>
      </c>
      <c r="N112" s="9">
        <v>73.8</v>
      </c>
      <c r="O112" s="9">
        <f t="shared" si="10"/>
        <v>172692</v>
      </c>
      <c r="P112" s="75">
        <f t="shared" si="12"/>
        <v>80.344557897101524</v>
      </c>
      <c r="Q112" s="78">
        <f t="shared" si="11"/>
        <v>55.221657015336781</v>
      </c>
      <c r="R112" s="7" t="s">
        <v>80</v>
      </c>
      <c r="S112" s="80" t="s">
        <v>19</v>
      </c>
      <c r="T112" s="7" t="s">
        <v>22</v>
      </c>
      <c r="U112" s="7"/>
    </row>
    <row r="113" spans="1:21" x14ac:dyDescent="0.3">
      <c r="A113" s="10" t="s">
        <v>75</v>
      </c>
      <c r="B113" s="10" t="s">
        <v>76</v>
      </c>
      <c r="C113" s="37">
        <v>216746934</v>
      </c>
      <c r="D113" s="11">
        <v>2022</v>
      </c>
      <c r="E113" s="10" t="s">
        <v>23</v>
      </c>
      <c r="F113" s="41">
        <f t="shared" si="7"/>
        <v>4.1061711165888971E-4</v>
      </c>
      <c r="G113" s="8">
        <v>8</v>
      </c>
      <c r="H113" s="36">
        <f t="shared" si="8"/>
        <v>92340.593284936884</v>
      </c>
      <c r="I113" s="37">
        <v>890</v>
      </c>
      <c r="J113" s="12">
        <v>0.13300000000000001</v>
      </c>
      <c r="K113" s="12">
        <v>7</v>
      </c>
      <c r="L113" s="40">
        <f t="shared" si="9"/>
        <v>828.59</v>
      </c>
      <c r="M113" s="11">
        <v>1240</v>
      </c>
      <c r="N113" s="12">
        <v>73.8</v>
      </c>
      <c r="O113" s="9">
        <f t="shared" si="10"/>
        <v>91512</v>
      </c>
      <c r="P113" s="75">
        <f t="shared" si="12"/>
        <v>42.602952475875341</v>
      </c>
      <c r="Q113" s="78">
        <f t="shared" si="11"/>
        <v>34.69029406971017</v>
      </c>
      <c r="R113" s="10" t="s">
        <v>81</v>
      </c>
      <c r="S113" s="81" t="s">
        <v>25</v>
      </c>
      <c r="T113" s="10" t="s">
        <v>15</v>
      </c>
      <c r="U113" s="4"/>
    </row>
    <row r="114" spans="1:21" x14ac:dyDescent="0.3">
      <c r="A114" s="7" t="s">
        <v>75</v>
      </c>
      <c r="B114" s="7" t="s">
        <v>76</v>
      </c>
      <c r="C114" s="36">
        <v>216746934</v>
      </c>
      <c r="D114" s="8">
        <v>2022</v>
      </c>
      <c r="E114" s="7" t="s">
        <v>26</v>
      </c>
      <c r="F114" s="41" t="e">
        <f t="shared" si="7"/>
        <v>#VALUE!</v>
      </c>
      <c r="G114" s="11">
        <v>6</v>
      </c>
      <c r="H114" s="36" t="e">
        <f t="shared" si="8"/>
        <v>#VALUE!</v>
      </c>
      <c r="I114" s="73" t="s">
        <v>12</v>
      </c>
      <c r="J114" s="9">
        <v>0.128</v>
      </c>
      <c r="K114" s="9">
        <v>5</v>
      </c>
      <c r="L114" s="40" t="e">
        <f t="shared" si="9"/>
        <v>#VALUE!</v>
      </c>
      <c r="M114" s="18" t="s">
        <v>12</v>
      </c>
      <c r="N114" s="9">
        <v>73.8</v>
      </c>
      <c r="O114" s="9" t="e">
        <f t="shared" si="10"/>
        <v>#VALUE!</v>
      </c>
      <c r="P114" s="75" t="e">
        <f t="shared" si="12"/>
        <v>#VALUE!</v>
      </c>
      <c r="Q114" s="78" t="e">
        <f t="shared" si="11"/>
        <v>#VALUE!</v>
      </c>
      <c r="R114" s="7" t="s">
        <v>82</v>
      </c>
      <c r="S114" s="80" t="s">
        <v>28</v>
      </c>
      <c r="T114" s="7" t="s">
        <v>83</v>
      </c>
      <c r="U114" s="3" t="s">
        <v>16</v>
      </c>
    </row>
    <row r="115" spans="1:21" x14ac:dyDescent="0.3">
      <c r="A115" s="10" t="s">
        <v>75</v>
      </c>
      <c r="B115" s="10" t="s">
        <v>76</v>
      </c>
      <c r="C115" s="37">
        <v>216746934</v>
      </c>
      <c r="D115" s="11">
        <v>2022</v>
      </c>
      <c r="E115" s="10" t="s">
        <v>30</v>
      </c>
      <c r="F115" s="41">
        <f t="shared" si="7"/>
        <v>1.9377436729970077E-5</v>
      </c>
      <c r="G115" s="8">
        <v>6</v>
      </c>
      <c r="H115" s="36">
        <f t="shared" si="8"/>
        <v>28064.160116264622</v>
      </c>
      <c r="I115" s="37">
        <v>42</v>
      </c>
      <c r="J115" s="12">
        <v>0.12</v>
      </c>
      <c r="K115" s="12">
        <v>4</v>
      </c>
      <c r="L115" s="40">
        <f t="shared" si="9"/>
        <v>20.16</v>
      </c>
      <c r="M115" s="11">
        <v>380</v>
      </c>
      <c r="N115" s="12">
        <v>73.8</v>
      </c>
      <c r="O115" s="9">
        <f t="shared" si="10"/>
        <v>28044</v>
      </c>
      <c r="P115" s="75">
        <f t="shared" si="12"/>
        <v>12.947892548396842</v>
      </c>
      <c r="Q115" s="78">
        <f t="shared" si="11"/>
        <v>12.144689669739028</v>
      </c>
      <c r="R115" s="10" t="s">
        <v>84</v>
      </c>
      <c r="S115" s="81" t="s">
        <v>29</v>
      </c>
      <c r="T115" s="10" t="s">
        <v>33</v>
      </c>
      <c r="U115" s="4"/>
    </row>
    <row r="116" spans="1:21" x14ac:dyDescent="0.3">
      <c r="A116" s="7" t="s">
        <v>75</v>
      </c>
      <c r="B116" s="7" t="s">
        <v>76</v>
      </c>
      <c r="C116" s="36">
        <v>222179671</v>
      </c>
      <c r="D116" s="8">
        <v>2023</v>
      </c>
      <c r="E116" s="7" t="s">
        <v>11</v>
      </c>
      <c r="F116" s="41">
        <f t="shared" si="7"/>
        <v>1.9056648976674378E-3</v>
      </c>
      <c r="G116" s="11">
        <v>9</v>
      </c>
      <c r="H116" s="36">
        <f t="shared" si="8"/>
        <v>528484.99315098405</v>
      </c>
      <c r="I116" s="36">
        <v>4234</v>
      </c>
      <c r="J116" s="9">
        <v>0.13300000000000001</v>
      </c>
      <c r="K116" s="9">
        <v>8</v>
      </c>
      <c r="L116" s="40">
        <f t="shared" si="9"/>
        <v>4504.9760000000006</v>
      </c>
      <c r="M116" s="8">
        <v>7100</v>
      </c>
      <c r="N116" s="9">
        <v>73.8</v>
      </c>
      <c r="O116" s="9">
        <f t="shared" si="10"/>
        <v>523980</v>
      </c>
      <c r="P116" s="75">
        <f t="shared" si="12"/>
        <v>237.86379319599587</v>
      </c>
      <c r="Q116" s="78">
        <f t="shared" si="11"/>
        <v>90.732327641567707</v>
      </c>
      <c r="R116" s="7" t="s">
        <v>93</v>
      </c>
      <c r="S116" s="80" t="s">
        <v>19</v>
      </c>
      <c r="T116" s="7" t="s">
        <v>78</v>
      </c>
      <c r="U116" s="7"/>
    </row>
    <row r="117" spans="1:21" x14ac:dyDescent="0.3">
      <c r="A117" s="10" t="s">
        <v>75</v>
      </c>
      <c r="B117" s="10" t="s">
        <v>76</v>
      </c>
      <c r="C117" s="37">
        <v>222179671</v>
      </c>
      <c r="D117" s="11">
        <v>2023</v>
      </c>
      <c r="E117" s="10" t="s">
        <v>17</v>
      </c>
      <c r="F117" s="41">
        <f t="shared" si="7"/>
        <v>8.1015512890916108E-5</v>
      </c>
      <c r="G117" s="8">
        <v>7</v>
      </c>
      <c r="H117" s="36">
        <f t="shared" si="8"/>
        <v>1029.2405671085903</v>
      </c>
      <c r="I117" s="37">
        <v>180</v>
      </c>
      <c r="J117" s="12">
        <v>0.13300000000000001</v>
      </c>
      <c r="K117" s="12">
        <v>6</v>
      </c>
      <c r="L117" s="40">
        <f t="shared" si="9"/>
        <v>143.64000000000001</v>
      </c>
      <c r="M117" s="11">
        <v>12</v>
      </c>
      <c r="N117" s="12">
        <v>73.8</v>
      </c>
      <c r="O117" s="9">
        <f t="shared" si="10"/>
        <v>885.59999999999991</v>
      </c>
      <c r="P117" s="75">
        <f t="shared" si="12"/>
        <v>0.46324695795799886</v>
      </c>
      <c r="Q117" s="78">
        <f t="shared" si="11"/>
        <v>0.46217562418318092</v>
      </c>
      <c r="R117" s="10" t="s">
        <v>79</v>
      </c>
      <c r="S117" s="81" t="s">
        <v>19</v>
      </c>
      <c r="T117" s="10"/>
      <c r="U117" s="4"/>
    </row>
    <row r="118" spans="1:21" ht="22.8" x14ac:dyDescent="0.3">
      <c r="A118" s="7" t="s">
        <v>75</v>
      </c>
      <c r="B118" s="7" t="s">
        <v>76</v>
      </c>
      <c r="C118" s="36">
        <v>222179671</v>
      </c>
      <c r="D118" s="8">
        <v>2023</v>
      </c>
      <c r="E118" s="7" t="s">
        <v>20</v>
      </c>
      <c r="F118" s="41">
        <f t="shared" si="7"/>
        <v>8.1915685256370738E-4</v>
      </c>
      <c r="G118" s="11">
        <v>7</v>
      </c>
      <c r="H118" s="36">
        <f t="shared" si="8"/>
        <v>174144.36573409796</v>
      </c>
      <c r="I118" s="36">
        <v>1820</v>
      </c>
      <c r="J118" s="9">
        <v>0.13300000000000001</v>
      </c>
      <c r="K118" s="9">
        <v>6</v>
      </c>
      <c r="L118" s="40">
        <f t="shared" si="9"/>
        <v>1452.3600000000001</v>
      </c>
      <c r="M118" s="8">
        <v>2340</v>
      </c>
      <c r="N118" s="9">
        <v>73.8</v>
      </c>
      <c r="O118" s="9">
        <f t="shared" si="10"/>
        <v>172692</v>
      </c>
      <c r="P118" s="75">
        <f t="shared" si="12"/>
        <v>78.379972816729008</v>
      </c>
      <c r="Q118" s="78">
        <f t="shared" si="11"/>
        <v>54.333250189748419</v>
      </c>
      <c r="R118" s="7" t="s">
        <v>80</v>
      </c>
      <c r="S118" s="80" t="s">
        <v>19</v>
      </c>
      <c r="T118" s="7" t="s">
        <v>22</v>
      </c>
      <c r="U118" s="7"/>
    </row>
    <row r="119" spans="1:21" x14ac:dyDescent="0.3">
      <c r="A119" s="10" t="s">
        <v>75</v>
      </c>
      <c r="B119" s="10" t="s">
        <v>76</v>
      </c>
      <c r="C119" s="37">
        <v>222179671</v>
      </c>
      <c r="D119" s="11">
        <v>2023</v>
      </c>
      <c r="E119" s="10" t="s">
        <v>23</v>
      </c>
      <c r="F119" s="41">
        <f t="shared" si="7"/>
        <v>4.0057670262730745E-4</v>
      </c>
      <c r="G119" s="8">
        <v>8</v>
      </c>
      <c r="H119" s="36">
        <f t="shared" si="8"/>
        <v>92340.593204613615</v>
      </c>
      <c r="I119" s="37">
        <v>890</v>
      </c>
      <c r="J119" s="12">
        <v>0.13300000000000001</v>
      </c>
      <c r="K119" s="12">
        <v>7</v>
      </c>
      <c r="L119" s="40">
        <f t="shared" si="9"/>
        <v>828.59</v>
      </c>
      <c r="M119" s="11">
        <v>1240</v>
      </c>
      <c r="N119" s="12">
        <v>73.8</v>
      </c>
      <c r="O119" s="9">
        <f t="shared" si="10"/>
        <v>91512</v>
      </c>
      <c r="P119" s="75">
        <f t="shared" si="12"/>
        <v>41.561225106240087</v>
      </c>
      <c r="Q119" s="78">
        <f t="shared" si="11"/>
        <v>34.00638895939521</v>
      </c>
      <c r="R119" s="10" t="s">
        <v>81</v>
      </c>
      <c r="S119" s="81" t="s">
        <v>25</v>
      </c>
      <c r="T119" s="10" t="s">
        <v>15</v>
      </c>
      <c r="U119" s="4"/>
    </row>
    <row r="120" spans="1:21" x14ac:dyDescent="0.3">
      <c r="A120" s="7" t="s">
        <v>75</v>
      </c>
      <c r="B120" s="7" t="s">
        <v>76</v>
      </c>
      <c r="C120" s="36">
        <v>222179671</v>
      </c>
      <c r="D120" s="8">
        <v>2023</v>
      </c>
      <c r="E120" s="7" t="s">
        <v>26</v>
      </c>
      <c r="F120" s="41" t="e">
        <f t="shared" si="7"/>
        <v>#VALUE!</v>
      </c>
      <c r="G120" s="11">
        <v>6</v>
      </c>
      <c r="H120" s="36" t="e">
        <f t="shared" si="8"/>
        <v>#VALUE!</v>
      </c>
      <c r="I120" s="73" t="s">
        <v>12</v>
      </c>
      <c r="J120" s="9">
        <v>0.128</v>
      </c>
      <c r="K120" s="9">
        <v>5</v>
      </c>
      <c r="L120" s="40" t="e">
        <f t="shared" si="9"/>
        <v>#VALUE!</v>
      </c>
      <c r="M120" s="18" t="s">
        <v>12</v>
      </c>
      <c r="N120" s="9">
        <v>73.8</v>
      </c>
      <c r="O120" s="9" t="e">
        <f t="shared" si="10"/>
        <v>#VALUE!</v>
      </c>
      <c r="P120" s="75" t="e">
        <f t="shared" si="12"/>
        <v>#VALUE!</v>
      </c>
      <c r="Q120" s="78" t="e">
        <f t="shared" si="11"/>
        <v>#VALUE!</v>
      </c>
      <c r="R120" s="7" t="s">
        <v>82</v>
      </c>
      <c r="S120" s="80" t="s">
        <v>28</v>
      </c>
      <c r="T120" s="7" t="s">
        <v>83</v>
      </c>
      <c r="U120" s="3" t="s">
        <v>16</v>
      </c>
    </row>
    <row r="121" spans="1:21" x14ac:dyDescent="0.3">
      <c r="A121" s="10" t="s">
        <v>75</v>
      </c>
      <c r="B121" s="10" t="s">
        <v>76</v>
      </c>
      <c r="C121" s="37">
        <v>222179671</v>
      </c>
      <c r="D121" s="11">
        <v>2023</v>
      </c>
      <c r="E121" s="10" t="s">
        <v>30</v>
      </c>
      <c r="F121" s="41">
        <f t="shared" si="7"/>
        <v>1.8903619674547093E-5</v>
      </c>
      <c r="G121" s="8">
        <v>6</v>
      </c>
      <c r="H121" s="36">
        <f t="shared" si="8"/>
        <v>28064.160113421716</v>
      </c>
      <c r="I121" s="37">
        <v>42</v>
      </c>
      <c r="J121" s="12">
        <v>0.12</v>
      </c>
      <c r="K121" s="12">
        <v>4</v>
      </c>
      <c r="L121" s="40">
        <f t="shared" si="9"/>
        <v>20.16</v>
      </c>
      <c r="M121" s="11">
        <v>380</v>
      </c>
      <c r="N121" s="12">
        <v>73.8</v>
      </c>
      <c r="O121" s="9">
        <f t="shared" si="10"/>
        <v>28044</v>
      </c>
      <c r="P121" s="75">
        <f t="shared" si="12"/>
        <v>12.631290696898059</v>
      </c>
      <c r="Q121" s="78">
        <f t="shared" si="11"/>
        <v>11.866097349080572</v>
      </c>
      <c r="R121" s="10" t="s">
        <v>84</v>
      </c>
      <c r="S121" s="81" t="s">
        <v>29</v>
      </c>
      <c r="T121" s="10" t="s">
        <v>33</v>
      </c>
      <c r="U121" s="4"/>
    </row>
    <row r="122" spans="1:21" x14ac:dyDescent="0.3">
      <c r="A122" s="7" t="s">
        <v>75</v>
      </c>
      <c r="B122" s="7" t="s">
        <v>76</v>
      </c>
      <c r="C122" s="36">
        <v>227692786</v>
      </c>
      <c r="D122" s="8">
        <v>2024</v>
      </c>
      <c r="E122" s="7" t="s">
        <v>11</v>
      </c>
      <c r="F122" s="41">
        <f t="shared" si="7"/>
        <v>1.8006718930480301E-3</v>
      </c>
      <c r="G122" s="11">
        <v>9</v>
      </c>
      <c r="H122" s="36">
        <f t="shared" si="8"/>
        <v>513582.41620604706</v>
      </c>
      <c r="I122" s="36">
        <v>4100</v>
      </c>
      <c r="J122" s="9">
        <v>0.13300000000000001</v>
      </c>
      <c r="K122" s="9">
        <v>8</v>
      </c>
      <c r="L122" s="40">
        <f t="shared" si="9"/>
        <v>4362.4000000000005</v>
      </c>
      <c r="M122" s="8">
        <v>6900</v>
      </c>
      <c r="N122" s="9">
        <v>73.8</v>
      </c>
      <c r="O122" s="9">
        <f t="shared" si="10"/>
        <v>509220</v>
      </c>
      <c r="P122" s="75">
        <f t="shared" si="12"/>
        <v>225.55937112827417</v>
      </c>
      <c r="Q122" s="78">
        <f t="shared" si="11"/>
        <v>89.518870238994836</v>
      </c>
      <c r="R122" s="7" t="s">
        <v>94</v>
      </c>
      <c r="S122" s="80" t="s">
        <v>19</v>
      </c>
      <c r="T122" s="7" t="s">
        <v>78</v>
      </c>
      <c r="U122" s="7"/>
    </row>
    <row r="123" spans="1:21" x14ac:dyDescent="0.3">
      <c r="A123" s="10" t="s">
        <v>75</v>
      </c>
      <c r="B123" s="10" t="s">
        <v>76</v>
      </c>
      <c r="C123" s="37">
        <v>227692786</v>
      </c>
      <c r="D123" s="11">
        <v>2024</v>
      </c>
      <c r="E123" s="10" t="s">
        <v>17</v>
      </c>
      <c r="F123" s="41">
        <f t="shared" si="7"/>
        <v>7.9053887987474489E-5</v>
      </c>
      <c r="G123" s="8">
        <v>7</v>
      </c>
      <c r="H123" s="36">
        <f t="shared" si="8"/>
        <v>1029.240553377216</v>
      </c>
      <c r="I123" s="37">
        <v>180</v>
      </c>
      <c r="J123" s="12">
        <v>0.13300000000000001</v>
      </c>
      <c r="K123" s="12">
        <v>6</v>
      </c>
      <c r="L123" s="40">
        <f t="shared" si="9"/>
        <v>143.64000000000001</v>
      </c>
      <c r="M123" s="11">
        <v>12</v>
      </c>
      <c r="N123" s="12">
        <v>73.8</v>
      </c>
      <c r="O123" s="9">
        <f t="shared" si="10"/>
        <v>885.59999999999991</v>
      </c>
      <c r="P123" s="75">
        <f t="shared" si="12"/>
        <v>0.45203037454915945</v>
      </c>
      <c r="Q123" s="78">
        <f t="shared" si="11"/>
        <v>0.45101025491395275</v>
      </c>
      <c r="R123" s="10" t="s">
        <v>79</v>
      </c>
      <c r="S123" s="81" t="s">
        <v>19</v>
      </c>
      <c r="T123" s="10"/>
      <c r="U123" s="4"/>
    </row>
    <row r="124" spans="1:21" ht="22.8" x14ac:dyDescent="0.3">
      <c r="A124" s="7" t="s">
        <v>75</v>
      </c>
      <c r="B124" s="7" t="s">
        <v>76</v>
      </c>
      <c r="C124" s="36">
        <v>227692786</v>
      </c>
      <c r="D124" s="8">
        <v>2024</v>
      </c>
      <c r="E124" s="7" t="s">
        <v>20</v>
      </c>
      <c r="F124" s="41">
        <f t="shared" si="7"/>
        <v>7.9932264520668657E-4</v>
      </c>
      <c r="G124" s="11">
        <v>7</v>
      </c>
      <c r="H124" s="36">
        <f t="shared" si="8"/>
        <v>174144.36559525851</v>
      </c>
      <c r="I124" s="36">
        <v>1820</v>
      </c>
      <c r="J124" s="9">
        <v>0.13300000000000001</v>
      </c>
      <c r="K124" s="9">
        <v>6</v>
      </c>
      <c r="L124" s="40">
        <f t="shared" si="9"/>
        <v>1452.3600000000001</v>
      </c>
      <c r="M124" s="8">
        <v>2340</v>
      </c>
      <c r="N124" s="9">
        <v>73.8</v>
      </c>
      <c r="O124" s="9">
        <f t="shared" si="10"/>
        <v>172692</v>
      </c>
      <c r="P124" s="75">
        <f t="shared" si="12"/>
        <v>76.48216206342984</v>
      </c>
      <c r="Q124" s="78">
        <f t="shared" si="11"/>
        <v>53.458305565052356</v>
      </c>
      <c r="R124" s="7" t="s">
        <v>80</v>
      </c>
      <c r="S124" s="80" t="s">
        <v>19</v>
      </c>
      <c r="T124" s="7" t="s">
        <v>22</v>
      </c>
      <c r="U124" s="7"/>
    </row>
    <row r="125" spans="1:21" x14ac:dyDescent="0.3">
      <c r="A125" s="10" t="s">
        <v>75</v>
      </c>
      <c r="B125" s="10" t="s">
        <v>76</v>
      </c>
      <c r="C125" s="37">
        <v>227692786</v>
      </c>
      <c r="D125" s="11">
        <v>2024</v>
      </c>
      <c r="E125" s="10" t="s">
        <v>23</v>
      </c>
      <c r="F125" s="41">
        <f t="shared" si="7"/>
        <v>3.9087755727140164E-4</v>
      </c>
      <c r="G125" s="8">
        <v>8</v>
      </c>
      <c r="H125" s="36">
        <f t="shared" si="8"/>
        <v>92340.59312702046</v>
      </c>
      <c r="I125" s="37">
        <v>890</v>
      </c>
      <c r="J125" s="12">
        <v>0.13300000000000001</v>
      </c>
      <c r="K125" s="12">
        <v>7</v>
      </c>
      <c r="L125" s="40">
        <f t="shared" si="9"/>
        <v>828.59</v>
      </c>
      <c r="M125" s="11">
        <v>1240</v>
      </c>
      <c r="N125" s="12">
        <v>73.8</v>
      </c>
      <c r="O125" s="9">
        <f t="shared" si="10"/>
        <v>91512</v>
      </c>
      <c r="P125" s="75">
        <f t="shared" si="12"/>
        <v>40.554905032002402</v>
      </c>
      <c r="Q125" s="78">
        <f t="shared" si="11"/>
        <v>33.33892924592071</v>
      </c>
      <c r="R125" s="10" t="s">
        <v>81</v>
      </c>
      <c r="S125" s="81" t="s">
        <v>25</v>
      </c>
      <c r="T125" s="10" t="s">
        <v>15</v>
      </c>
      <c r="U125" s="4"/>
    </row>
    <row r="126" spans="1:21" x14ac:dyDescent="0.3">
      <c r="A126" s="7" t="s">
        <v>75</v>
      </c>
      <c r="B126" s="7" t="s">
        <v>76</v>
      </c>
      <c r="C126" s="36">
        <v>227692786</v>
      </c>
      <c r="D126" s="8">
        <v>2024</v>
      </c>
      <c r="E126" s="7" t="s">
        <v>26</v>
      </c>
      <c r="F126" s="41" t="e">
        <f t="shared" si="7"/>
        <v>#VALUE!</v>
      </c>
      <c r="G126" s="11">
        <v>6</v>
      </c>
      <c r="H126" s="36" t="e">
        <f t="shared" si="8"/>
        <v>#VALUE!</v>
      </c>
      <c r="I126" s="73" t="s">
        <v>12</v>
      </c>
      <c r="J126" s="9">
        <v>0.128</v>
      </c>
      <c r="K126" s="9">
        <v>5</v>
      </c>
      <c r="L126" s="40" t="e">
        <f t="shared" si="9"/>
        <v>#VALUE!</v>
      </c>
      <c r="M126" s="18" t="s">
        <v>12</v>
      </c>
      <c r="N126" s="9">
        <v>73.8</v>
      </c>
      <c r="O126" s="9" t="e">
        <f t="shared" si="10"/>
        <v>#VALUE!</v>
      </c>
      <c r="P126" s="75" t="e">
        <f t="shared" si="12"/>
        <v>#VALUE!</v>
      </c>
      <c r="Q126" s="78" t="e">
        <f t="shared" si="11"/>
        <v>#VALUE!</v>
      </c>
      <c r="R126" s="7" t="s">
        <v>82</v>
      </c>
      <c r="S126" s="80" t="s">
        <v>28</v>
      </c>
      <c r="T126" s="7" t="s">
        <v>83</v>
      </c>
      <c r="U126" s="3" t="s">
        <v>16</v>
      </c>
    </row>
    <row r="127" spans="1:21" x14ac:dyDescent="0.3">
      <c r="A127" s="10" t="s">
        <v>75</v>
      </c>
      <c r="B127" s="10" t="s">
        <v>76</v>
      </c>
      <c r="C127" s="37">
        <v>227692786</v>
      </c>
      <c r="D127" s="11">
        <v>2024</v>
      </c>
      <c r="E127" s="10" t="s">
        <v>30</v>
      </c>
      <c r="F127" s="41">
        <f t="shared" si="7"/>
        <v>1.8445907197077382E-5</v>
      </c>
      <c r="G127" s="8">
        <v>6</v>
      </c>
      <c r="H127" s="36">
        <f t="shared" si="8"/>
        <v>28064.160110675442</v>
      </c>
      <c r="I127" s="37">
        <v>42</v>
      </c>
      <c r="J127" s="12">
        <v>0.12</v>
      </c>
      <c r="K127" s="12">
        <v>4</v>
      </c>
      <c r="L127" s="40">
        <f t="shared" si="9"/>
        <v>20.16</v>
      </c>
      <c r="M127" s="11">
        <v>380</v>
      </c>
      <c r="N127" s="12">
        <v>73.8</v>
      </c>
      <c r="O127" s="9">
        <f t="shared" si="10"/>
        <v>28044</v>
      </c>
      <c r="P127" s="75">
        <f t="shared" si="12"/>
        <v>12.325449832510479</v>
      </c>
      <c r="Q127" s="78">
        <f t="shared" si="11"/>
        <v>11.596135242606875</v>
      </c>
      <c r="R127" s="10" t="s">
        <v>84</v>
      </c>
      <c r="S127" s="81" t="s">
        <v>29</v>
      </c>
      <c r="T127" s="10" t="s">
        <v>33</v>
      </c>
      <c r="U127" s="4"/>
    </row>
    <row r="128" spans="1:21" x14ac:dyDescent="0.3">
      <c r="A128" s="7" t="s">
        <v>75</v>
      </c>
      <c r="B128" s="7" t="s">
        <v>76</v>
      </c>
      <c r="C128" s="36">
        <v>233476921</v>
      </c>
      <c r="D128" s="8">
        <v>2025</v>
      </c>
      <c r="E128" s="7" t="s">
        <v>11</v>
      </c>
      <c r="F128" s="41">
        <f t="shared" si="7"/>
        <v>1.6704006474370116E-3</v>
      </c>
      <c r="G128" s="11">
        <v>9</v>
      </c>
      <c r="H128" s="36">
        <f t="shared" si="8"/>
        <v>483849.61503360578</v>
      </c>
      <c r="I128" s="36">
        <v>3900</v>
      </c>
      <c r="J128" s="9">
        <v>0.13300000000000001</v>
      </c>
      <c r="K128" s="9">
        <v>8</v>
      </c>
      <c r="L128" s="40">
        <f t="shared" si="9"/>
        <v>4149.6000000000004</v>
      </c>
      <c r="M128" s="8">
        <v>6500</v>
      </c>
      <c r="N128" s="9">
        <v>73.8</v>
      </c>
      <c r="O128" s="9">
        <f t="shared" si="10"/>
        <v>479700</v>
      </c>
      <c r="P128" s="75">
        <f t="shared" si="12"/>
        <v>207.23659236263691</v>
      </c>
      <c r="Q128" s="78">
        <f t="shared" si="11"/>
        <v>87.41124113271421</v>
      </c>
      <c r="R128" s="7" t="s">
        <v>95</v>
      </c>
      <c r="S128" s="80" t="s">
        <v>19</v>
      </c>
      <c r="T128" s="7" t="s">
        <v>78</v>
      </c>
      <c r="U128" s="7"/>
    </row>
    <row r="129" spans="1:21" x14ac:dyDescent="0.3">
      <c r="A129" s="10" t="s">
        <v>75</v>
      </c>
      <c r="B129" s="10" t="s">
        <v>76</v>
      </c>
      <c r="C129" s="37">
        <v>233476921</v>
      </c>
      <c r="D129" s="11">
        <v>2025</v>
      </c>
      <c r="E129" s="10" t="s">
        <v>17</v>
      </c>
      <c r="F129" s="41">
        <f t="shared" si="7"/>
        <v>7.7095414497092837E-5</v>
      </c>
      <c r="G129" s="8">
        <v>7</v>
      </c>
      <c r="H129" s="36">
        <f t="shared" si="8"/>
        <v>1029.2405396679014</v>
      </c>
      <c r="I129" s="37">
        <v>180</v>
      </c>
      <c r="J129" s="12">
        <v>0.13300000000000001</v>
      </c>
      <c r="K129" s="12">
        <v>6</v>
      </c>
      <c r="L129" s="40">
        <f t="shared" si="9"/>
        <v>143.64000000000001</v>
      </c>
      <c r="M129" s="11">
        <v>12</v>
      </c>
      <c r="N129" s="12">
        <v>73.8</v>
      </c>
      <c r="O129" s="9">
        <f t="shared" si="10"/>
        <v>885.59999999999991</v>
      </c>
      <c r="P129" s="75">
        <f t="shared" si="12"/>
        <v>0.44083181123837994</v>
      </c>
      <c r="Q129" s="78">
        <f t="shared" si="11"/>
        <v>0.43986157403771431</v>
      </c>
      <c r="R129" s="10" t="s">
        <v>79</v>
      </c>
      <c r="S129" s="81" t="s">
        <v>19</v>
      </c>
      <c r="T129" s="10"/>
      <c r="U129" s="4"/>
    </row>
    <row r="130" spans="1:21" ht="22.8" x14ac:dyDescent="0.3">
      <c r="A130" s="7" t="s">
        <v>75</v>
      </c>
      <c r="B130" s="7" t="s">
        <v>76</v>
      </c>
      <c r="C130" s="36">
        <v>233476921</v>
      </c>
      <c r="D130" s="8">
        <v>2025</v>
      </c>
      <c r="E130" s="7" t="s">
        <v>20</v>
      </c>
      <c r="F130" s="41">
        <f t="shared" ref="F130:F193" si="13">I130*100/C130</f>
        <v>7.7952030213727203E-4</v>
      </c>
      <c r="G130" s="11">
        <v>7</v>
      </c>
      <c r="H130" s="36">
        <f t="shared" ref="H130:H193" si="14">O130+L130+(G130*F130)</f>
        <v>174144.36545664209</v>
      </c>
      <c r="I130" s="36">
        <v>1820</v>
      </c>
      <c r="J130" s="9">
        <v>0.13300000000000001</v>
      </c>
      <c r="K130" s="9">
        <v>6</v>
      </c>
      <c r="L130" s="40">
        <f t="shared" si="9"/>
        <v>1452.3600000000001</v>
      </c>
      <c r="M130" s="8">
        <v>2340</v>
      </c>
      <c r="N130" s="9">
        <v>73.8</v>
      </c>
      <c r="O130" s="9">
        <f t="shared" si="10"/>
        <v>172692</v>
      </c>
      <c r="P130" s="75">
        <f t="shared" si="12"/>
        <v>74.587400206739105</v>
      </c>
      <c r="Q130" s="78">
        <f t="shared" si="11"/>
        <v>52.568043755258273</v>
      </c>
      <c r="R130" s="7" t="s">
        <v>80</v>
      </c>
      <c r="S130" s="80" t="s">
        <v>19</v>
      </c>
      <c r="T130" s="7" t="s">
        <v>22</v>
      </c>
      <c r="U130" s="7"/>
    </row>
    <row r="131" spans="1:21" x14ac:dyDescent="0.3">
      <c r="A131" s="10" t="s">
        <v>75</v>
      </c>
      <c r="B131" s="10" t="s">
        <v>76</v>
      </c>
      <c r="C131" s="37">
        <v>233476921</v>
      </c>
      <c r="D131" s="11">
        <v>2025</v>
      </c>
      <c r="E131" s="10" t="s">
        <v>23</v>
      </c>
      <c r="F131" s="41">
        <f t="shared" si="13"/>
        <v>3.8119399390229238E-4</v>
      </c>
      <c r="G131" s="8">
        <v>8</v>
      </c>
      <c r="H131" s="36">
        <f t="shared" si="14"/>
        <v>92340.593049551942</v>
      </c>
      <c r="I131" s="37">
        <v>890</v>
      </c>
      <c r="J131" s="12">
        <v>0.13300000000000001</v>
      </c>
      <c r="K131" s="12">
        <v>7</v>
      </c>
      <c r="L131" s="40">
        <f t="shared" ref="L131:L194" si="15">I131*J131*K131</f>
        <v>828.59</v>
      </c>
      <c r="M131" s="11">
        <v>1240</v>
      </c>
      <c r="N131" s="12">
        <v>73.8</v>
      </c>
      <c r="O131" s="9">
        <f t="shared" ref="O131:O194" si="16">M131*N131</f>
        <v>91512</v>
      </c>
      <c r="P131" s="75">
        <f t="shared" si="12"/>
        <v>39.550201644792097</v>
      </c>
      <c r="Q131" s="78">
        <f t="shared" ref="Q131:Q194" si="17">100*(1-EXP(-P131/100))</f>
        <v>32.665807433508022</v>
      </c>
      <c r="R131" s="10" t="s">
        <v>81</v>
      </c>
      <c r="S131" s="81" t="s">
        <v>25</v>
      </c>
      <c r="T131" s="10" t="s">
        <v>15</v>
      </c>
      <c r="U131" s="4"/>
    </row>
    <row r="132" spans="1:21" x14ac:dyDescent="0.3">
      <c r="A132" s="7" t="s">
        <v>75</v>
      </c>
      <c r="B132" s="7" t="s">
        <v>76</v>
      </c>
      <c r="C132" s="36">
        <v>233476921</v>
      </c>
      <c r="D132" s="8">
        <v>2025</v>
      </c>
      <c r="E132" s="7" t="s">
        <v>26</v>
      </c>
      <c r="F132" s="41" t="e">
        <f t="shared" si="13"/>
        <v>#VALUE!</v>
      </c>
      <c r="G132" s="11">
        <v>6</v>
      </c>
      <c r="H132" s="36" t="e">
        <f t="shared" si="14"/>
        <v>#VALUE!</v>
      </c>
      <c r="I132" s="73" t="s">
        <v>12</v>
      </c>
      <c r="J132" s="9">
        <v>0.128</v>
      </c>
      <c r="K132" s="9">
        <v>5</v>
      </c>
      <c r="L132" s="40" t="e">
        <f t="shared" si="15"/>
        <v>#VALUE!</v>
      </c>
      <c r="M132" s="18" t="s">
        <v>12</v>
      </c>
      <c r="N132" s="9">
        <v>73.8</v>
      </c>
      <c r="O132" s="9" t="e">
        <f t="shared" si="16"/>
        <v>#VALUE!</v>
      </c>
      <c r="P132" s="75" t="e">
        <f t="shared" si="12"/>
        <v>#VALUE!</v>
      </c>
      <c r="Q132" s="78" t="e">
        <f t="shared" si="17"/>
        <v>#VALUE!</v>
      </c>
      <c r="R132" s="7" t="s">
        <v>82</v>
      </c>
      <c r="S132" s="80" t="s">
        <v>28</v>
      </c>
      <c r="T132" s="7" t="s">
        <v>83</v>
      </c>
      <c r="U132" s="3" t="s">
        <v>16</v>
      </c>
    </row>
    <row r="133" spans="1:21" x14ac:dyDescent="0.3">
      <c r="A133" s="10" t="s">
        <v>75</v>
      </c>
      <c r="B133" s="10" t="s">
        <v>76</v>
      </c>
      <c r="C133" s="37">
        <v>233476921</v>
      </c>
      <c r="D133" s="11">
        <v>2025</v>
      </c>
      <c r="E133" s="10" t="s">
        <v>30</v>
      </c>
      <c r="F133" s="41">
        <f t="shared" si="13"/>
        <v>1.7988930049321663E-5</v>
      </c>
      <c r="G133" s="8">
        <v>6</v>
      </c>
      <c r="H133" s="36">
        <f t="shared" si="14"/>
        <v>28064.160107933581</v>
      </c>
      <c r="I133" s="37">
        <v>42</v>
      </c>
      <c r="J133" s="12">
        <v>0.12</v>
      </c>
      <c r="K133" s="12">
        <v>4</v>
      </c>
      <c r="L133" s="40">
        <f t="shared" si="15"/>
        <v>20.16</v>
      </c>
      <c r="M133" s="11">
        <v>380</v>
      </c>
      <c r="N133" s="12">
        <v>73.8</v>
      </c>
      <c r="O133" s="9">
        <f t="shared" si="16"/>
        <v>28044</v>
      </c>
      <c r="P133" s="75">
        <f t="shared" si="12"/>
        <v>12.02010031129954</v>
      </c>
      <c r="Q133" s="78">
        <f t="shared" si="17"/>
        <v>11.325781913601107</v>
      </c>
      <c r="R133" s="10" t="s">
        <v>84</v>
      </c>
      <c r="S133" s="81" t="s">
        <v>29</v>
      </c>
      <c r="T133" s="10" t="s">
        <v>33</v>
      </c>
      <c r="U133" s="4"/>
    </row>
    <row r="134" spans="1:21" x14ac:dyDescent="0.3">
      <c r="A134" s="7" t="s">
        <v>96</v>
      </c>
      <c r="B134" s="7" t="s">
        <v>76</v>
      </c>
      <c r="C134" s="36">
        <v>11369071</v>
      </c>
      <c r="D134" s="8">
        <v>2015</v>
      </c>
      <c r="E134" s="7" t="s">
        <v>11</v>
      </c>
      <c r="F134" s="41">
        <f t="shared" si="13"/>
        <v>1.5832428172891171E-4</v>
      </c>
      <c r="G134" s="11">
        <v>9</v>
      </c>
      <c r="H134" s="36">
        <f t="shared" si="14"/>
        <v>314.35342491853555</v>
      </c>
      <c r="I134" s="36">
        <v>18</v>
      </c>
      <c r="J134" s="9">
        <v>0.13300000000000001</v>
      </c>
      <c r="K134" s="9">
        <v>8</v>
      </c>
      <c r="L134" s="40">
        <f t="shared" si="15"/>
        <v>19.152000000000001</v>
      </c>
      <c r="M134" s="8">
        <v>4</v>
      </c>
      <c r="N134" s="9">
        <v>73.8</v>
      </c>
      <c r="O134" s="9">
        <f t="shared" si="16"/>
        <v>295.2</v>
      </c>
      <c r="P134" s="75">
        <f t="shared" si="12"/>
        <v>2.7649877894028063</v>
      </c>
      <c r="Q134" s="78">
        <f t="shared" si="17"/>
        <v>2.7271118928637872</v>
      </c>
      <c r="R134" s="7" t="s">
        <v>97</v>
      </c>
      <c r="S134" s="80" t="s">
        <v>19</v>
      </c>
      <c r="T134" s="7" t="s">
        <v>51</v>
      </c>
      <c r="U134" s="7"/>
    </row>
    <row r="135" spans="1:21" x14ac:dyDescent="0.3">
      <c r="A135" s="10" t="s">
        <v>96</v>
      </c>
      <c r="B135" s="10" t="s">
        <v>76</v>
      </c>
      <c r="C135" s="37">
        <v>11369071</v>
      </c>
      <c r="D135" s="11">
        <v>2015</v>
      </c>
      <c r="E135" s="10" t="s">
        <v>17</v>
      </c>
      <c r="F135" s="41">
        <f t="shared" si="13"/>
        <v>2.9905697659905544E-4</v>
      </c>
      <c r="G135" s="8">
        <v>7</v>
      </c>
      <c r="H135" s="36">
        <f t="shared" si="14"/>
        <v>174.73409339883619</v>
      </c>
      <c r="I135" s="37">
        <v>34</v>
      </c>
      <c r="J135" s="12">
        <v>0.13300000000000001</v>
      </c>
      <c r="K135" s="12">
        <v>6</v>
      </c>
      <c r="L135" s="40">
        <f t="shared" si="15"/>
        <v>27.132000000000001</v>
      </c>
      <c r="M135" s="11">
        <v>2</v>
      </c>
      <c r="N135" s="12">
        <v>73.8</v>
      </c>
      <c r="O135" s="9">
        <f t="shared" si="16"/>
        <v>147.6</v>
      </c>
      <c r="P135" s="75">
        <f t="shared" si="12"/>
        <v>1.5369249906068507</v>
      </c>
      <c r="Q135" s="78">
        <f t="shared" si="17"/>
        <v>1.5251745738581346</v>
      </c>
      <c r="R135" s="10" t="s">
        <v>98</v>
      </c>
      <c r="S135" s="81" t="s">
        <v>19</v>
      </c>
      <c r="T135" s="10" t="s">
        <v>99</v>
      </c>
      <c r="U135" s="4"/>
    </row>
    <row r="136" spans="1:21" x14ac:dyDescent="0.3">
      <c r="A136" s="7" t="s">
        <v>96</v>
      </c>
      <c r="B136" s="7" t="s">
        <v>76</v>
      </c>
      <c r="C136" s="36">
        <v>11369071</v>
      </c>
      <c r="D136" s="8">
        <v>2015</v>
      </c>
      <c r="E136" s="7" t="s">
        <v>20</v>
      </c>
      <c r="F136" s="41">
        <f t="shared" si="13"/>
        <v>1.0554952115260781E-4</v>
      </c>
      <c r="G136" s="11">
        <v>7</v>
      </c>
      <c r="H136" s="36">
        <f t="shared" si="14"/>
        <v>599.97673884664812</v>
      </c>
      <c r="I136" s="36">
        <v>12</v>
      </c>
      <c r="J136" s="9">
        <v>0.13300000000000001</v>
      </c>
      <c r="K136" s="9">
        <v>6</v>
      </c>
      <c r="L136" s="40">
        <f t="shared" si="15"/>
        <v>9.5760000000000005</v>
      </c>
      <c r="M136" s="8">
        <v>8</v>
      </c>
      <c r="N136" s="9">
        <v>73.8</v>
      </c>
      <c r="O136" s="9">
        <f t="shared" si="16"/>
        <v>590.4</v>
      </c>
      <c r="P136" s="75">
        <f t="shared" si="12"/>
        <v>5.2772714573305786</v>
      </c>
      <c r="Q136" s="78">
        <f t="shared" si="17"/>
        <v>5.1404410064017743</v>
      </c>
      <c r="R136" s="7" t="s">
        <v>100</v>
      </c>
      <c r="S136" s="80" t="s">
        <v>19</v>
      </c>
      <c r="T136" s="7"/>
      <c r="U136" s="7"/>
    </row>
    <row r="137" spans="1:21" x14ac:dyDescent="0.3">
      <c r="A137" s="10" t="s">
        <v>96</v>
      </c>
      <c r="B137" s="10" t="s">
        <v>76</v>
      </c>
      <c r="C137" s="37">
        <v>11369071</v>
      </c>
      <c r="D137" s="11">
        <v>2015</v>
      </c>
      <c r="E137" s="10" t="s">
        <v>23</v>
      </c>
      <c r="F137" s="41">
        <f t="shared" si="13"/>
        <v>1.7591586858767966E-5</v>
      </c>
      <c r="G137" s="8">
        <v>8</v>
      </c>
      <c r="H137" s="36">
        <f t="shared" si="14"/>
        <v>1.8621407326948702</v>
      </c>
      <c r="I137" s="37">
        <v>2</v>
      </c>
      <c r="J137" s="12">
        <v>0.13300000000000001</v>
      </c>
      <c r="K137" s="12">
        <v>7</v>
      </c>
      <c r="L137" s="40">
        <f t="shared" si="15"/>
        <v>1.8620000000000001</v>
      </c>
      <c r="M137" s="11">
        <v>0</v>
      </c>
      <c r="N137" s="12">
        <v>73.8</v>
      </c>
      <c r="O137" s="9">
        <f t="shared" si="16"/>
        <v>0</v>
      </c>
      <c r="P137" s="75">
        <f t="shared" si="12"/>
        <v>1.6379005221225817E-2</v>
      </c>
      <c r="Q137" s="78">
        <f t="shared" si="17"/>
        <v>1.6377663935396303E-2</v>
      </c>
      <c r="R137" s="10" t="s">
        <v>101</v>
      </c>
      <c r="S137" s="81" t="s">
        <v>25</v>
      </c>
      <c r="T137" s="10"/>
      <c r="U137" s="10"/>
    </row>
    <row r="138" spans="1:21" x14ac:dyDescent="0.3">
      <c r="A138" s="7" t="s">
        <v>96</v>
      </c>
      <c r="B138" s="7" t="s">
        <v>76</v>
      </c>
      <c r="C138" s="36">
        <v>11369071</v>
      </c>
      <c r="D138" s="8">
        <v>2015</v>
      </c>
      <c r="E138" s="7" t="s">
        <v>26</v>
      </c>
      <c r="F138" s="41">
        <f t="shared" si="13"/>
        <v>3.6942332403412735E-4</v>
      </c>
      <c r="G138" s="11">
        <v>6</v>
      </c>
      <c r="H138" s="36">
        <f t="shared" si="14"/>
        <v>26.882216539944206</v>
      </c>
      <c r="I138" s="36">
        <v>42</v>
      </c>
      <c r="J138" s="9">
        <v>0.128</v>
      </c>
      <c r="K138" s="9">
        <v>5</v>
      </c>
      <c r="L138" s="40">
        <f t="shared" si="15"/>
        <v>26.880000000000003</v>
      </c>
      <c r="M138" s="8">
        <v>0</v>
      </c>
      <c r="N138" s="9">
        <v>73.8</v>
      </c>
      <c r="O138" s="9">
        <f t="shared" si="16"/>
        <v>0</v>
      </c>
      <c r="P138" s="75">
        <f t="shared" si="12"/>
        <v>0.23645042360931873</v>
      </c>
      <c r="Q138" s="78">
        <f t="shared" si="17"/>
        <v>0.23617109979268136</v>
      </c>
      <c r="R138" s="7" t="s">
        <v>102</v>
      </c>
      <c r="S138" s="80" t="s">
        <v>28</v>
      </c>
      <c r="T138" s="7"/>
      <c r="U138" s="7"/>
    </row>
    <row r="139" spans="1:21" x14ac:dyDescent="0.3">
      <c r="A139" s="10" t="s">
        <v>96</v>
      </c>
      <c r="B139" s="10" t="s">
        <v>76</v>
      </c>
      <c r="C139" s="37">
        <v>11369071</v>
      </c>
      <c r="D139" s="11">
        <v>2015</v>
      </c>
      <c r="E139" s="10" t="s">
        <v>30</v>
      </c>
      <c r="F139" s="41">
        <f t="shared" si="13"/>
        <v>2.4628221602275156E-4</v>
      </c>
      <c r="G139" s="8">
        <v>6</v>
      </c>
      <c r="H139" s="36">
        <f t="shared" si="14"/>
        <v>13297.441477693297</v>
      </c>
      <c r="I139" s="37">
        <v>28</v>
      </c>
      <c r="J139" s="12">
        <v>0.12</v>
      </c>
      <c r="K139" s="12">
        <v>4</v>
      </c>
      <c r="L139" s="40">
        <f t="shared" si="15"/>
        <v>13.44</v>
      </c>
      <c r="M139" s="11">
        <v>180</v>
      </c>
      <c r="N139" s="12">
        <v>73.8</v>
      </c>
      <c r="O139" s="9">
        <f t="shared" si="16"/>
        <v>13284</v>
      </c>
      <c r="P139" s="75">
        <f t="shared" si="12"/>
        <v>116.96154837711275</v>
      </c>
      <c r="Q139" s="78">
        <f t="shared" si="17"/>
        <v>68.951369466145195</v>
      </c>
      <c r="R139" s="10" t="s">
        <v>103</v>
      </c>
      <c r="S139" s="81" t="s">
        <v>29</v>
      </c>
      <c r="T139" s="10" t="s">
        <v>33</v>
      </c>
      <c r="U139" s="10"/>
    </row>
    <row r="140" spans="1:21" x14ac:dyDescent="0.3">
      <c r="A140" s="7" t="s">
        <v>96</v>
      </c>
      <c r="B140" s="7" t="s">
        <v>76</v>
      </c>
      <c r="C140" s="36">
        <v>11668818</v>
      </c>
      <c r="D140" s="8">
        <v>2016</v>
      </c>
      <c r="E140" s="7" t="s">
        <v>11</v>
      </c>
      <c r="F140" s="41">
        <f t="shared" si="13"/>
        <v>1.5425726924526547E-4</v>
      </c>
      <c r="G140" s="11">
        <v>9</v>
      </c>
      <c r="H140" s="36">
        <f t="shared" si="14"/>
        <v>314.35338831542316</v>
      </c>
      <c r="I140" s="36">
        <v>18</v>
      </c>
      <c r="J140" s="9">
        <v>0.13300000000000001</v>
      </c>
      <c r="K140" s="9">
        <v>8</v>
      </c>
      <c r="L140" s="40">
        <f t="shared" si="15"/>
        <v>19.152000000000001</v>
      </c>
      <c r="M140" s="8">
        <v>4</v>
      </c>
      <c r="N140" s="9">
        <v>73.8</v>
      </c>
      <c r="O140" s="9">
        <f t="shared" si="16"/>
        <v>295.2</v>
      </c>
      <c r="P140" s="75">
        <f t="shared" si="12"/>
        <v>2.6939608477518733</v>
      </c>
      <c r="Q140" s="78">
        <f t="shared" si="17"/>
        <v>2.6579973933337109</v>
      </c>
      <c r="R140" s="7" t="s">
        <v>97</v>
      </c>
      <c r="S140" s="80" t="s">
        <v>19</v>
      </c>
      <c r="T140" s="7" t="s">
        <v>51</v>
      </c>
      <c r="U140" s="7"/>
    </row>
    <row r="141" spans="1:21" x14ac:dyDescent="0.3">
      <c r="A141" s="10" t="s">
        <v>96</v>
      </c>
      <c r="B141" s="10" t="s">
        <v>76</v>
      </c>
      <c r="C141" s="37">
        <v>11668818</v>
      </c>
      <c r="D141" s="11">
        <v>2016</v>
      </c>
      <c r="E141" s="10" t="s">
        <v>17</v>
      </c>
      <c r="F141" s="41">
        <f t="shared" si="13"/>
        <v>2.9137484190772366E-4</v>
      </c>
      <c r="G141" s="8">
        <v>7</v>
      </c>
      <c r="H141" s="36">
        <f t="shared" si="14"/>
        <v>174.73403962389335</v>
      </c>
      <c r="I141" s="37">
        <v>34</v>
      </c>
      <c r="J141" s="12">
        <v>0.13300000000000001</v>
      </c>
      <c r="K141" s="12">
        <v>6</v>
      </c>
      <c r="L141" s="40">
        <f t="shared" si="15"/>
        <v>27.132000000000001</v>
      </c>
      <c r="M141" s="11">
        <v>2</v>
      </c>
      <c r="N141" s="12">
        <v>73.8</v>
      </c>
      <c r="O141" s="9">
        <f t="shared" si="16"/>
        <v>147.6</v>
      </c>
      <c r="P141" s="75">
        <f t="shared" si="12"/>
        <v>1.4974442109208779</v>
      </c>
      <c r="Q141" s="78">
        <f t="shared" si="17"/>
        <v>1.4862882691824675</v>
      </c>
      <c r="R141" s="10" t="s">
        <v>98</v>
      </c>
      <c r="S141" s="81" t="s">
        <v>19</v>
      </c>
      <c r="T141" s="10" t="s">
        <v>99</v>
      </c>
      <c r="U141" s="10"/>
    </row>
    <row r="142" spans="1:21" x14ac:dyDescent="0.3">
      <c r="A142" s="7" t="s">
        <v>96</v>
      </c>
      <c r="B142" s="7" t="s">
        <v>76</v>
      </c>
      <c r="C142" s="36">
        <v>11668818</v>
      </c>
      <c r="D142" s="8">
        <v>2016</v>
      </c>
      <c r="E142" s="7" t="s">
        <v>20</v>
      </c>
      <c r="F142" s="41">
        <f t="shared" si="13"/>
        <v>1.0283817949684364E-4</v>
      </c>
      <c r="G142" s="11">
        <v>7</v>
      </c>
      <c r="H142" s="36">
        <f t="shared" si="14"/>
        <v>599.97671986725652</v>
      </c>
      <c r="I142" s="36">
        <v>12</v>
      </c>
      <c r="J142" s="9">
        <v>0.13300000000000001</v>
      </c>
      <c r="K142" s="9">
        <v>6</v>
      </c>
      <c r="L142" s="40">
        <f t="shared" si="15"/>
        <v>9.5760000000000005</v>
      </c>
      <c r="M142" s="8">
        <v>8</v>
      </c>
      <c r="N142" s="9">
        <v>73.8</v>
      </c>
      <c r="O142" s="9">
        <f t="shared" si="16"/>
        <v>590.4</v>
      </c>
      <c r="P142" s="75">
        <f t="shared" si="12"/>
        <v>5.1417094676363666</v>
      </c>
      <c r="Q142" s="78">
        <f t="shared" si="17"/>
        <v>5.0117602994579897</v>
      </c>
      <c r="R142" s="7" t="s">
        <v>100</v>
      </c>
      <c r="S142" s="80" t="s">
        <v>19</v>
      </c>
      <c r="T142" s="7"/>
      <c r="U142" s="7"/>
    </row>
    <row r="143" spans="1:21" x14ac:dyDescent="0.3">
      <c r="A143" s="10" t="s">
        <v>96</v>
      </c>
      <c r="B143" s="10" t="s">
        <v>76</v>
      </c>
      <c r="C143" s="37">
        <v>11668818</v>
      </c>
      <c r="D143" s="11">
        <v>2016</v>
      </c>
      <c r="E143" s="10" t="s">
        <v>23</v>
      </c>
      <c r="F143" s="41">
        <f t="shared" si="13"/>
        <v>1.7139696582807274E-5</v>
      </c>
      <c r="G143" s="8">
        <v>8</v>
      </c>
      <c r="H143" s="36">
        <f t="shared" si="14"/>
        <v>1.8621371175726626</v>
      </c>
      <c r="I143" s="37">
        <v>2</v>
      </c>
      <c r="J143" s="12">
        <v>0.13300000000000001</v>
      </c>
      <c r="K143" s="12">
        <v>7</v>
      </c>
      <c r="L143" s="40">
        <f t="shared" si="15"/>
        <v>1.8620000000000001</v>
      </c>
      <c r="M143" s="11">
        <v>0</v>
      </c>
      <c r="N143" s="12">
        <v>73.8</v>
      </c>
      <c r="O143" s="9">
        <f t="shared" si="16"/>
        <v>0</v>
      </c>
      <c r="P143" s="75">
        <f t="shared" si="12"/>
        <v>1.5958232595389376E-2</v>
      </c>
      <c r="Q143" s="78">
        <f t="shared" si="17"/>
        <v>1.5956959337182219E-2</v>
      </c>
      <c r="R143" s="10" t="s">
        <v>101</v>
      </c>
      <c r="S143" s="81" t="s">
        <v>25</v>
      </c>
      <c r="T143" s="10"/>
      <c r="U143" s="10"/>
    </row>
    <row r="144" spans="1:21" x14ac:dyDescent="0.3">
      <c r="A144" s="7" t="s">
        <v>96</v>
      </c>
      <c r="B144" s="7" t="s">
        <v>76</v>
      </c>
      <c r="C144" s="36">
        <v>11668818</v>
      </c>
      <c r="D144" s="8">
        <v>2016</v>
      </c>
      <c r="E144" s="7" t="s">
        <v>26</v>
      </c>
      <c r="F144" s="41">
        <f t="shared" si="13"/>
        <v>3.5993362823895272E-4</v>
      </c>
      <c r="G144" s="11">
        <v>6</v>
      </c>
      <c r="H144" s="36">
        <f t="shared" si="14"/>
        <v>26.882159601769438</v>
      </c>
      <c r="I144" s="36">
        <v>42</v>
      </c>
      <c r="J144" s="9">
        <v>0.128</v>
      </c>
      <c r="K144" s="9">
        <v>5</v>
      </c>
      <c r="L144" s="40">
        <f t="shared" si="15"/>
        <v>26.880000000000003</v>
      </c>
      <c r="M144" s="8">
        <v>0</v>
      </c>
      <c r="N144" s="9">
        <v>73.8</v>
      </c>
      <c r="O144" s="9">
        <f t="shared" si="16"/>
        <v>0</v>
      </c>
      <c r="P144" s="75">
        <f t="shared" si="12"/>
        <v>0.23037602953246367</v>
      </c>
      <c r="Q144" s="78">
        <f t="shared" si="17"/>
        <v>0.23011086761979271</v>
      </c>
      <c r="R144" s="7" t="s">
        <v>102</v>
      </c>
      <c r="S144" s="80" t="s">
        <v>28</v>
      </c>
      <c r="T144" s="7"/>
      <c r="U144" s="7"/>
    </row>
    <row r="145" spans="1:26" x14ac:dyDescent="0.3">
      <c r="A145" s="10" t="s">
        <v>96</v>
      </c>
      <c r="B145" s="10" t="s">
        <v>76</v>
      </c>
      <c r="C145" s="37">
        <v>11668818</v>
      </c>
      <c r="D145" s="11">
        <v>2016</v>
      </c>
      <c r="E145" s="10" t="s">
        <v>30</v>
      </c>
      <c r="F145" s="41">
        <f t="shared" si="13"/>
        <v>2.3995575215930183E-4</v>
      </c>
      <c r="G145" s="8">
        <v>6</v>
      </c>
      <c r="H145" s="36">
        <f t="shared" si="14"/>
        <v>13297.441439734514</v>
      </c>
      <c r="I145" s="37">
        <v>28</v>
      </c>
      <c r="J145" s="12">
        <v>0.12</v>
      </c>
      <c r="K145" s="12">
        <v>4</v>
      </c>
      <c r="L145" s="40">
        <f t="shared" si="15"/>
        <v>13.44</v>
      </c>
      <c r="M145" s="11">
        <v>180</v>
      </c>
      <c r="N145" s="12">
        <v>73.8</v>
      </c>
      <c r="O145" s="9">
        <f t="shared" si="16"/>
        <v>13284</v>
      </c>
      <c r="P145" s="75">
        <f t="shared" si="12"/>
        <v>113.95705580234873</v>
      </c>
      <c r="Q145" s="78">
        <f t="shared" si="17"/>
        <v>68.004360497604125</v>
      </c>
      <c r="R145" s="10" t="s">
        <v>103</v>
      </c>
      <c r="S145" s="81" t="s">
        <v>29</v>
      </c>
      <c r="T145" s="10" t="s">
        <v>33</v>
      </c>
      <c r="U145" s="10"/>
    </row>
    <row r="146" spans="1:26" x14ac:dyDescent="0.3">
      <c r="A146" s="7" t="s">
        <v>96</v>
      </c>
      <c r="B146" s="7" t="s">
        <v>76</v>
      </c>
      <c r="C146" s="36">
        <v>11980937</v>
      </c>
      <c r="D146" s="8">
        <v>2017</v>
      </c>
      <c r="E146" s="7" t="s">
        <v>11</v>
      </c>
      <c r="F146" s="41">
        <f t="shared" si="13"/>
        <v>1.5023866664184946E-4</v>
      </c>
      <c r="G146" s="11">
        <v>9</v>
      </c>
      <c r="H146" s="36">
        <f t="shared" si="14"/>
        <v>314.35335214799977</v>
      </c>
      <c r="I146" s="36">
        <v>18</v>
      </c>
      <c r="J146" s="9">
        <v>0.13300000000000001</v>
      </c>
      <c r="K146" s="9">
        <v>8</v>
      </c>
      <c r="L146" s="40">
        <f t="shared" si="15"/>
        <v>19.152000000000001</v>
      </c>
      <c r="M146" s="8">
        <v>4</v>
      </c>
      <c r="N146" s="9">
        <v>73.8</v>
      </c>
      <c r="O146" s="9">
        <f t="shared" si="16"/>
        <v>295.2</v>
      </c>
      <c r="P146" s="75">
        <f t="shared" si="12"/>
        <v>2.6237793600617358</v>
      </c>
      <c r="Q146" s="78">
        <f t="shared" si="17"/>
        <v>2.589657349532315</v>
      </c>
      <c r="R146" s="7" t="s">
        <v>97</v>
      </c>
      <c r="S146" s="80" t="s">
        <v>19</v>
      </c>
      <c r="T146" s="7" t="s">
        <v>51</v>
      </c>
      <c r="U146" s="7"/>
    </row>
    <row r="147" spans="1:26" x14ac:dyDescent="0.3">
      <c r="A147" s="10" t="s">
        <v>96</v>
      </c>
      <c r="B147" s="10" t="s">
        <v>76</v>
      </c>
      <c r="C147" s="37">
        <v>11980937</v>
      </c>
      <c r="D147" s="11">
        <v>2017</v>
      </c>
      <c r="E147" s="10" t="s">
        <v>17</v>
      </c>
      <c r="F147" s="41">
        <f t="shared" si="13"/>
        <v>2.8378414810127119E-4</v>
      </c>
      <c r="G147" s="8">
        <v>7</v>
      </c>
      <c r="H147" s="36">
        <f t="shared" si="14"/>
        <v>174.73398648903671</v>
      </c>
      <c r="I147" s="37">
        <v>34</v>
      </c>
      <c r="J147" s="12">
        <v>0.13300000000000001</v>
      </c>
      <c r="K147" s="12">
        <v>6</v>
      </c>
      <c r="L147" s="40">
        <f t="shared" si="15"/>
        <v>27.132000000000001</v>
      </c>
      <c r="M147" s="11">
        <v>2</v>
      </c>
      <c r="N147" s="12">
        <v>73.8</v>
      </c>
      <c r="O147" s="9">
        <f t="shared" si="16"/>
        <v>147.6</v>
      </c>
      <c r="P147" s="75">
        <f t="shared" si="12"/>
        <v>1.4584333970626564</v>
      </c>
      <c r="Q147" s="78">
        <f t="shared" si="17"/>
        <v>1.4478497713763971</v>
      </c>
      <c r="R147" s="10" t="s">
        <v>98</v>
      </c>
      <c r="S147" s="81" t="s">
        <v>19</v>
      </c>
      <c r="T147" s="10" t="s">
        <v>99</v>
      </c>
      <c r="U147" s="10"/>
    </row>
    <row r="148" spans="1:26" x14ac:dyDescent="0.3">
      <c r="A148" s="7" t="s">
        <v>96</v>
      </c>
      <c r="B148" s="7" t="s">
        <v>76</v>
      </c>
      <c r="C148" s="36">
        <v>11980937</v>
      </c>
      <c r="D148" s="8">
        <v>2017</v>
      </c>
      <c r="E148" s="7" t="s">
        <v>20</v>
      </c>
      <c r="F148" s="41">
        <f t="shared" si="13"/>
        <v>1.0015911109456631E-4</v>
      </c>
      <c r="G148" s="11">
        <v>7</v>
      </c>
      <c r="H148" s="36">
        <f t="shared" si="14"/>
        <v>599.97670111377761</v>
      </c>
      <c r="I148" s="36">
        <v>12</v>
      </c>
      <c r="J148" s="9">
        <v>0.13300000000000001</v>
      </c>
      <c r="K148" s="9">
        <v>6</v>
      </c>
      <c r="L148" s="40">
        <f t="shared" si="15"/>
        <v>9.5760000000000005</v>
      </c>
      <c r="M148" s="8">
        <v>8</v>
      </c>
      <c r="N148" s="9">
        <v>73.8</v>
      </c>
      <c r="O148" s="9">
        <f t="shared" si="16"/>
        <v>590.4</v>
      </c>
      <c r="P148" s="75">
        <f t="shared" si="12"/>
        <v>5.0077610884171886</v>
      </c>
      <c r="Q148" s="78">
        <f t="shared" si="17"/>
        <v>4.8844398391204802</v>
      </c>
      <c r="R148" s="7" t="s">
        <v>100</v>
      </c>
      <c r="S148" s="80" t="s">
        <v>19</v>
      </c>
      <c r="T148" s="7"/>
      <c r="U148" s="7"/>
    </row>
    <row r="149" spans="1:26" x14ac:dyDescent="0.3">
      <c r="A149" s="10" t="s">
        <v>96</v>
      </c>
      <c r="B149" s="10" t="s">
        <v>76</v>
      </c>
      <c r="C149" s="37">
        <v>11980937</v>
      </c>
      <c r="D149" s="11">
        <v>2017</v>
      </c>
      <c r="E149" s="10" t="s">
        <v>23</v>
      </c>
      <c r="F149" s="41">
        <f t="shared" si="13"/>
        <v>1.6693185182427719E-5</v>
      </c>
      <c r="G149" s="8">
        <v>8</v>
      </c>
      <c r="H149" s="36">
        <f t="shared" si="14"/>
        <v>1.8621335454814596</v>
      </c>
      <c r="I149" s="37">
        <v>2</v>
      </c>
      <c r="J149" s="12">
        <v>0.13300000000000001</v>
      </c>
      <c r="K149" s="12">
        <v>7</v>
      </c>
      <c r="L149" s="40">
        <f t="shared" si="15"/>
        <v>1.8620000000000001</v>
      </c>
      <c r="M149" s="11">
        <v>0</v>
      </c>
      <c r="N149" s="12">
        <v>73.8</v>
      </c>
      <c r="O149" s="9">
        <f t="shared" si="16"/>
        <v>0</v>
      </c>
      <c r="P149" s="75">
        <f t="shared" si="12"/>
        <v>1.5542470054566347E-2</v>
      </c>
      <c r="Q149" s="78">
        <f t="shared" si="17"/>
        <v>1.5541262275264867E-2</v>
      </c>
      <c r="R149" s="10" t="s">
        <v>101</v>
      </c>
      <c r="S149" s="81" t="s">
        <v>25</v>
      </c>
      <c r="T149" s="10"/>
      <c r="U149" s="10"/>
    </row>
    <row r="150" spans="1:26" x14ac:dyDescent="0.3">
      <c r="A150" s="7" t="s">
        <v>96</v>
      </c>
      <c r="B150" s="7" t="s">
        <v>76</v>
      </c>
      <c r="C150" s="36">
        <v>11980937</v>
      </c>
      <c r="D150" s="8">
        <v>2017</v>
      </c>
      <c r="E150" s="7" t="s">
        <v>26</v>
      </c>
      <c r="F150" s="41">
        <f t="shared" si="13"/>
        <v>3.5055688883098209E-4</v>
      </c>
      <c r="G150" s="11">
        <v>6</v>
      </c>
      <c r="H150" s="36">
        <f t="shared" si="14"/>
        <v>26.882103341332989</v>
      </c>
      <c r="I150" s="36">
        <v>42</v>
      </c>
      <c r="J150" s="9">
        <v>0.128</v>
      </c>
      <c r="K150" s="9">
        <v>5</v>
      </c>
      <c r="L150" s="40">
        <f t="shared" si="15"/>
        <v>26.880000000000003</v>
      </c>
      <c r="M150" s="8">
        <v>0</v>
      </c>
      <c r="N150" s="9">
        <v>73.8</v>
      </c>
      <c r="O150" s="9">
        <f t="shared" si="16"/>
        <v>0</v>
      </c>
      <c r="P150" s="75">
        <f t="shared" si="12"/>
        <v>0.22437396458501524</v>
      </c>
      <c r="Q150" s="78">
        <f t="shared" si="17"/>
        <v>0.2241224343630388</v>
      </c>
      <c r="R150" s="7" t="s">
        <v>102</v>
      </c>
      <c r="S150" s="80" t="s">
        <v>28</v>
      </c>
      <c r="T150" s="7"/>
      <c r="U150" s="7"/>
    </row>
    <row r="151" spans="1:26" x14ac:dyDescent="0.3">
      <c r="A151" s="10" t="s">
        <v>96</v>
      </c>
      <c r="B151" s="10" t="s">
        <v>76</v>
      </c>
      <c r="C151" s="37">
        <v>11980937</v>
      </c>
      <c r="D151" s="11">
        <v>2017</v>
      </c>
      <c r="E151" s="10" t="s">
        <v>30</v>
      </c>
      <c r="F151" s="41">
        <f t="shared" si="13"/>
        <v>2.3370459255398805E-4</v>
      </c>
      <c r="G151" s="8">
        <v>6</v>
      </c>
      <c r="H151" s="36">
        <f t="shared" si="14"/>
        <v>13297.441402227556</v>
      </c>
      <c r="I151" s="37">
        <v>28</v>
      </c>
      <c r="J151" s="12">
        <v>0.12</v>
      </c>
      <c r="K151" s="12">
        <v>4</v>
      </c>
      <c r="L151" s="40">
        <f t="shared" si="15"/>
        <v>13.44</v>
      </c>
      <c r="M151" s="11">
        <v>180</v>
      </c>
      <c r="N151" s="12">
        <v>73.8</v>
      </c>
      <c r="O151" s="9">
        <f t="shared" si="16"/>
        <v>13284</v>
      </c>
      <c r="P151" s="75">
        <f t="shared" si="12"/>
        <v>110.98832588993295</v>
      </c>
      <c r="Q151" s="78">
        <f t="shared" si="17"/>
        <v>67.040256360317713</v>
      </c>
      <c r="R151" s="10" t="s">
        <v>103</v>
      </c>
      <c r="S151" s="81" t="s">
        <v>29</v>
      </c>
      <c r="T151" s="10" t="s">
        <v>33</v>
      </c>
      <c r="U151" s="10"/>
    </row>
    <row r="152" spans="1:26" x14ac:dyDescent="0.3">
      <c r="A152" s="7" t="s">
        <v>96</v>
      </c>
      <c r="B152" s="7" t="s">
        <v>76</v>
      </c>
      <c r="C152" s="36">
        <v>12301939</v>
      </c>
      <c r="D152" s="8">
        <v>2018</v>
      </c>
      <c r="E152" s="7" t="s">
        <v>11</v>
      </c>
      <c r="F152" s="41">
        <f t="shared" si="13"/>
        <v>1.4631839744937771E-4</v>
      </c>
      <c r="G152" s="11">
        <v>9</v>
      </c>
      <c r="H152" s="36">
        <f t="shared" si="14"/>
        <v>314.35331686557703</v>
      </c>
      <c r="I152" s="36">
        <v>18</v>
      </c>
      <c r="J152" s="9">
        <v>0.13300000000000001</v>
      </c>
      <c r="K152" s="9">
        <v>8</v>
      </c>
      <c r="L152" s="40">
        <f t="shared" si="15"/>
        <v>19.152000000000001</v>
      </c>
      <c r="M152" s="8">
        <v>4</v>
      </c>
      <c r="N152" s="9">
        <v>73.8</v>
      </c>
      <c r="O152" s="9">
        <f t="shared" si="16"/>
        <v>295.2</v>
      </c>
      <c r="P152" s="75">
        <f t="shared" si="12"/>
        <v>2.5553151975926478</v>
      </c>
      <c r="Q152" s="78">
        <f t="shared" si="17"/>
        <v>2.5229433392901512</v>
      </c>
      <c r="R152" s="7" t="s">
        <v>97</v>
      </c>
      <c r="S152" s="80" t="s">
        <v>19</v>
      </c>
      <c r="T152" s="7" t="s">
        <v>51</v>
      </c>
      <c r="U152" s="7"/>
    </row>
    <row r="153" spans="1:26" x14ac:dyDescent="0.3">
      <c r="A153" s="10" t="s">
        <v>96</v>
      </c>
      <c r="B153" s="10" t="s">
        <v>76</v>
      </c>
      <c r="C153" s="37">
        <v>12301939</v>
      </c>
      <c r="D153" s="11">
        <v>2018</v>
      </c>
      <c r="E153" s="10" t="s">
        <v>17</v>
      </c>
      <c r="F153" s="41">
        <f t="shared" si="13"/>
        <v>2.7637919518215786E-4</v>
      </c>
      <c r="G153" s="8">
        <v>7</v>
      </c>
      <c r="H153" s="36">
        <f t="shared" si="14"/>
        <v>174.73393465436627</v>
      </c>
      <c r="I153" s="37">
        <v>34</v>
      </c>
      <c r="J153" s="12">
        <v>0.13300000000000001</v>
      </c>
      <c r="K153" s="12">
        <v>6</v>
      </c>
      <c r="L153" s="40">
        <f t="shared" si="15"/>
        <v>27.132000000000001</v>
      </c>
      <c r="M153" s="11">
        <v>2</v>
      </c>
      <c r="N153" s="12">
        <v>73.8</v>
      </c>
      <c r="O153" s="9">
        <f t="shared" si="16"/>
        <v>147.6</v>
      </c>
      <c r="P153" s="75">
        <f t="shared" si="12"/>
        <v>1.4203771832583976</v>
      </c>
      <c r="Q153" s="78">
        <f t="shared" si="17"/>
        <v>1.4103374169385341</v>
      </c>
      <c r="R153" s="10" t="s">
        <v>98</v>
      </c>
      <c r="S153" s="81" t="s">
        <v>19</v>
      </c>
      <c r="T153" s="10" t="s">
        <v>99</v>
      </c>
      <c r="U153" s="10"/>
    </row>
    <row r="154" spans="1:26" x14ac:dyDescent="0.3">
      <c r="A154" s="7" t="s">
        <v>96</v>
      </c>
      <c r="B154" s="7" t="s">
        <v>76</v>
      </c>
      <c r="C154" s="36">
        <v>12301939</v>
      </c>
      <c r="D154" s="8">
        <v>2018</v>
      </c>
      <c r="E154" s="7" t="s">
        <v>20</v>
      </c>
      <c r="F154" s="41">
        <f t="shared" si="13"/>
        <v>9.7545598299585129E-5</v>
      </c>
      <c r="G154" s="11">
        <v>7</v>
      </c>
      <c r="H154" s="36">
        <f t="shared" si="14"/>
        <v>599.97668281918811</v>
      </c>
      <c r="I154" s="36">
        <v>12</v>
      </c>
      <c r="J154" s="9">
        <v>0.13300000000000001</v>
      </c>
      <c r="K154" s="9">
        <v>6</v>
      </c>
      <c r="L154" s="40">
        <f t="shared" si="15"/>
        <v>9.5760000000000005</v>
      </c>
      <c r="M154" s="8">
        <v>8</v>
      </c>
      <c r="N154" s="9">
        <v>73.8</v>
      </c>
      <c r="O154" s="9">
        <f t="shared" si="16"/>
        <v>590.4</v>
      </c>
      <c r="P154" s="75">
        <f t="shared" si="12"/>
        <v>4.8770903742831768</v>
      </c>
      <c r="Q154" s="78">
        <f t="shared" si="17"/>
        <v>4.7600704178968112</v>
      </c>
      <c r="R154" s="7" t="s">
        <v>100</v>
      </c>
      <c r="S154" s="80" t="s">
        <v>19</v>
      </c>
      <c r="T154" s="7"/>
      <c r="U154" s="7"/>
    </row>
    <row r="155" spans="1:26" x14ac:dyDescent="0.3">
      <c r="A155" s="10" t="s">
        <v>96</v>
      </c>
      <c r="B155" s="10" t="s">
        <v>76</v>
      </c>
      <c r="C155" s="37">
        <v>12301939</v>
      </c>
      <c r="D155" s="11">
        <v>2018</v>
      </c>
      <c r="E155" s="10" t="s">
        <v>23</v>
      </c>
      <c r="F155" s="41">
        <f t="shared" si="13"/>
        <v>1.6257599716597523E-5</v>
      </c>
      <c r="G155" s="8">
        <v>8</v>
      </c>
      <c r="H155" s="36">
        <f t="shared" si="14"/>
        <v>1.8621300607977329</v>
      </c>
      <c r="I155" s="37">
        <v>2</v>
      </c>
      <c r="J155" s="12">
        <v>0.13300000000000001</v>
      </c>
      <c r="K155" s="12">
        <v>7</v>
      </c>
      <c r="L155" s="40">
        <f t="shared" si="15"/>
        <v>1.8620000000000001</v>
      </c>
      <c r="M155" s="11">
        <v>0</v>
      </c>
      <c r="N155" s="12">
        <v>73.8</v>
      </c>
      <c r="O155" s="9">
        <f t="shared" si="16"/>
        <v>0</v>
      </c>
      <c r="P155" s="75">
        <f t="shared" si="12"/>
        <v>1.5136882574346472E-2</v>
      </c>
      <c r="Q155" s="78">
        <f t="shared" si="17"/>
        <v>1.5135737006077843E-2</v>
      </c>
      <c r="R155" s="10" t="s">
        <v>101</v>
      </c>
      <c r="S155" s="81" t="s">
        <v>25</v>
      </c>
      <c r="T155" s="10"/>
      <c r="U155" s="10"/>
    </row>
    <row r="156" spans="1:26" x14ac:dyDescent="0.3">
      <c r="A156" s="7" t="s">
        <v>96</v>
      </c>
      <c r="B156" s="7" t="s">
        <v>76</v>
      </c>
      <c r="C156" s="36">
        <v>12301939</v>
      </c>
      <c r="D156" s="8">
        <v>2018</v>
      </c>
      <c r="E156" s="7" t="s">
        <v>26</v>
      </c>
      <c r="F156" s="41">
        <f t="shared" si="13"/>
        <v>3.4140959404854797E-4</v>
      </c>
      <c r="G156" s="11">
        <v>6</v>
      </c>
      <c r="H156" s="36">
        <f t="shared" si="14"/>
        <v>26.882048457564295</v>
      </c>
      <c r="I156" s="36">
        <v>42</v>
      </c>
      <c r="J156" s="9">
        <v>0.128</v>
      </c>
      <c r="K156" s="9">
        <v>5</v>
      </c>
      <c r="L156" s="40">
        <f t="shared" si="15"/>
        <v>26.880000000000003</v>
      </c>
      <c r="M156" s="8">
        <v>0</v>
      </c>
      <c r="N156" s="9">
        <v>73.8</v>
      </c>
      <c r="O156" s="9">
        <f t="shared" si="16"/>
        <v>0</v>
      </c>
      <c r="P156" s="75">
        <f t="shared" si="12"/>
        <v>0.21851879169262908</v>
      </c>
      <c r="Q156" s="78">
        <f t="shared" si="17"/>
        <v>0.21828021319227897</v>
      </c>
      <c r="R156" s="7" t="s">
        <v>102</v>
      </c>
      <c r="S156" s="80" t="s">
        <v>28</v>
      </c>
      <c r="T156" s="7"/>
      <c r="U156" s="7"/>
    </row>
    <row r="157" spans="1:26" x14ac:dyDescent="0.3">
      <c r="A157" s="10" t="s">
        <v>96</v>
      </c>
      <c r="B157" s="10" t="s">
        <v>76</v>
      </c>
      <c r="C157" s="37">
        <v>12301939</v>
      </c>
      <c r="D157" s="11">
        <v>2018</v>
      </c>
      <c r="E157" s="10" t="s">
        <v>30</v>
      </c>
      <c r="F157" s="41">
        <f t="shared" si="13"/>
        <v>2.2760639603236531E-4</v>
      </c>
      <c r="G157" s="8">
        <v>6</v>
      </c>
      <c r="H157" s="36">
        <f t="shared" si="14"/>
        <v>13297.441365638377</v>
      </c>
      <c r="I157" s="37">
        <v>28</v>
      </c>
      <c r="J157" s="12">
        <v>0.12</v>
      </c>
      <c r="K157" s="12">
        <v>4</v>
      </c>
      <c r="L157" s="40">
        <f t="shared" si="15"/>
        <v>13.44</v>
      </c>
      <c r="M157" s="11">
        <v>180</v>
      </c>
      <c r="N157" s="12">
        <v>73.8</v>
      </c>
      <c r="O157" s="9">
        <f t="shared" si="16"/>
        <v>13284</v>
      </c>
      <c r="P157" s="75">
        <f t="shared" ref="P157:P220" si="18">H157/C157*100000</f>
        <v>108.09223948873732</v>
      </c>
      <c r="Q157" s="78">
        <f t="shared" si="17"/>
        <v>66.07175711100686</v>
      </c>
      <c r="R157" s="10" t="s">
        <v>103</v>
      </c>
      <c r="S157" s="81" t="s">
        <v>29</v>
      </c>
      <c r="T157" s="10" t="s">
        <v>33</v>
      </c>
      <c r="U157" s="10"/>
    </row>
    <row r="158" spans="1:26" x14ac:dyDescent="0.3">
      <c r="A158" s="7" t="s">
        <v>96</v>
      </c>
      <c r="B158" s="7" t="s">
        <v>76</v>
      </c>
      <c r="C158" s="36">
        <v>12626950</v>
      </c>
      <c r="D158" s="8">
        <v>2019</v>
      </c>
      <c r="E158" s="7" t="s">
        <v>11</v>
      </c>
      <c r="F158" s="41">
        <f t="shared" si="13"/>
        <v>1.42552239456084E-4</v>
      </c>
      <c r="G158" s="11">
        <v>9</v>
      </c>
      <c r="H158" s="36">
        <f t="shared" si="14"/>
        <v>314.35328297015508</v>
      </c>
      <c r="I158" s="36">
        <v>18</v>
      </c>
      <c r="J158" s="9">
        <v>0.13300000000000001</v>
      </c>
      <c r="K158" s="9">
        <v>8</v>
      </c>
      <c r="L158" s="40">
        <f t="shared" si="15"/>
        <v>19.152000000000001</v>
      </c>
      <c r="M158" s="8">
        <v>4</v>
      </c>
      <c r="N158" s="9">
        <v>73.8</v>
      </c>
      <c r="O158" s="9">
        <f t="shared" si="16"/>
        <v>295.2</v>
      </c>
      <c r="P158" s="75">
        <f t="shared" si="18"/>
        <v>2.4895424704315379</v>
      </c>
      <c r="Q158" s="78">
        <f t="shared" si="17"/>
        <v>2.458808931605605</v>
      </c>
      <c r="R158" s="7" t="s">
        <v>97</v>
      </c>
      <c r="S158" s="80" t="s">
        <v>19</v>
      </c>
      <c r="T158" s="7" t="s">
        <v>51</v>
      </c>
      <c r="U158" s="7"/>
    </row>
    <row r="159" spans="1:26" x14ac:dyDescent="0.3">
      <c r="A159" s="10" t="s">
        <v>96</v>
      </c>
      <c r="B159" s="10" t="s">
        <v>76</v>
      </c>
      <c r="C159" s="37">
        <v>12626950</v>
      </c>
      <c r="D159" s="11">
        <v>2019</v>
      </c>
      <c r="E159" s="10" t="s">
        <v>17</v>
      </c>
      <c r="F159" s="41">
        <f t="shared" si="13"/>
        <v>2.6926534119482535E-4</v>
      </c>
      <c r="G159" s="8">
        <v>7</v>
      </c>
      <c r="H159" s="36">
        <f t="shared" si="14"/>
        <v>174.73388485738838</v>
      </c>
      <c r="I159" s="37">
        <v>34</v>
      </c>
      <c r="J159" s="12">
        <v>0.13300000000000001</v>
      </c>
      <c r="K159" s="12">
        <v>6</v>
      </c>
      <c r="L159" s="40">
        <f t="shared" si="15"/>
        <v>27.132000000000001</v>
      </c>
      <c r="M159" s="11">
        <v>2</v>
      </c>
      <c r="N159" s="12">
        <v>73.8</v>
      </c>
      <c r="O159" s="9">
        <f t="shared" si="16"/>
        <v>147.6</v>
      </c>
      <c r="P159" s="75">
        <f t="shared" si="18"/>
        <v>1.3838170330712356</v>
      </c>
      <c r="Q159" s="78">
        <f t="shared" si="17"/>
        <v>1.3742862984591819</v>
      </c>
      <c r="R159" s="10" t="s">
        <v>98</v>
      </c>
      <c r="S159" s="81" t="s">
        <v>19</v>
      </c>
      <c r="T159" s="10" t="s">
        <v>99</v>
      </c>
      <c r="U159" s="10"/>
      <c r="Z159" s="13"/>
    </row>
    <row r="160" spans="1:26" x14ac:dyDescent="0.3">
      <c r="A160" s="7" t="s">
        <v>96</v>
      </c>
      <c r="B160" s="7" t="s">
        <v>76</v>
      </c>
      <c r="C160" s="36">
        <v>12626950</v>
      </c>
      <c r="D160" s="8">
        <v>2019</v>
      </c>
      <c r="E160" s="7" t="s">
        <v>20</v>
      </c>
      <c r="F160" s="41">
        <f t="shared" si="13"/>
        <v>9.5034826304056007E-5</v>
      </c>
      <c r="G160" s="11">
        <v>7</v>
      </c>
      <c r="H160" s="36">
        <f t="shared" si="14"/>
        <v>599.97666524378417</v>
      </c>
      <c r="I160" s="36">
        <v>12</v>
      </c>
      <c r="J160" s="9">
        <v>0.13300000000000001</v>
      </c>
      <c r="K160" s="9">
        <v>6</v>
      </c>
      <c r="L160" s="40">
        <f t="shared" si="15"/>
        <v>9.5760000000000005</v>
      </c>
      <c r="M160" s="8">
        <v>8</v>
      </c>
      <c r="N160" s="9">
        <v>73.8</v>
      </c>
      <c r="O160" s="9">
        <f t="shared" si="16"/>
        <v>590.4</v>
      </c>
      <c r="P160" s="75">
        <f t="shared" si="18"/>
        <v>4.7515565139941485</v>
      </c>
      <c r="Q160" s="78">
        <f t="shared" si="17"/>
        <v>4.6404369832320995</v>
      </c>
      <c r="R160" s="7" t="s">
        <v>100</v>
      </c>
      <c r="S160" s="80" t="s">
        <v>19</v>
      </c>
      <c r="T160" s="7"/>
      <c r="U160" s="7"/>
    </row>
    <row r="161" spans="1:21" x14ac:dyDescent="0.3">
      <c r="A161" s="10" t="s">
        <v>96</v>
      </c>
      <c r="B161" s="10" t="s">
        <v>76</v>
      </c>
      <c r="C161" s="37">
        <v>12626950</v>
      </c>
      <c r="D161" s="11">
        <v>2019</v>
      </c>
      <c r="E161" s="10" t="s">
        <v>23</v>
      </c>
      <c r="F161" s="41">
        <f t="shared" si="13"/>
        <v>1.5839137717342669E-5</v>
      </c>
      <c r="G161" s="8">
        <v>8</v>
      </c>
      <c r="H161" s="36">
        <f t="shared" si="14"/>
        <v>1.8621267131017389</v>
      </c>
      <c r="I161" s="37">
        <v>2</v>
      </c>
      <c r="J161" s="12">
        <v>0.13300000000000001</v>
      </c>
      <c r="K161" s="12">
        <v>7</v>
      </c>
      <c r="L161" s="40">
        <f t="shared" si="15"/>
        <v>1.8620000000000001</v>
      </c>
      <c r="M161" s="11">
        <v>0</v>
      </c>
      <c r="N161" s="12">
        <v>73.8</v>
      </c>
      <c r="O161" s="9">
        <f t="shared" si="16"/>
        <v>0</v>
      </c>
      <c r="P161" s="75">
        <f t="shared" si="18"/>
        <v>1.474724072798054E-2</v>
      </c>
      <c r="Q161" s="78">
        <f t="shared" si="17"/>
        <v>1.4746153375888582E-2</v>
      </c>
      <c r="R161" s="10" t="s">
        <v>101</v>
      </c>
      <c r="S161" s="81" t="s">
        <v>25</v>
      </c>
      <c r="T161" s="10"/>
      <c r="U161" s="10"/>
    </row>
    <row r="162" spans="1:21" x14ac:dyDescent="0.3">
      <c r="A162" s="7" t="s">
        <v>96</v>
      </c>
      <c r="B162" s="7" t="s">
        <v>76</v>
      </c>
      <c r="C162" s="36">
        <v>12626950</v>
      </c>
      <c r="D162" s="8">
        <v>2019</v>
      </c>
      <c r="E162" s="7" t="s">
        <v>26</v>
      </c>
      <c r="F162" s="41">
        <f t="shared" si="13"/>
        <v>3.3262189206419602E-4</v>
      </c>
      <c r="G162" s="11">
        <v>6</v>
      </c>
      <c r="H162" s="36">
        <f t="shared" si="14"/>
        <v>26.881995731352387</v>
      </c>
      <c r="I162" s="36">
        <v>42</v>
      </c>
      <c r="J162" s="9">
        <v>0.128</v>
      </c>
      <c r="K162" s="9">
        <v>5</v>
      </c>
      <c r="L162" s="40">
        <f t="shared" si="15"/>
        <v>26.880000000000003</v>
      </c>
      <c r="M162" s="8">
        <v>0</v>
      </c>
      <c r="N162" s="9">
        <v>73.8</v>
      </c>
      <c r="O162" s="9">
        <f t="shared" si="16"/>
        <v>0</v>
      </c>
      <c r="P162" s="75">
        <f t="shared" si="18"/>
        <v>0.21289381625295412</v>
      </c>
      <c r="Q162" s="78">
        <f t="shared" si="17"/>
        <v>0.21266735810160364</v>
      </c>
      <c r="R162" s="7" t="s">
        <v>102</v>
      </c>
      <c r="S162" s="80" t="s">
        <v>28</v>
      </c>
      <c r="T162" s="7"/>
      <c r="U162" s="7"/>
    </row>
    <row r="163" spans="1:21" x14ac:dyDescent="0.3">
      <c r="A163" s="10" t="s">
        <v>96</v>
      </c>
      <c r="B163" s="10" t="s">
        <v>76</v>
      </c>
      <c r="C163" s="37">
        <v>12626950</v>
      </c>
      <c r="D163" s="11">
        <v>2019</v>
      </c>
      <c r="E163" s="10" t="s">
        <v>30</v>
      </c>
      <c r="F163" s="41">
        <f t="shared" si="13"/>
        <v>2.2174792804279734E-4</v>
      </c>
      <c r="G163" s="8">
        <v>6</v>
      </c>
      <c r="H163" s="36">
        <f t="shared" si="14"/>
        <v>13297.441330487569</v>
      </c>
      <c r="I163" s="37">
        <v>28</v>
      </c>
      <c r="J163" s="12">
        <v>0.12</v>
      </c>
      <c r="K163" s="12">
        <v>4</v>
      </c>
      <c r="L163" s="40">
        <f t="shared" si="15"/>
        <v>13.44</v>
      </c>
      <c r="M163" s="11">
        <v>180</v>
      </c>
      <c r="N163" s="12">
        <v>73.8</v>
      </c>
      <c r="O163" s="9">
        <f t="shared" si="16"/>
        <v>13284</v>
      </c>
      <c r="P163" s="75">
        <f t="shared" si="18"/>
        <v>105.31000226093846</v>
      </c>
      <c r="Q163" s="78">
        <f t="shared" si="17"/>
        <v>65.114538608374644</v>
      </c>
      <c r="R163" s="10" t="s">
        <v>103</v>
      </c>
      <c r="S163" s="81" t="s">
        <v>29</v>
      </c>
      <c r="T163" s="10" t="s">
        <v>33</v>
      </c>
      <c r="U163" s="10"/>
    </row>
    <row r="164" spans="1:21" x14ac:dyDescent="0.3">
      <c r="A164" s="7" t="s">
        <v>96</v>
      </c>
      <c r="B164" s="7" t="s">
        <v>76</v>
      </c>
      <c r="C164" s="36">
        <v>12951934</v>
      </c>
      <c r="D164" s="8">
        <v>2020</v>
      </c>
      <c r="E164" s="7" t="s">
        <v>11</v>
      </c>
      <c r="F164" s="41">
        <f t="shared" si="13"/>
        <v>1.3897538390791677E-4</v>
      </c>
      <c r="G164" s="11">
        <v>9</v>
      </c>
      <c r="H164" s="36">
        <f t="shared" si="14"/>
        <v>314.35325077845516</v>
      </c>
      <c r="I164" s="36">
        <v>18</v>
      </c>
      <c r="J164" s="9">
        <v>0.13300000000000001</v>
      </c>
      <c r="K164" s="9">
        <v>8</v>
      </c>
      <c r="L164" s="40">
        <f t="shared" si="15"/>
        <v>19.152000000000001</v>
      </c>
      <c r="M164" s="8">
        <v>4</v>
      </c>
      <c r="N164" s="9">
        <v>73.8</v>
      </c>
      <c r="O164" s="9">
        <f t="shared" si="16"/>
        <v>295.2</v>
      </c>
      <c r="P164" s="75">
        <f t="shared" si="18"/>
        <v>2.4270757616465244</v>
      </c>
      <c r="Q164" s="78">
        <f t="shared" si="17"/>
        <v>2.3978591251483494</v>
      </c>
      <c r="R164" s="7" t="s">
        <v>97</v>
      </c>
      <c r="S164" s="80" t="s">
        <v>19</v>
      </c>
      <c r="T164" s="7" t="s">
        <v>51</v>
      </c>
      <c r="U164" s="7"/>
    </row>
    <row r="165" spans="1:21" x14ac:dyDescent="0.3">
      <c r="A165" s="10" t="s">
        <v>96</v>
      </c>
      <c r="B165" s="10" t="s">
        <v>76</v>
      </c>
      <c r="C165" s="37">
        <v>12951934</v>
      </c>
      <c r="D165" s="11">
        <v>2020</v>
      </c>
      <c r="E165" s="10" t="s">
        <v>17</v>
      </c>
      <c r="F165" s="41">
        <f t="shared" si="13"/>
        <v>2.6250905849273167E-4</v>
      </c>
      <c r="G165" s="8">
        <v>7</v>
      </c>
      <c r="H165" s="36">
        <f t="shared" si="14"/>
        <v>174.73383756340945</v>
      </c>
      <c r="I165" s="37">
        <v>34</v>
      </c>
      <c r="J165" s="12">
        <v>0.13300000000000001</v>
      </c>
      <c r="K165" s="12">
        <v>6</v>
      </c>
      <c r="L165" s="40">
        <f t="shared" si="15"/>
        <v>27.132000000000001</v>
      </c>
      <c r="M165" s="11">
        <v>2</v>
      </c>
      <c r="N165" s="12">
        <v>73.8</v>
      </c>
      <c r="O165" s="9">
        <f t="shared" si="16"/>
        <v>147.6</v>
      </c>
      <c r="P165" s="75">
        <f t="shared" si="18"/>
        <v>1.3490945642821333</v>
      </c>
      <c r="Q165" s="78">
        <f t="shared" si="17"/>
        <v>1.3400350697091556</v>
      </c>
      <c r="R165" s="10" t="s">
        <v>98</v>
      </c>
      <c r="S165" s="81" t="s">
        <v>19</v>
      </c>
      <c r="T165" s="10" t="s">
        <v>99</v>
      </c>
      <c r="U165" s="10"/>
    </row>
    <row r="166" spans="1:21" x14ac:dyDescent="0.3">
      <c r="A166" s="7" t="s">
        <v>96</v>
      </c>
      <c r="B166" s="7" t="s">
        <v>76</v>
      </c>
      <c r="C166" s="36">
        <v>12951934</v>
      </c>
      <c r="D166" s="8">
        <v>2020</v>
      </c>
      <c r="E166" s="7" t="s">
        <v>20</v>
      </c>
      <c r="F166" s="41">
        <f t="shared" si="13"/>
        <v>9.2650255938611181E-5</v>
      </c>
      <c r="G166" s="11">
        <v>7</v>
      </c>
      <c r="H166" s="36">
        <f t="shared" si="14"/>
        <v>599.97664855179153</v>
      </c>
      <c r="I166" s="36">
        <v>12</v>
      </c>
      <c r="J166" s="9">
        <v>0.13300000000000001</v>
      </c>
      <c r="K166" s="9">
        <v>6</v>
      </c>
      <c r="L166" s="40">
        <f t="shared" si="15"/>
        <v>9.5760000000000005</v>
      </c>
      <c r="M166" s="8">
        <v>8</v>
      </c>
      <c r="N166" s="9">
        <v>73.8</v>
      </c>
      <c r="O166" s="9">
        <f t="shared" si="16"/>
        <v>590.4</v>
      </c>
      <c r="P166" s="75">
        <f t="shared" si="18"/>
        <v>4.6323325037928047</v>
      </c>
      <c r="Q166" s="78">
        <f t="shared" si="17"/>
        <v>4.5266776873709063</v>
      </c>
      <c r="R166" s="7" t="s">
        <v>100</v>
      </c>
      <c r="S166" s="80" t="s">
        <v>19</v>
      </c>
      <c r="T166" s="7"/>
      <c r="U166" s="7"/>
    </row>
    <row r="167" spans="1:21" x14ac:dyDescent="0.3">
      <c r="A167" s="10" t="s">
        <v>96</v>
      </c>
      <c r="B167" s="10" t="s">
        <v>76</v>
      </c>
      <c r="C167" s="37">
        <v>12951934</v>
      </c>
      <c r="D167" s="11">
        <v>2020</v>
      </c>
      <c r="E167" s="10" t="s">
        <v>23</v>
      </c>
      <c r="F167" s="41">
        <f t="shared" si="13"/>
        <v>1.5441709323101862E-5</v>
      </c>
      <c r="G167" s="8">
        <v>8</v>
      </c>
      <c r="H167" s="36">
        <f t="shared" si="14"/>
        <v>1.8621235336745849</v>
      </c>
      <c r="I167" s="37">
        <v>2</v>
      </c>
      <c r="J167" s="12">
        <v>0.13300000000000001</v>
      </c>
      <c r="K167" s="12">
        <v>7</v>
      </c>
      <c r="L167" s="40">
        <f t="shared" si="15"/>
        <v>1.8620000000000001</v>
      </c>
      <c r="M167" s="11">
        <v>0</v>
      </c>
      <c r="N167" s="12">
        <v>73.8</v>
      </c>
      <c r="O167" s="9">
        <f t="shared" si="16"/>
        <v>0</v>
      </c>
      <c r="P167" s="75">
        <f t="shared" si="18"/>
        <v>1.4377185165355112E-2</v>
      </c>
      <c r="Q167" s="78">
        <f t="shared" si="17"/>
        <v>1.4376151697614858E-2</v>
      </c>
      <c r="R167" s="10" t="s">
        <v>101</v>
      </c>
      <c r="S167" s="81" t="s">
        <v>25</v>
      </c>
      <c r="T167" s="10"/>
      <c r="U167" s="10"/>
    </row>
    <row r="168" spans="1:21" x14ac:dyDescent="0.3">
      <c r="A168" s="7" t="s">
        <v>96</v>
      </c>
      <c r="B168" s="7" t="s">
        <v>76</v>
      </c>
      <c r="C168" s="36">
        <v>12951934</v>
      </c>
      <c r="D168" s="8">
        <v>2020</v>
      </c>
      <c r="E168" s="7" t="s">
        <v>26</v>
      </c>
      <c r="F168" s="41">
        <f t="shared" si="13"/>
        <v>3.2427589578513911E-4</v>
      </c>
      <c r="G168" s="11">
        <v>6</v>
      </c>
      <c r="H168" s="36">
        <f t="shared" si="14"/>
        <v>26.881945655374714</v>
      </c>
      <c r="I168" s="36">
        <v>42</v>
      </c>
      <c r="J168" s="9">
        <v>0.128</v>
      </c>
      <c r="K168" s="9">
        <v>5</v>
      </c>
      <c r="L168" s="40">
        <f t="shared" si="15"/>
        <v>26.880000000000003</v>
      </c>
      <c r="M168" s="8">
        <v>0</v>
      </c>
      <c r="N168" s="9">
        <v>73.8</v>
      </c>
      <c r="O168" s="9">
        <f t="shared" si="16"/>
        <v>0</v>
      </c>
      <c r="P168" s="75">
        <f t="shared" si="18"/>
        <v>0.20755159542485868</v>
      </c>
      <c r="Q168" s="78">
        <f t="shared" si="17"/>
        <v>0.20733635603772393</v>
      </c>
      <c r="R168" s="7" t="s">
        <v>102</v>
      </c>
      <c r="S168" s="80" t="s">
        <v>28</v>
      </c>
      <c r="T168" s="7"/>
      <c r="U168" s="7"/>
    </row>
    <row r="169" spans="1:21" x14ac:dyDescent="0.3">
      <c r="A169" s="10" t="s">
        <v>96</v>
      </c>
      <c r="B169" s="10" t="s">
        <v>76</v>
      </c>
      <c r="C169" s="37">
        <v>12951934</v>
      </c>
      <c r="D169" s="11">
        <v>2020</v>
      </c>
      <c r="E169" s="10" t="s">
        <v>30</v>
      </c>
      <c r="F169" s="41">
        <f t="shared" si="13"/>
        <v>2.1618393052342608E-4</v>
      </c>
      <c r="G169" s="8">
        <v>6</v>
      </c>
      <c r="H169" s="36">
        <f t="shared" si="14"/>
        <v>13297.441297103584</v>
      </c>
      <c r="I169" s="37">
        <v>28</v>
      </c>
      <c r="J169" s="12">
        <v>0.12</v>
      </c>
      <c r="K169" s="12">
        <v>4</v>
      </c>
      <c r="L169" s="40">
        <f t="shared" si="15"/>
        <v>13.44</v>
      </c>
      <c r="M169" s="11">
        <v>180</v>
      </c>
      <c r="N169" s="12">
        <v>73.8</v>
      </c>
      <c r="O169" s="9">
        <f t="shared" si="16"/>
        <v>13284</v>
      </c>
      <c r="P169" s="75">
        <f t="shared" si="18"/>
        <v>102.66761162544206</v>
      </c>
      <c r="Q169" s="78">
        <f t="shared" si="17"/>
        <v>64.180441546796956</v>
      </c>
      <c r="R169" s="10" t="s">
        <v>103</v>
      </c>
      <c r="S169" s="81" t="s">
        <v>29</v>
      </c>
      <c r="T169" s="10" t="s">
        <v>33</v>
      </c>
      <c r="U169" s="10"/>
    </row>
    <row r="170" spans="1:21" x14ac:dyDescent="0.3">
      <c r="A170" s="7" t="s">
        <v>96</v>
      </c>
      <c r="B170" s="7" t="s">
        <v>76</v>
      </c>
      <c r="C170" s="36">
        <v>13276513</v>
      </c>
      <c r="D170" s="8">
        <v>2021</v>
      </c>
      <c r="E170" s="7" t="s">
        <v>11</v>
      </c>
      <c r="F170" s="41">
        <f t="shared" si="13"/>
        <v>1.3557776804798066E-4</v>
      </c>
      <c r="G170" s="11">
        <v>9</v>
      </c>
      <c r="H170" s="36">
        <f t="shared" si="14"/>
        <v>314.35322019991241</v>
      </c>
      <c r="I170" s="36">
        <v>18</v>
      </c>
      <c r="J170" s="9">
        <v>0.13300000000000001</v>
      </c>
      <c r="K170" s="9">
        <v>8</v>
      </c>
      <c r="L170" s="40">
        <f t="shared" si="15"/>
        <v>19.152000000000001</v>
      </c>
      <c r="M170" s="8">
        <v>4</v>
      </c>
      <c r="N170" s="9">
        <v>73.8</v>
      </c>
      <c r="O170" s="9">
        <f t="shared" si="16"/>
        <v>295.2</v>
      </c>
      <c r="P170" s="75">
        <f t="shared" si="18"/>
        <v>2.3677393318555287</v>
      </c>
      <c r="Q170" s="78">
        <f t="shared" si="17"/>
        <v>2.3399283140157934</v>
      </c>
      <c r="R170" s="7" t="s">
        <v>97</v>
      </c>
      <c r="S170" s="80" t="s">
        <v>19</v>
      </c>
      <c r="T170" s="7" t="s">
        <v>51</v>
      </c>
      <c r="U170" s="7"/>
    </row>
    <row r="171" spans="1:21" x14ac:dyDescent="0.3">
      <c r="A171" s="10" t="s">
        <v>96</v>
      </c>
      <c r="B171" s="10" t="s">
        <v>76</v>
      </c>
      <c r="C171" s="37">
        <v>13276513</v>
      </c>
      <c r="D171" s="11">
        <v>2021</v>
      </c>
      <c r="E171" s="10" t="s">
        <v>17</v>
      </c>
      <c r="F171" s="41">
        <f t="shared" si="13"/>
        <v>2.560913396461857E-4</v>
      </c>
      <c r="G171" s="8">
        <v>7</v>
      </c>
      <c r="H171" s="36">
        <f t="shared" si="14"/>
        <v>174.73379263937753</v>
      </c>
      <c r="I171" s="37">
        <v>34</v>
      </c>
      <c r="J171" s="12">
        <v>0.13300000000000001</v>
      </c>
      <c r="K171" s="12">
        <v>6</v>
      </c>
      <c r="L171" s="40">
        <f t="shared" si="15"/>
        <v>27.132000000000001</v>
      </c>
      <c r="M171" s="11">
        <v>2</v>
      </c>
      <c r="N171" s="12">
        <v>73.8</v>
      </c>
      <c r="O171" s="9">
        <f t="shared" si="16"/>
        <v>147.6</v>
      </c>
      <c r="P171" s="75">
        <f t="shared" si="18"/>
        <v>1.3161120893669711</v>
      </c>
      <c r="Q171" s="78">
        <f t="shared" si="17"/>
        <v>1.3074892046038511</v>
      </c>
      <c r="R171" s="10" t="s">
        <v>98</v>
      </c>
      <c r="S171" s="81" t="s">
        <v>19</v>
      </c>
      <c r="T171" s="10" t="s">
        <v>99</v>
      </c>
      <c r="U171" s="10"/>
    </row>
    <row r="172" spans="1:21" x14ac:dyDescent="0.3">
      <c r="A172" s="7" t="s">
        <v>96</v>
      </c>
      <c r="B172" s="7" t="s">
        <v>76</v>
      </c>
      <c r="C172" s="36">
        <v>13276513</v>
      </c>
      <c r="D172" s="8">
        <v>2021</v>
      </c>
      <c r="E172" s="7" t="s">
        <v>20</v>
      </c>
      <c r="F172" s="41">
        <f t="shared" si="13"/>
        <v>9.0385178698653784E-5</v>
      </c>
      <c r="G172" s="11">
        <v>7</v>
      </c>
      <c r="H172" s="36">
        <f t="shared" si="14"/>
        <v>599.97663269625093</v>
      </c>
      <c r="I172" s="36">
        <v>12</v>
      </c>
      <c r="J172" s="9">
        <v>0.13300000000000001</v>
      </c>
      <c r="K172" s="9">
        <v>6</v>
      </c>
      <c r="L172" s="40">
        <f t="shared" si="15"/>
        <v>9.5760000000000005</v>
      </c>
      <c r="M172" s="8">
        <v>8</v>
      </c>
      <c r="N172" s="9">
        <v>73.8</v>
      </c>
      <c r="O172" s="9">
        <f t="shared" si="16"/>
        <v>590.4</v>
      </c>
      <c r="P172" s="75">
        <f t="shared" si="18"/>
        <v>4.5190829301055997</v>
      </c>
      <c r="Q172" s="78">
        <f t="shared" si="17"/>
        <v>4.4184933092559664</v>
      </c>
      <c r="R172" s="7" t="s">
        <v>100</v>
      </c>
      <c r="S172" s="80" t="s">
        <v>19</v>
      </c>
      <c r="T172" s="7"/>
      <c r="U172" s="7"/>
    </row>
    <row r="173" spans="1:21" x14ac:dyDescent="0.3">
      <c r="A173" s="10" t="s">
        <v>96</v>
      </c>
      <c r="B173" s="10" t="s">
        <v>76</v>
      </c>
      <c r="C173" s="37">
        <v>13276513</v>
      </c>
      <c r="D173" s="11">
        <v>2021</v>
      </c>
      <c r="E173" s="10" t="s">
        <v>23</v>
      </c>
      <c r="F173" s="41">
        <f t="shared" si="13"/>
        <v>1.506419644977563E-5</v>
      </c>
      <c r="G173" s="8">
        <v>8</v>
      </c>
      <c r="H173" s="36">
        <f t="shared" si="14"/>
        <v>1.8621205135715984</v>
      </c>
      <c r="I173" s="37">
        <v>2</v>
      </c>
      <c r="J173" s="12">
        <v>0.13300000000000001</v>
      </c>
      <c r="K173" s="12">
        <v>7</v>
      </c>
      <c r="L173" s="40">
        <f t="shared" si="15"/>
        <v>1.8620000000000001</v>
      </c>
      <c r="M173" s="11">
        <v>0</v>
      </c>
      <c r="N173" s="12">
        <v>73.8</v>
      </c>
      <c r="O173" s="9">
        <f t="shared" si="16"/>
        <v>0</v>
      </c>
      <c r="P173" s="75">
        <f t="shared" si="18"/>
        <v>1.4025674614799822E-2</v>
      </c>
      <c r="Q173" s="78">
        <f t="shared" si="17"/>
        <v>1.4024691063041494E-2</v>
      </c>
      <c r="R173" s="10" t="s">
        <v>101</v>
      </c>
      <c r="S173" s="81" t="s">
        <v>25</v>
      </c>
      <c r="T173" s="10"/>
      <c r="U173" s="4"/>
    </row>
    <row r="174" spans="1:21" x14ac:dyDescent="0.3">
      <c r="A174" s="7" t="s">
        <v>96</v>
      </c>
      <c r="B174" s="7" t="s">
        <v>76</v>
      </c>
      <c r="C174" s="36">
        <v>13276513</v>
      </c>
      <c r="D174" s="8">
        <v>2021</v>
      </c>
      <c r="E174" s="7" t="s">
        <v>26</v>
      </c>
      <c r="F174" s="41">
        <f t="shared" si="13"/>
        <v>3.1634812544528826E-4</v>
      </c>
      <c r="G174" s="11">
        <v>6</v>
      </c>
      <c r="H174" s="36">
        <f t="shared" si="14"/>
        <v>26.881898088752674</v>
      </c>
      <c r="I174" s="36">
        <v>42</v>
      </c>
      <c r="J174" s="9">
        <v>0.128</v>
      </c>
      <c r="K174" s="9">
        <v>5</v>
      </c>
      <c r="L174" s="40">
        <f t="shared" si="15"/>
        <v>26.880000000000003</v>
      </c>
      <c r="M174" s="8">
        <v>0</v>
      </c>
      <c r="N174" s="9">
        <v>73.8</v>
      </c>
      <c r="O174" s="9">
        <f t="shared" si="16"/>
        <v>0</v>
      </c>
      <c r="P174" s="75">
        <f t="shared" si="18"/>
        <v>0.20247709687590917</v>
      </c>
      <c r="Q174" s="78">
        <f t="shared" si="17"/>
        <v>0.20227225028125462</v>
      </c>
      <c r="R174" s="7" t="s">
        <v>102</v>
      </c>
      <c r="S174" s="80" t="s">
        <v>28</v>
      </c>
      <c r="T174" s="7"/>
      <c r="U174" s="7"/>
    </row>
    <row r="175" spans="1:21" x14ac:dyDescent="0.3">
      <c r="A175" s="10" t="s">
        <v>96</v>
      </c>
      <c r="B175" s="10" t="s">
        <v>76</v>
      </c>
      <c r="C175" s="37">
        <v>13276513</v>
      </c>
      <c r="D175" s="11">
        <v>2021</v>
      </c>
      <c r="E175" s="10" t="s">
        <v>30</v>
      </c>
      <c r="F175" s="41">
        <f t="shared" si="13"/>
        <v>2.1089875029685882E-4</v>
      </c>
      <c r="G175" s="8">
        <v>6</v>
      </c>
      <c r="H175" s="36">
        <f t="shared" si="14"/>
        <v>13297.441265392503</v>
      </c>
      <c r="I175" s="37">
        <v>28</v>
      </c>
      <c r="J175" s="12">
        <v>0.12</v>
      </c>
      <c r="K175" s="12">
        <v>4</v>
      </c>
      <c r="L175" s="40">
        <f t="shared" si="15"/>
        <v>13.44</v>
      </c>
      <c r="M175" s="11">
        <v>180</v>
      </c>
      <c r="N175" s="12">
        <v>73.8</v>
      </c>
      <c r="O175" s="9">
        <f t="shared" si="16"/>
        <v>13284</v>
      </c>
      <c r="P175" s="75">
        <f t="shared" si="18"/>
        <v>100.15763375061285</v>
      </c>
      <c r="Q175" s="78">
        <f t="shared" si="17"/>
        <v>63.270000416871277</v>
      </c>
      <c r="R175" s="10" t="s">
        <v>103</v>
      </c>
      <c r="S175" s="81" t="s">
        <v>29</v>
      </c>
      <c r="T175" s="10" t="s">
        <v>33</v>
      </c>
      <c r="U175" s="4"/>
    </row>
    <row r="176" spans="1:21" ht="22.8" x14ac:dyDescent="0.3">
      <c r="A176" s="7" t="s">
        <v>96</v>
      </c>
      <c r="B176" s="7" t="s">
        <v>76</v>
      </c>
      <c r="C176" s="36">
        <v>13600464</v>
      </c>
      <c r="D176" s="8">
        <v>2022</v>
      </c>
      <c r="E176" s="7" t="s">
        <v>11</v>
      </c>
      <c r="F176" s="41">
        <f t="shared" si="13"/>
        <v>9.1173359967718743E-4</v>
      </c>
      <c r="G176" s="11">
        <v>9</v>
      </c>
      <c r="H176" s="36">
        <f t="shared" si="14"/>
        <v>2641.1442056023971</v>
      </c>
      <c r="I176" s="36">
        <v>124</v>
      </c>
      <c r="J176" s="9">
        <v>0.13300000000000001</v>
      </c>
      <c r="K176" s="9">
        <v>8</v>
      </c>
      <c r="L176" s="40">
        <f t="shared" si="15"/>
        <v>131.93600000000001</v>
      </c>
      <c r="M176" s="8">
        <v>34</v>
      </c>
      <c r="N176" s="9">
        <v>73.8</v>
      </c>
      <c r="O176" s="9">
        <f t="shared" si="16"/>
        <v>2509.1999999999998</v>
      </c>
      <c r="P176" s="75">
        <f t="shared" si="18"/>
        <v>19.419515434196928</v>
      </c>
      <c r="Q176" s="78">
        <f t="shared" si="17"/>
        <v>17.650282046416365</v>
      </c>
      <c r="R176" s="7" t="s">
        <v>104</v>
      </c>
      <c r="S176" s="80" t="s">
        <v>19</v>
      </c>
      <c r="T176" s="7" t="s">
        <v>51</v>
      </c>
      <c r="U176" s="7"/>
    </row>
    <row r="177" spans="1:21" x14ac:dyDescent="0.3">
      <c r="A177" s="10" t="s">
        <v>96</v>
      </c>
      <c r="B177" s="10" t="s">
        <v>76</v>
      </c>
      <c r="C177" s="37">
        <v>13600464</v>
      </c>
      <c r="D177" s="11">
        <v>2022</v>
      </c>
      <c r="E177" s="10" t="s">
        <v>17</v>
      </c>
      <c r="F177" s="41">
        <f t="shared" si="13"/>
        <v>2.4999147087922881E-4</v>
      </c>
      <c r="G177" s="8">
        <v>7</v>
      </c>
      <c r="H177" s="36">
        <f t="shared" si="14"/>
        <v>174.73374994029615</v>
      </c>
      <c r="I177" s="37">
        <v>34</v>
      </c>
      <c r="J177" s="12">
        <v>0.13300000000000001</v>
      </c>
      <c r="K177" s="12">
        <v>6</v>
      </c>
      <c r="L177" s="40">
        <f t="shared" si="15"/>
        <v>27.132000000000001</v>
      </c>
      <c r="M177" s="11">
        <v>2</v>
      </c>
      <c r="N177" s="12">
        <v>73.8</v>
      </c>
      <c r="O177" s="9">
        <f t="shared" si="16"/>
        <v>147.6</v>
      </c>
      <c r="P177" s="75">
        <f t="shared" si="18"/>
        <v>1.2847631517593527</v>
      </c>
      <c r="Q177" s="78">
        <f t="shared" si="17"/>
        <v>1.2765453009321082</v>
      </c>
      <c r="R177" s="10" t="s">
        <v>98</v>
      </c>
      <c r="S177" s="81" t="s">
        <v>19</v>
      </c>
      <c r="T177" s="10" t="s">
        <v>99</v>
      </c>
      <c r="U177" s="4"/>
    </row>
    <row r="178" spans="1:21" x14ac:dyDescent="0.3">
      <c r="A178" s="7" t="s">
        <v>96</v>
      </c>
      <c r="B178" s="7" t="s">
        <v>76</v>
      </c>
      <c r="C178" s="36">
        <v>13600464</v>
      </c>
      <c r="D178" s="8">
        <v>2022</v>
      </c>
      <c r="E178" s="7" t="s">
        <v>20</v>
      </c>
      <c r="F178" s="41">
        <f t="shared" si="13"/>
        <v>8.8232283839727822E-5</v>
      </c>
      <c r="G178" s="11">
        <v>7</v>
      </c>
      <c r="H178" s="36">
        <f t="shared" si="14"/>
        <v>599.97661762598693</v>
      </c>
      <c r="I178" s="36">
        <v>12</v>
      </c>
      <c r="J178" s="9">
        <v>0.13300000000000001</v>
      </c>
      <c r="K178" s="9">
        <v>6</v>
      </c>
      <c r="L178" s="40">
        <f t="shared" si="15"/>
        <v>9.5760000000000005</v>
      </c>
      <c r="M178" s="8">
        <v>8</v>
      </c>
      <c r="N178" s="9">
        <v>73.8</v>
      </c>
      <c r="O178" s="9">
        <f t="shared" si="16"/>
        <v>590.4</v>
      </c>
      <c r="P178" s="75">
        <f t="shared" si="18"/>
        <v>4.411442268631327</v>
      </c>
      <c r="Q178" s="78">
        <f t="shared" si="17"/>
        <v>4.3155533505200072</v>
      </c>
      <c r="R178" s="7" t="s">
        <v>100</v>
      </c>
      <c r="S178" s="80" t="s">
        <v>19</v>
      </c>
      <c r="T178" s="7"/>
      <c r="U178" s="7"/>
    </row>
    <row r="179" spans="1:21" x14ac:dyDescent="0.3">
      <c r="A179" s="10" t="s">
        <v>96</v>
      </c>
      <c r="B179" s="10" t="s">
        <v>76</v>
      </c>
      <c r="C179" s="37">
        <v>13600464</v>
      </c>
      <c r="D179" s="11">
        <v>2022</v>
      </c>
      <c r="E179" s="10" t="s">
        <v>23</v>
      </c>
      <c r="F179" s="41">
        <f t="shared" si="13"/>
        <v>1.4705380639954637E-5</v>
      </c>
      <c r="G179" s="8">
        <v>8</v>
      </c>
      <c r="H179" s="36">
        <f t="shared" si="14"/>
        <v>1.8621176430451198</v>
      </c>
      <c r="I179" s="37">
        <v>2</v>
      </c>
      <c r="J179" s="12">
        <v>0.13300000000000001</v>
      </c>
      <c r="K179" s="12">
        <v>7</v>
      </c>
      <c r="L179" s="40">
        <f t="shared" si="15"/>
        <v>1.8620000000000001</v>
      </c>
      <c r="M179" s="11">
        <v>0</v>
      </c>
      <c r="N179" s="12">
        <v>73.8</v>
      </c>
      <c r="O179" s="9">
        <f t="shared" si="16"/>
        <v>0</v>
      </c>
      <c r="P179" s="75">
        <f t="shared" si="18"/>
        <v>1.3691574368676834E-2</v>
      </c>
      <c r="Q179" s="78">
        <f t="shared" si="17"/>
        <v>1.3690637115404414E-2</v>
      </c>
      <c r="R179" s="10" t="s">
        <v>101</v>
      </c>
      <c r="S179" s="81" t="s">
        <v>25</v>
      </c>
      <c r="T179" s="10"/>
      <c r="U179" s="4"/>
    </row>
    <row r="180" spans="1:21" x14ac:dyDescent="0.3">
      <c r="A180" s="7" t="s">
        <v>96</v>
      </c>
      <c r="B180" s="7" t="s">
        <v>76</v>
      </c>
      <c r="C180" s="36">
        <v>13600464</v>
      </c>
      <c r="D180" s="8">
        <v>2022</v>
      </c>
      <c r="E180" s="7" t="s">
        <v>26</v>
      </c>
      <c r="F180" s="41">
        <f t="shared" si="13"/>
        <v>3.0881299343904739E-4</v>
      </c>
      <c r="G180" s="11">
        <v>6</v>
      </c>
      <c r="H180" s="36">
        <f t="shared" si="14"/>
        <v>26.881852877960636</v>
      </c>
      <c r="I180" s="36">
        <v>42</v>
      </c>
      <c r="J180" s="9">
        <v>0.128</v>
      </c>
      <c r="K180" s="9">
        <v>5</v>
      </c>
      <c r="L180" s="40">
        <f t="shared" si="15"/>
        <v>26.880000000000003</v>
      </c>
      <c r="M180" s="8">
        <v>0</v>
      </c>
      <c r="N180" s="9">
        <v>73.8</v>
      </c>
      <c r="O180" s="9">
        <f t="shared" si="16"/>
        <v>0</v>
      </c>
      <c r="P180" s="75">
        <f t="shared" si="18"/>
        <v>0.19765393943883558</v>
      </c>
      <c r="Q180" s="78">
        <f t="shared" si="17"/>
        <v>0.19745873267242864</v>
      </c>
      <c r="R180" s="7" t="s">
        <v>102</v>
      </c>
      <c r="S180" s="80" t="s">
        <v>28</v>
      </c>
      <c r="T180" s="7"/>
      <c r="U180" s="7"/>
    </row>
    <row r="181" spans="1:21" x14ac:dyDescent="0.3">
      <c r="A181" s="10" t="s">
        <v>96</v>
      </c>
      <c r="B181" s="10" t="s">
        <v>76</v>
      </c>
      <c r="C181" s="37">
        <v>13600464</v>
      </c>
      <c r="D181" s="11">
        <v>2022</v>
      </c>
      <c r="E181" s="10" t="s">
        <v>30</v>
      </c>
      <c r="F181" s="41">
        <f t="shared" si="13"/>
        <v>2.0587532895936491E-4</v>
      </c>
      <c r="G181" s="8">
        <v>6</v>
      </c>
      <c r="H181" s="36">
        <f t="shared" si="14"/>
        <v>13297.441235251974</v>
      </c>
      <c r="I181" s="37">
        <v>28</v>
      </c>
      <c r="J181" s="12">
        <v>0.12</v>
      </c>
      <c r="K181" s="12">
        <v>4</v>
      </c>
      <c r="L181" s="40">
        <f t="shared" si="15"/>
        <v>13.44</v>
      </c>
      <c r="M181" s="11">
        <v>180</v>
      </c>
      <c r="N181" s="12">
        <v>73.8</v>
      </c>
      <c r="O181" s="9">
        <f t="shared" si="16"/>
        <v>13284</v>
      </c>
      <c r="P181" s="75">
        <f t="shared" si="18"/>
        <v>97.771967450904427</v>
      </c>
      <c r="Q181" s="78">
        <f t="shared" si="17"/>
        <v>62.383209315357021</v>
      </c>
      <c r="R181" s="10" t="s">
        <v>103</v>
      </c>
      <c r="S181" s="81" t="s">
        <v>29</v>
      </c>
      <c r="T181" s="10" t="s">
        <v>33</v>
      </c>
      <c r="U181" s="4"/>
    </row>
    <row r="182" spans="1:21" ht="22.8" x14ac:dyDescent="0.3">
      <c r="A182" s="7" t="s">
        <v>96</v>
      </c>
      <c r="B182" s="7" t="s">
        <v>76</v>
      </c>
      <c r="C182" s="36">
        <v>13924098</v>
      </c>
      <c r="D182" s="8">
        <v>2023</v>
      </c>
      <c r="E182" s="7" t="s">
        <v>11</v>
      </c>
      <c r="F182" s="41">
        <f t="shared" si="13"/>
        <v>1.4219951626310012E-3</v>
      </c>
      <c r="G182" s="11">
        <v>9</v>
      </c>
      <c r="H182" s="36">
        <f t="shared" si="14"/>
        <v>4048.2847979564635</v>
      </c>
      <c r="I182" s="36">
        <v>198</v>
      </c>
      <c r="J182" s="9">
        <v>0.13300000000000001</v>
      </c>
      <c r="K182" s="9">
        <v>8</v>
      </c>
      <c r="L182" s="40">
        <f t="shared" si="15"/>
        <v>210.67200000000003</v>
      </c>
      <c r="M182" s="8">
        <v>52</v>
      </c>
      <c r="N182" s="9">
        <v>73.8</v>
      </c>
      <c r="O182" s="9">
        <f t="shared" si="16"/>
        <v>3837.6</v>
      </c>
      <c r="P182" s="75">
        <f t="shared" si="18"/>
        <v>29.073946462862182</v>
      </c>
      <c r="Q182" s="78">
        <f t="shared" si="17"/>
        <v>25.228954233473345</v>
      </c>
      <c r="R182" s="7" t="s">
        <v>105</v>
      </c>
      <c r="S182" s="80" t="s">
        <v>19</v>
      </c>
      <c r="T182" s="7" t="s">
        <v>51</v>
      </c>
      <c r="U182" s="7"/>
    </row>
    <row r="183" spans="1:21" x14ac:dyDescent="0.3">
      <c r="A183" s="10" t="s">
        <v>96</v>
      </c>
      <c r="B183" s="10" t="s">
        <v>76</v>
      </c>
      <c r="C183" s="37">
        <v>13924098</v>
      </c>
      <c r="D183" s="11">
        <v>2023</v>
      </c>
      <c r="E183" s="10" t="s">
        <v>17</v>
      </c>
      <c r="F183" s="41">
        <f t="shared" si="13"/>
        <v>2.4418098752249518E-4</v>
      </c>
      <c r="G183" s="8">
        <v>7</v>
      </c>
      <c r="H183" s="36">
        <f t="shared" si="14"/>
        <v>174.73370926691265</v>
      </c>
      <c r="I183" s="37">
        <v>34</v>
      </c>
      <c r="J183" s="12">
        <v>0.13300000000000001</v>
      </c>
      <c r="K183" s="12">
        <v>6</v>
      </c>
      <c r="L183" s="40">
        <f t="shared" si="15"/>
        <v>27.132000000000001</v>
      </c>
      <c r="M183" s="11">
        <v>2</v>
      </c>
      <c r="N183" s="12">
        <v>73.8</v>
      </c>
      <c r="O183" s="9">
        <f t="shared" si="16"/>
        <v>147.6</v>
      </c>
      <c r="P183" s="75">
        <f t="shared" si="18"/>
        <v>1.2549014612430383</v>
      </c>
      <c r="Q183" s="78">
        <f t="shared" si="17"/>
        <v>1.2470604062979618</v>
      </c>
      <c r="R183" s="10" t="s">
        <v>98</v>
      </c>
      <c r="S183" s="81" t="s">
        <v>19</v>
      </c>
      <c r="T183" s="10" t="s">
        <v>99</v>
      </c>
      <c r="U183" s="4"/>
    </row>
    <row r="184" spans="1:21" x14ac:dyDescent="0.3">
      <c r="A184" s="7" t="s">
        <v>96</v>
      </c>
      <c r="B184" s="7" t="s">
        <v>76</v>
      </c>
      <c r="C184" s="36">
        <v>13924098</v>
      </c>
      <c r="D184" s="8">
        <v>2023</v>
      </c>
      <c r="E184" s="7" t="s">
        <v>20</v>
      </c>
      <c r="F184" s="41">
        <f t="shared" si="13"/>
        <v>8.6181525007939473E-5</v>
      </c>
      <c r="G184" s="11">
        <v>7</v>
      </c>
      <c r="H184" s="36">
        <f t="shared" si="14"/>
        <v>599.97660327067501</v>
      </c>
      <c r="I184" s="36">
        <v>12</v>
      </c>
      <c r="J184" s="9">
        <v>0.13300000000000001</v>
      </c>
      <c r="K184" s="9">
        <v>6</v>
      </c>
      <c r="L184" s="40">
        <f t="shared" si="15"/>
        <v>9.5760000000000005</v>
      </c>
      <c r="M184" s="8">
        <v>8</v>
      </c>
      <c r="N184" s="9">
        <v>73.8</v>
      </c>
      <c r="O184" s="9">
        <f t="shared" si="16"/>
        <v>590.4</v>
      </c>
      <c r="P184" s="75">
        <f t="shared" si="18"/>
        <v>4.3089082199125208</v>
      </c>
      <c r="Q184" s="78">
        <f t="shared" si="17"/>
        <v>4.2173938985457298</v>
      </c>
      <c r="R184" s="7" t="s">
        <v>100</v>
      </c>
      <c r="S184" s="80" t="s">
        <v>19</v>
      </c>
      <c r="T184" s="7"/>
      <c r="U184" s="7"/>
    </row>
    <row r="185" spans="1:21" x14ac:dyDescent="0.3">
      <c r="A185" s="10" t="s">
        <v>96</v>
      </c>
      <c r="B185" s="10" t="s">
        <v>76</v>
      </c>
      <c r="C185" s="37">
        <v>13924098</v>
      </c>
      <c r="D185" s="11">
        <v>2023</v>
      </c>
      <c r="E185" s="10" t="s">
        <v>23</v>
      </c>
      <c r="F185" s="41">
        <f t="shared" si="13"/>
        <v>1.4363587501323245E-5</v>
      </c>
      <c r="G185" s="8">
        <v>8</v>
      </c>
      <c r="H185" s="36">
        <f t="shared" si="14"/>
        <v>1.8621149087000106</v>
      </c>
      <c r="I185" s="37">
        <v>2</v>
      </c>
      <c r="J185" s="12">
        <v>0.13300000000000001</v>
      </c>
      <c r="K185" s="12">
        <v>7</v>
      </c>
      <c r="L185" s="40">
        <f t="shared" si="15"/>
        <v>1.8620000000000001</v>
      </c>
      <c r="M185" s="11">
        <v>0</v>
      </c>
      <c r="N185" s="12">
        <v>73.8</v>
      </c>
      <c r="O185" s="9">
        <f t="shared" si="16"/>
        <v>0</v>
      </c>
      <c r="P185" s="75">
        <f t="shared" si="18"/>
        <v>1.3373325214315576E-2</v>
      </c>
      <c r="Q185" s="78">
        <f t="shared" si="17"/>
        <v>1.3372431025038267E-2</v>
      </c>
      <c r="R185" s="10" t="s">
        <v>101</v>
      </c>
      <c r="S185" s="81" t="s">
        <v>25</v>
      </c>
      <c r="T185" s="10"/>
      <c r="U185" s="4"/>
    </row>
    <row r="186" spans="1:21" x14ac:dyDescent="0.3">
      <c r="A186" s="7" t="s">
        <v>96</v>
      </c>
      <c r="B186" s="7" t="s">
        <v>76</v>
      </c>
      <c r="C186" s="36">
        <v>13924098</v>
      </c>
      <c r="D186" s="8">
        <v>2023</v>
      </c>
      <c r="E186" s="7" t="s">
        <v>26</v>
      </c>
      <c r="F186" s="41">
        <f t="shared" si="13"/>
        <v>3.0163533752778813E-4</v>
      </c>
      <c r="G186" s="11">
        <v>6</v>
      </c>
      <c r="H186" s="36">
        <f t="shared" si="14"/>
        <v>26.881809812025168</v>
      </c>
      <c r="I186" s="36">
        <v>42</v>
      </c>
      <c r="J186" s="9">
        <v>0.128</v>
      </c>
      <c r="K186" s="9">
        <v>5</v>
      </c>
      <c r="L186" s="40">
        <f t="shared" si="15"/>
        <v>26.880000000000003</v>
      </c>
      <c r="M186" s="8">
        <v>0</v>
      </c>
      <c r="N186" s="9">
        <v>73.8</v>
      </c>
      <c r="O186" s="9">
        <f t="shared" si="16"/>
        <v>0</v>
      </c>
      <c r="P186" s="75">
        <f t="shared" si="18"/>
        <v>0.19305961371447664</v>
      </c>
      <c r="Q186" s="78">
        <f t="shared" si="17"/>
        <v>0.19287337351305833</v>
      </c>
      <c r="R186" s="7" t="s">
        <v>102</v>
      </c>
      <c r="S186" s="80" t="s">
        <v>28</v>
      </c>
      <c r="T186" s="7"/>
      <c r="U186" s="7"/>
    </row>
    <row r="187" spans="1:21" x14ac:dyDescent="0.3">
      <c r="A187" s="10" t="s">
        <v>96</v>
      </c>
      <c r="B187" s="10" t="s">
        <v>76</v>
      </c>
      <c r="C187" s="37">
        <v>13924098</v>
      </c>
      <c r="D187" s="11">
        <v>2023</v>
      </c>
      <c r="E187" s="10" t="s">
        <v>30</v>
      </c>
      <c r="F187" s="41">
        <f t="shared" si="13"/>
        <v>2.0109022501852545E-4</v>
      </c>
      <c r="G187" s="8">
        <v>6</v>
      </c>
      <c r="H187" s="36">
        <f t="shared" si="14"/>
        <v>13297.441206541351</v>
      </c>
      <c r="I187" s="37">
        <v>28</v>
      </c>
      <c r="J187" s="12">
        <v>0.12</v>
      </c>
      <c r="K187" s="12">
        <v>4</v>
      </c>
      <c r="L187" s="40">
        <f t="shared" si="15"/>
        <v>13.44</v>
      </c>
      <c r="M187" s="11">
        <v>180</v>
      </c>
      <c r="N187" s="12">
        <v>73.8</v>
      </c>
      <c r="O187" s="9">
        <f t="shared" si="16"/>
        <v>13284</v>
      </c>
      <c r="P187" s="75">
        <f t="shared" si="18"/>
        <v>95.499480156929025</v>
      </c>
      <c r="Q187" s="78">
        <f t="shared" si="17"/>
        <v>61.51858550225522</v>
      </c>
      <c r="R187" s="10" t="s">
        <v>103</v>
      </c>
      <c r="S187" s="81" t="s">
        <v>29</v>
      </c>
      <c r="T187" s="10" t="s">
        <v>33</v>
      </c>
      <c r="U187" s="4"/>
    </row>
    <row r="188" spans="1:21" ht="22.8" x14ac:dyDescent="0.3">
      <c r="A188" s="7" t="s">
        <v>96</v>
      </c>
      <c r="B188" s="7" t="s">
        <v>76</v>
      </c>
      <c r="C188" s="36">
        <v>14256567</v>
      </c>
      <c r="D188" s="8">
        <v>2024</v>
      </c>
      <c r="E188" s="7" t="s">
        <v>11</v>
      </c>
      <c r="F188" s="41">
        <f t="shared" si="13"/>
        <v>1.4730053876224199E-3</v>
      </c>
      <c r="G188" s="11">
        <v>9</v>
      </c>
      <c r="H188" s="36">
        <f t="shared" si="14"/>
        <v>4503.8532570484876</v>
      </c>
      <c r="I188" s="36">
        <v>210</v>
      </c>
      <c r="J188" s="9">
        <v>0.13300000000000001</v>
      </c>
      <c r="K188" s="9">
        <v>8</v>
      </c>
      <c r="L188" s="40">
        <f t="shared" si="15"/>
        <v>223.44</v>
      </c>
      <c r="M188" s="8">
        <v>58</v>
      </c>
      <c r="N188" s="9">
        <v>73.8</v>
      </c>
      <c r="O188" s="9">
        <f t="shared" si="16"/>
        <v>4280.3999999999996</v>
      </c>
      <c r="P188" s="75">
        <f t="shared" si="18"/>
        <v>31.591429108062886</v>
      </c>
      <c r="Q188" s="78">
        <f t="shared" si="17"/>
        <v>27.087806025682625</v>
      </c>
      <c r="R188" s="7" t="s">
        <v>106</v>
      </c>
      <c r="S188" s="80" t="s">
        <v>19</v>
      </c>
      <c r="T188" s="7" t="s">
        <v>51</v>
      </c>
      <c r="U188" s="7"/>
    </row>
    <row r="189" spans="1:21" x14ac:dyDescent="0.3">
      <c r="A189" s="10" t="s">
        <v>96</v>
      </c>
      <c r="B189" s="10" t="s">
        <v>76</v>
      </c>
      <c r="C189" s="37">
        <v>14256567</v>
      </c>
      <c r="D189" s="11">
        <v>2024</v>
      </c>
      <c r="E189" s="10" t="s">
        <v>17</v>
      </c>
      <c r="F189" s="41">
        <f t="shared" si="13"/>
        <v>2.3848658656743942E-4</v>
      </c>
      <c r="G189" s="8">
        <v>7</v>
      </c>
      <c r="H189" s="36">
        <f t="shared" si="14"/>
        <v>174.73366940610597</v>
      </c>
      <c r="I189" s="37">
        <v>34</v>
      </c>
      <c r="J189" s="12">
        <v>0.13300000000000001</v>
      </c>
      <c r="K189" s="12">
        <v>6</v>
      </c>
      <c r="L189" s="40">
        <f t="shared" si="15"/>
        <v>27.132000000000001</v>
      </c>
      <c r="M189" s="11">
        <v>2</v>
      </c>
      <c r="N189" s="12">
        <v>73.8</v>
      </c>
      <c r="O189" s="9">
        <f t="shared" si="16"/>
        <v>147.6</v>
      </c>
      <c r="P189" s="75">
        <f t="shared" si="18"/>
        <v>1.2256363639725187</v>
      </c>
      <c r="Q189" s="78">
        <f t="shared" si="17"/>
        <v>1.2181560332282126</v>
      </c>
      <c r="R189" s="10" t="s">
        <v>98</v>
      </c>
      <c r="S189" s="81" t="s">
        <v>19</v>
      </c>
      <c r="T189" s="10" t="s">
        <v>99</v>
      </c>
      <c r="U189" s="4"/>
    </row>
    <row r="190" spans="1:21" x14ac:dyDescent="0.3">
      <c r="A190" s="7" t="s">
        <v>96</v>
      </c>
      <c r="B190" s="7" t="s">
        <v>76</v>
      </c>
      <c r="C190" s="36">
        <v>14256567</v>
      </c>
      <c r="D190" s="8">
        <v>2024</v>
      </c>
      <c r="E190" s="7" t="s">
        <v>20</v>
      </c>
      <c r="F190" s="41">
        <f t="shared" si="13"/>
        <v>8.4171736435566857E-5</v>
      </c>
      <c r="G190" s="11">
        <v>7</v>
      </c>
      <c r="H190" s="36">
        <f t="shared" si="14"/>
        <v>599.97658920215508</v>
      </c>
      <c r="I190" s="36">
        <v>12</v>
      </c>
      <c r="J190" s="9">
        <v>0.13300000000000001</v>
      </c>
      <c r="K190" s="9">
        <v>6</v>
      </c>
      <c r="L190" s="40">
        <f t="shared" si="15"/>
        <v>9.5760000000000005</v>
      </c>
      <c r="M190" s="8">
        <v>8</v>
      </c>
      <c r="N190" s="9">
        <v>73.8</v>
      </c>
      <c r="O190" s="9">
        <f t="shared" si="16"/>
        <v>590.4</v>
      </c>
      <c r="P190" s="75">
        <f t="shared" si="18"/>
        <v>4.2084226111528462</v>
      </c>
      <c r="Q190" s="78">
        <f t="shared" si="17"/>
        <v>4.1210977899561403</v>
      </c>
      <c r="R190" s="7" t="s">
        <v>100</v>
      </c>
      <c r="S190" s="80" t="s">
        <v>19</v>
      </c>
      <c r="T190" s="7"/>
      <c r="U190" s="7"/>
    </row>
    <row r="191" spans="1:21" x14ac:dyDescent="0.3">
      <c r="A191" s="10" t="s">
        <v>96</v>
      </c>
      <c r="B191" s="10" t="s">
        <v>76</v>
      </c>
      <c r="C191" s="37">
        <v>14256567</v>
      </c>
      <c r="D191" s="11">
        <v>2024</v>
      </c>
      <c r="E191" s="10" t="s">
        <v>23</v>
      </c>
      <c r="F191" s="41">
        <f t="shared" si="13"/>
        <v>1.4028622739261142E-5</v>
      </c>
      <c r="G191" s="8">
        <v>8</v>
      </c>
      <c r="H191" s="36">
        <f t="shared" si="14"/>
        <v>1.8621122289819141</v>
      </c>
      <c r="I191" s="37">
        <v>2</v>
      </c>
      <c r="J191" s="12">
        <v>0.13300000000000001</v>
      </c>
      <c r="K191" s="12">
        <v>7</v>
      </c>
      <c r="L191" s="40">
        <f t="shared" si="15"/>
        <v>1.8620000000000001</v>
      </c>
      <c r="M191" s="11">
        <v>0</v>
      </c>
      <c r="N191" s="12">
        <v>73.8</v>
      </c>
      <c r="O191" s="9">
        <f t="shared" si="16"/>
        <v>0</v>
      </c>
      <c r="P191" s="75">
        <f t="shared" si="18"/>
        <v>1.3061434979275966E-2</v>
      </c>
      <c r="Q191" s="78">
        <f t="shared" si="17"/>
        <v>1.3060582010993027E-2</v>
      </c>
      <c r="R191" s="10" t="s">
        <v>101</v>
      </c>
      <c r="S191" s="81" t="s">
        <v>25</v>
      </c>
      <c r="T191" s="10"/>
      <c r="U191" s="4"/>
    </row>
    <row r="192" spans="1:21" x14ac:dyDescent="0.3">
      <c r="A192" s="7" t="s">
        <v>96</v>
      </c>
      <c r="B192" s="7" t="s">
        <v>76</v>
      </c>
      <c r="C192" s="36">
        <v>14256567</v>
      </c>
      <c r="D192" s="8">
        <v>2024</v>
      </c>
      <c r="E192" s="7" t="s">
        <v>26</v>
      </c>
      <c r="F192" s="41">
        <f t="shared" si="13"/>
        <v>2.9460107752448398E-4</v>
      </c>
      <c r="G192" s="11">
        <v>6</v>
      </c>
      <c r="H192" s="36">
        <f t="shared" si="14"/>
        <v>26.88176760646515</v>
      </c>
      <c r="I192" s="36">
        <v>42</v>
      </c>
      <c r="J192" s="9">
        <v>0.128</v>
      </c>
      <c r="K192" s="9">
        <v>5</v>
      </c>
      <c r="L192" s="40">
        <f t="shared" si="15"/>
        <v>26.880000000000003</v>
      </c>
      <c r="M192" s="8">
        <v>0</v>
      </c>
      <c r="N192" s="9">
        <v>73.8</v>
      </c>
      <c r="O192" s="9">
        <f t="shared" si="16"/>
        <v>0</v>
      </c>
      <c r="P192" s="75">
        <f t="shared" si="18"/>
        <v>0.18855708815779526</v>
      </c>
      <c r="Q192" s="78">
        <f t="shared" si="17"/>
        <v>0.18837943095961762</v>
      </c>
      <c r="R192" s="7" t="s">
        <v>102</v>
      </c>
      <c r="S192" s="80" t="s">
        <v>28</v>
      </c>
      <c r="T192" s="7"/>
      <c r="U192" s="7"/>
    </row>
    <row r="193" spans="1:21" x14ac:dyDescent="0.3">
      <c r="A193" s="10" t="s">
        <v>96</v>
      </c>
      <c r="B193" s="10" t="s">
        <v>76</v>
      </c>
      <c r="C193" s="37">
        <v>14256567</v>
      </c>
      <c r="D193" s="11">
        <v>2024</v>
      </c>
      <c r="E193" s="10" t="s">
        <v>30</v>
      </c>
      <c r="F193" s="41">
        <f t="shared" si="13"/>
        <v>1.9640071834965599E-4</v>
      </c>
      <c r="G193" s="8">
        <v>6</v>
      </c>
      <c r="H193" s="36">
        <f t="shared" si="14"/>
        <v>13297.441178404311</v>
      </c>
      <c r="I193" s="37">
        <v>28</v>
      </c>
      <c r="J193" s="12">
        <v>0.12</v>
      </c>
      <c r="K193" s="12">
        <v>4</v>
      </c>
      <c r="L193" s="40">
        <f t="shared" si="15"/>
        <v>13.44</v>
      </c>
      <c r="M193" s="11">
        <v>180</v>
      </c>
      <c r="N193" s="12">
        <v>73.8</v>
      </c>
      <c r="O193" s="9">
        <f t="shared" si="16"/>
        <v>13284</v>
      </c>
      <c r="P193" s="75">
        <f t="shared" si="18"/>
        <v>93.272392844675096</v>
      </c>
      <c r="Q193" s="78">
        <f t="shared" si="17"/>
        <v>60.651956327991428</v>
      </c>
      <c r="R193" s="10" t="s">
        <v>103</v>
      </c>
      <c r="S193" s="81" t="s">
        <v>29</v>
      </c>
      <c r="T193" s="10" t="s">
        <v>33</v>
      </c>
      <c r="U193" s="10"/>
    </row>
    <row r="194" spans="1:21" x14ac:dyDescent="0.3">
      <c r="A194" s="7" t="s">
        <v>96</v>
      </c>
      <c r="B194" s="7" t="s">
        <v>76</v>
      </c>
      <c r="C194" s="36">
        <v>14576628</v>
      </c>
      <c r="D194" s="8">
        <v>2025</v>
      </c>
      <c r="E194" s="7" t="s">
        <v>11</v>
      </c>
      <c r="F194" s="41">
        <f t="shared" ref="F194:F257" si="19">I194*100/C194</f>
        <v>1.5778683519947138E-3</v>
      </c>
      <c r="G194" s="11">
        <v>9</v>
      </c>
      <c r="H194" s="36">
        <f t="shared" ref="H194:H257" si="20">O194+L194+(G194*F194)</f>
        <v>5041.7342008151682</v>
      </c>
      <c r="I194" s="36">
        <v>230</v>
      </c>
      <c r="J194" s="9">
        <v>0.13300000000000001</v>
      </c>
      <c r="K194" s="9">
        <v>8</v>
      </c>
      <c r="L194" s="40">
        <f t="shared" si="15"/>
        <v>244.72000000000003</v>
      </c>
      <c r="M194" s="8">
        <v>65</v>
      </c>
      <c r="N194" s="9">
        <v>73.8</v>
      </c>
      <c r="O194" s="9">
        <f t="shared" si="16"/>
        <v>4797</v>
      </c>
      <c r="P194" s="75">
        <f t="shared" si="18"/>
        <v>34.587794933198325</v>
      </c>
      <c r="Q194" s="78">
        <f t="shared" si="17"/>
        <v>29.240115525192</v>
      </c>
      <c r="R194" s="7" t="s">
        <v>107</v>
      </c>
      <c r="S194" s="80" t="s">
        <v>19</v>
      </c>
      <c r="T194" s="7" t="s">
        <v>51</v>
      </c>
      <c r="U194" s="7"/>
    </row>
    <row r="195" spans="1:21" x14ac:dyDescent="0.3">
      <c r="A195" s="10" t="s">
        <v>96</v>
      </c>
      <c r="B195" s="10" t="s">
        <v>76</v>
      </c>
      <c r="C195" s="37">
        <v>14576628</v>
      </c>
      <c r="D195" s="11">
        <v>2025</v>
      </c>
      <c r="E195" s="10" t="s">
        <v>17</v>
      </c>
      <c r="F195" s="41">
        <f t="shared" si="19"/>
        <v>2.3325010420791419E-4</v>
      </c>
      <c r="G195" s="8">
        <v>7</v>
      </c>
      <c r="H195" s="36">
        <f t="shared" si="20"/>
        <v>174.73363275072944</v>
      </c>
      <c r="I195" s="37">
        <v>34</v>
      </c>
      <c r="J195" s="12">
        <v>0.13300000000000001</v>
      </c>
      <c r="K195" s="12">
        <v>6</v>
      </c>
      <c r="L195" s="40">
        <f t="shared" ref="L195:L258" si="21">I195*J195*K195</f>
        <v>27.132000000000001</v>
      </c>
      <c r="M195" s="11">
        <v>2</v>
      </c>
      <c r="N195" s="12">
        <v>73.8</v>
      </c>
      <c r="O195" s="9">
        <f t="shared" ref="O195:O258" si="22">M195*N195</f>
        <v>147.6</v>
      </c>
      <c r="P195" s="75">
        <f t="shared" si="18"/>
        <v>1.1987246484627956</v>
      </c>
      <c r="Q195" s="78">
        <f t="shared" ref="Q195:Q258" si="23">100*(1-EXP(-P195/100))</f>
        <v>1.1915685669934506</v>
      </c>
      <c r="R195" s="10" t="s">
        <v>98</v>
      </c>
      <c r="S195" s="81" t="s">
        <v>19</v>
      </c>
      <c r="T195" s="10" t="s">
        <v>99</v>
      </c>
      <c r="U195" s="4"/>
    </row>
    <row r="196" spans="1:21" x14ac:dyDescent="0.3">
      <c r="A196" s="7" t="s">
        <v>96</v>
      </c>
      <c r="B196" s="7" t="s">
        <v>76</v>
      </c>
      <c r="C196" s="36">
        <v>14576628</v>
      </c>
      <c r="D196" s="8">
        <v>2025</v>
      </c>
      <c r="E196" s="7" t="s">
        <v>20</v>
      </c>
      <c r="F196" s="41">
        <f t="shared" si="19"/>
        <v>8.2323566191028541E-5</v>
      </c>
      <c r="G196" s="11">
        <v>7</v>
      </c>
      <c r="H196" s="36">
        <f t="shared" si="20"/>
        <v>599.97657626496334</v>
      </c>
      <c r="I196" s="36">
        <v>12</v>
      </c>
      <c r="J196" s="9">
        <v>0.13300000000000001</v>
      </c>
      <c r="K196" s="9">
        <v>6</v>
      </c>
      <c r="L196" s="40">
        <f t="shared" si="21"/>
        <v>9.5760000000000005</v>
      </c>
      <c r="M196" s="8">
        <v>8</v>
      </c>
      <c r="N196" s="9">
        <v>73.8</v>
      </c>
      <c r="O196" s="9">
        <f t="shared" si="22"/>
        <v>590.4</v>
      </c>
      <c r="P196" s="75">
        <f t="shared" si="18"/>
        <v>4.1160176157679489</v>
      </c>
      <c r="Q196" s="78">
        <f t="shared" si="23"/>
        <v>4.032459948204159</v>
      </c>
      <c r="R196" s="7" t="s">
        <v>100</v>
      </c>
      <c r="S196" s="80" t="s">
        <v>19</v>
      </c>
      <c r="T196" s="7"/>
      <c r="U196" s="7"/>
    </row>
    <row r="197" spans="1:21" x14ac:dyDescent="0.3">
      <c r="A197" s="10" t="s">
        <v>96</v>
      </c>
      <c r="B197" s="10" t="s">
        <v>76</v>
      </c>
      <c r="C197" s="37">
        <v>14576628</v>
      </c>
      <c r="D197" s="11">
        <v>2025</v>
      </c>
      <c r="E197" s="10" t="s">
        <v>23</v>
      </c>
      <c r="F197" s="41">
        <f t="shared" si="19"/>
        <v>1.3720594365171424E-5</v>
      </c>
      <c r="G197" s="8">
        <v>8</v>
      </c>
      <c r="H197" s="36">
        <f t="shared" si="20"/>
        <v>1.8621097647549214</v>
      </c>
      <c r="I197" s="37">
        <v>2</v>
      </c>
      <c r="J197" s="12">
        <v>0.13300000000000001</v>
      </c>
      <c r="K197" s="12">
        <v>7</v>
      </c>
      <c r="L197" s="40">
        <f t="shared" si="21"/>
        <v>1.8620000000000001</v>
      </c>
      <c r="M197" s="11">
        <v>0</v>
      </c>
      <c r="N197" s="12">
        <v>73.8</v>
      </c>
      <c r="O197" s="9">
        <f t="shared" si="22"/>
        <v>0</v>
      </c>
      <c r="P197" s="75">
        <f t="shared" si="18"/>
        <v>1.2774626372813529E-2</v>
      </c>
      <c r="Q197" s="78">
        <f t="shared" si="23"/>
        <v>1.2773810452160195E-2</v>
      </c>
      <c r="R197" s="10" t="s">
        <v>101</v>
      </c>
      <c r="S197" s="81" t="s">
        <v>25</v>
      </c>
      <c r="T197" s="10"/>
      <c r="U197" s="4"/>
    </row>
    <row r="198" spans="1:21" x14ac:dyDescent="0.3">
      <c r="A198" s="7" t="s">
        <v>96</v>
      </c>
      <c r="B198" s="7" t="s">
        <v>76</v>
      </c>
      <c r="C198" s="36">
        <v>14576628</v>
      </c>
      <c r="D198" s="8">
        <v>2025</v>
      </c>
      <c r="E198" s="7" t="s">
        <v>26</v>
      </c>
      <c r="F198" s="41">
        <f t="shared" si="19"/>
        <v>2.8813248166859989E-4</v>
      </c>
      <c r="G198" s="11">
        <v>6</v>
      </c>
      <c r="H198" s="36">
        <f t="shared" si="20"/>
        <v>26.881728794890016</v>
      </c>
      <c r="I198" s="36">
        <v>42</v>
      </c>
      <c r="J198" s="9">
        <v>0.128</v>
      </c>
      <c r="K198" s="9">
        <v>5</v>
      </c>
      <c r="L198" s="40">
        <f t="shared" si="21"/>
        <v>26.880000000000003</v>
      </c>
      <c r="M198" s="8">
        <v>0</v>
      </c>
      <c r="N198" s="9">
        <v>73.8</v>
      </c>
      <c r="O198" s="9">
        <f t="shared" si="22"/>
        <v>0</v>
      </c>
      <c r="P198" s="75">
        <f t="shared" si="18"/>
        <v>0.18441664831461718</v>
      </c>
      <c r="Q198" s="78">
        <f t="shared" si="23"/>
        <v>0.18424670529753051</v>
      </c>
      <c r="R198" s="7" t="s">
        <v>102</v>
      </c>
      <c r="S198" s="80" t="s">
        <v>28</v>
      </c>
      <c r="T198" s="7"/>
      <c r="U198" s="7"/>
    </row>
    <row r="199" spans="1:21" x14ac:dyDescent="0.3">
      <c r="A199" s="10" t="s">
        <v>96</v>
      </c>
      <c r="B199" s="10" t="s">
        <v>76</v>
      </c>
      <c r="C199" s="37">
        <v>14576628</v>
      </c>
      <c r="D199" s="11">
        <v>2025</v>
      </c>
      <c r="E199" s="10" t="s">
        <v>30</v>
      </c>
      <c r="F199" s="41">
        <f t="shared" si="19"/>
        <v>1.9208832111239994E-4</v>
      </c>
      <c r="G199" s="8">
        <v>6</v>
      </c>
      <c r="H199" s="36">
        <f t="shared" si="20"/>
        <v>13297.441152529927</v>
      </c>
      <c r="I199" s="37">
        <v>28</v>
      </c>
      <c r="J199" s="12">
        <v>0.12</v>
      </c>
      <c r="K199" s="12">
        <v>4</v>
      </c>
      <c r="L199" s="40">
        <f t="shared" si="21"/>
        <v>13.44</v>
      </c>
      <c r="M199" s="11">
        <v>180</v>
      </c>
      <c r="N199" s="12">
        <v>73.8</v>
      </c>
      <c r="O199" s="9">
        <f t="shared" si="22"/>
        <v>13284</v>
      </c>
      <c r="P199" s="75">
        <f t="shared" si="18"/>
        <v>91.224398074300353</v>
      </c>
      <c r="Q199" s="78">
        <f t="shared" si="23"/>
        <v>59.837801988609698</v>
      </c>
      <c r="R199" s="10" t="s">
        <v>103</v>
      </c>
      <c r="S199" s="81" t="s">
        <v>29</v>
      </c>
      <c r="T199" s="10" t="s">
        <v>33</v>
      </c>
      <c r="U199" s="4"/>
    </row>
    <row r="200" spans="1:21" x14ac:dyDescent="0.3">
      <c r="A200" s="7" t="s">
        <v>108</v>
      </c>
      <c r="B200" s="7" t="s">
        <v>76</v>
      </c>
      <c r="C200" s="36">
        <v>54490406</v>
      </c>
      <c r="D200" s="8">
        <v>2015</v>
      </c>
      <c r="E200" s="7" t="s">
        <v>11</v>
      </c>
      <c r="F200" s="41" t="e">
        <f t="shared" si="19"/>
        <v>#VALUE!</v>
      </c>
      <c r="G200" s="11">
        <v>9</v>
      </c>
      <c r="H200" s="36" t="e">
        <f t="shared" si="20"/>
        <v>#VALUE!</v>
      </c>
      <c r="I200" s="73" t="s">
        <v>12</v>
      </c>
      <c r="J200" s="9">
        <v>0.13300000000000001</v>
      </c>
      <c r="K200" s="9">
        <v>8</v>
      </c>
      <c r="L200" s="40" t="e">
        <f t="shared" si="21"/>
        <v>#VALUE!</v>
      </c>
      <c r="M200" s="18" t="s">
        <v>12</v>
      </c>
      <c r="N200" s="9">
        <v>73.8</v>
      </c>
      <c r="O200" s="9" t="e">
        <f t="shared" si="22"/>
        <v>#VALUE!</v>
      </c>
      <c r="P200" s="75" t="e">
        <f t="shared" si="18"/>
        <v>#VALUE!</v>
      </c>
      <c r="Q200" s="78" t="e">
        <f t="shared" si="23"/>
        <v>#VALUE!</v>
      </c>
      <c r="R200" s="7" t="s">
        <v>109</v>
      </c>
      <c r="S200" s="80" t="s">
        <v>19</v>
      </c>
      <c r="T200" s="7"/>
      <c r="U200" s="3" t="s">
        <v>16</v>
      </c>
    </row>
    <row r="201" spans="1:21" x14ac:dyDescent="0.3">
      <c r="A201" s="10" t="s">
        <v>108</v>
      </c>
      <c r="B201" s="10" t="s">
        <v>76</v>
      </c>
      <c r="C201" s="37">
        <v>54490406</v>
      </c>
      <c r="D201" s="11">
        <v>2015</v>
      </c>
      <c r="E201" s="10" t="s">
        <v>17</v>
      </c>
      <c r="F201" s="41">
        <f t="shared" si="19"/>
        <v>5.7257785893538766E-4</v>
      </c>
      <c r="G201" s="8">
        <v>7</v>
      </c>
      <c r="H201" s="36">
        <f t="shared" si="20"/>
        <v>839.38000804501257</v>
      </c>
      <c r="I201" s="37">
        <v>312</v>
      </c>
      <c r="J201" s="12">
        <v>0.13300000000000001</v>
      </c>
      <c r="K201" s="12">
        <v>6</v>
      </c>
      <c r="L201" s="40">
        <f t="shared" si="21"/>
        <v>248.976</v>
      </c>
      <c r="M201" s="11">
        <v>8</v>
      </c>
      <c r="N201" s="12">
        <v>73.8</v>
      </c>
      <c r="O201" s="9">
        <f t="shared" si="22"/>
        <v>590.4</v>
      </c>
      <c r="P201" s="75">
        <f t="shared" si="18"/>
        <v>1.5404179738448134</v>
      </c>
      <c r="Q201" s="78">
        <f t="shared" si="23"/>
        <v>1.5286142229303579</v>
      </c>
      <c r="R201" s="10" t="s">
        <v>110</v>
      </c>
      <c r="S201" s="81" t="s">
        <v>19</v>
      </c>
      <c r="T201" s="10"/>
      <c r="U201" s="4"/>
    </row>
    <row r="202" spans="1:21" x14ac:dyDescent="0.3">
      <c r="A202" s="7" t="s">
        <v>108</v>
      </c>
      <c r="B202" s="7" t="s">
        <v>76</v>
      </c>
      <c r="C202" s="36">
        <v>54490406</v>
      </c>
      <c r="D202" s="8">
        <v>2015</v>
      </c>
      <c r="E202" s="7" t="s">
        <v>20</v>
      </c>
      <c r="F202" s="41">
        <f t="shared" si="19"/>
        <v>7.7261307247371213E-3</v>
      </c>
      <c r="G202" s="11">
        <v>7</v>
      </c>
      <c r="H202" s="36">
        <f t="shared" si="20"/>
        <v>661655.63408291503</v>
      </c>
      <c r="I202" s="36">
        <v>4210</v>
      </c>
      <c r="J202" s="9">
        <v>0.13300000000000001</v>
      </c>
      <c r="K202" s="9">
        <v>6</v>
      </c>
      <c r="L202" s="40">
        <f t="shared" si="21"/>
        <v>3359.5800000000004</v>
      </c>
      <c r="M202" s="8">
        <v>8920</v>
      </c>
      <c r="N202" s="9">
        <v>73.8</v>
      </c>
      <c r="O202" s="9">
        <f t="shared" si="22"/>
        <v>658296</v>
      </c>
      <c r="P202" s="75">
        <f t="shared" si="18"/>
        <v>1214.2607894734992</v>
      </c>
      <c r="Q202" s="78">
        <f t="shared" si="23"/>
        <v>99.999467239036832</v>
      </c>
      <c r="R202" s="7" t="s">
        <v>111</v>
      </c>
      <c r="S202" s="80" t="s">
        <v>19</v>
      </c>
      <c r="T202" s="7" t="s">
        <v>22</v>
      </c>
      <c r="U202" s="7"/>
    </row>
    <row r="203" spans="1:21" x14ac:dyDescent="0.3">
      <c r="A203" s="10" t="s">
        <v>108</v>
      </c>
      <c r="B203" s="10" t="s">
        <v>76</v>
      </c>
      <c r="C203" s="37">
        <v>54490406</v>
      </c>
      <c r="D203" s="11">
        <v>2015</v>
      </c>
      <c r="E203" s="10" t="s">
        <v>23</v>
      </c>
      <c r="F203" s="41">
        <f t="shared" si="19"/>
        <v>2.2022225343668754E-5</v>
      </c>
      <c r="G203" s="8">
        <v>8</v>
      </c>
      <c r="H203" s="36">
        <f t="shared" si="20"/>
        <v>306.37217617780277</v>
      </c>
      <c r="I203" s="37">
        <v>12</v>
      </c>
      <c r="J203" s="12">
        <v>0.13300000000000001</v>
      </c>
      <c r="K203" s="12">
        <v>7</v>
      </c>
      <c r="L203" s="40">
        <f t="shared" si="21"/>
        <v>11.172000000000001</v>
      </c>
      <c r="M203" s="11">
        <v>4</v>
      </c>
      <c r="N203" s="12">
        <v>73.8</v>
      </c>
      <c r="O203" s="9">
        <f t="shared" si="22"/>
        <v>295.2</v>
      </c>
      <c r="P203" s="75">
        <f t="shared" si="18"/>
        <v>0.56224975856814641</v>
      </c>
      <c r="Q203" s="78">
        <f t="shared" si="23"/>
        <v>0.56067209280528107</v>
      </c>
      <c r="R203" s="10" t="s">
        <v>112</v>
      </c>
      <c r="S203" s="81" t="s">
        <v>25</v>
      </c>
      <c r="T203" s="10" t="s">
        <v>15</v>
      </c>
      <c r="U203" s="4"/>
    </row>
    <row r="204" spans="1:21" x14ac:dyDescent="0.3">
      <c r="A204" s="7" t="s">
        <v>108</v>
      </c>
      <c r="B204" s="7" t="s">
        <v>76</v>
      </c>
      <c r="C204" s="36">
        <v>54490406</v>
      </c>
      <c r="D204" s="8">
        <v>2015</v>
      </c>
      <c r="E204" s="7" t="s">
        <v>26</v>
      </c>
      <c r="F204" s="41">
        <f t="shared" si="19"/>
        <v>3.3033338015503136E-2</v>
      </c>
      <c r="G204" s="11">
        <v>6</v>
      </c>
      <c r="H204" s="36">
        <f t="shared" si="20"/>
        <v>11520.198200028093</v>
      </c>
      <c r="I204" s="36">
        <v>18000</v>
      </c>
      <c r="J204" s="9">
        <v>0.128</v>
      </c>
      <c r="K204" s="9">
        <v>5</v>
      </c>
      <c r="L204" s="40">
        <f t="shared" si="21"/>
        <v>11520</v>
      </c>
      <c r="M204" s="8">
        <v>0</v>
      </c>
      <c r="N204" s="9">
        <v>73.8</v>
      </c>
      <c r="O204" s="9">
        <f t="shared" si="22"/>
        <v>0</v>
      </c>
      <c r="P204" s="75">
        <f t="shared" si="18"/>
        <v>21.14170006372882</v>
      </c>
      <c r="Q204" s="78">
        <f t="shared" si="23"/>
        <v>19.056353902484148</v>
      </c>
      <c r="R204" s="7" t="s">
        <v>113</v>
      </c>
      <c r="S204" s="80" t="s">
        <v>28</v>
      </c>
      <c r="T204" s="7"/>
      <c r="U204" s="7"/>
    </row>
    <row r="205" spans="1:21" x14ac:dyDescent="0.3">
      <c r="A205" s="10" t="s">
        <v>108</v>
      </c>
      <c r="B205" s="10" t="s">
        <v>76</v>
      </c>
      <c r="C205" s="37">
        <v>54490406</v>
      </c>
      <c r="D205" s="11">
        <v>2015</v>
      </c>
      <c r="E205" s="10" t="s">
        <v>30</v>
      </c>
      <c r="F205" s="41">
        <f t="shared" si="19"/>
        <v>6.2396305140394808E-5</v>
      </c>
      <c r="G205" s="8">
        <v>6</v>
      </c>
      <c r="H205" s="36">
        <f t="shared" si="20"/>
        <v>5329.9203743778298</v>
      </c>
      <c r="I205" s="37">
        <v>34</v>
      </c>
      <c r="J205" s="12">
        <v>0.12</v>
      </c>
      <c r="K205" s="12">
        <v>4</v>
      </c>
      <c r="L205" s="40">
        <f t="shared" si="21"/>
        <v>16.32</v>
      </c>
      <c r="M205" s="11">
        <v>72</v>
      </c>
      <c r="N205" s="12">
        <v>73.8</v>
      </c>
      <c r="O205" s="9">
        <f t="shared" si="22"/>
        <v>5313.5999999999995</v>
      </c>
      <c r="P205" s="75">
        <f t="shared" si="18"/>
        <v>9.7813922956966586</v>
      </c>
      <c r="Q205" s="78">
        <f t="shared" si="23"/>
        <v>9.318237400181772</v>
      </c>
      <c r="R205" s="10" t="s">
        <v>114</v>
      </c>
      <c r="S205" s="81" t="s">
        <v>29</v>
      </c>
      <c r="T205" s="10" t="s">
        <v>33</v>
      </c>
      <c r="U205" s="4"/>
    </row>
    <row r="206" spans="1:21" x14ac:dyDescent="0.3">
      <c r="A206" s="7" t="s">
        <v>108</v>
      </c>
      <c r="B206" s="7" t="s">
        <v>76</v>
      </c>
      <c r="C206" s="36">
        <v>55291225</v>
      </c>
      <c r="D206" s="8">
        <v>2016</v>
      </c>
      <c r="E206" s="7" t="s">
        <v>11</v>
      </c>
      <c r="F206" s="41" t="e">
        <f t="shared" si="19"/>
        <v>#VALUE!</v>
      </c>
      <c r="G206" s="11">
        <v>9</v>
      </c>
      <c r="H206" s="36" t="e">
        <f t="shared" si="20"/>
        <v>#VALUE!</v>
      </c>
      <c r="I206" s="73" t="s">
        <v>12</v>
      </c>
      <c r="J206" s="9">
        <v>0.13300000000000001</v>
      </c>
      <c r="K206" s="9">
        <v>8</v>
      </c>
      <c r="L206" s="40" t="e">
        <f t="shared" si="21"/>
        <v>#VALUE!</v>
      </c>
      <c r="M206" s="18" t="s">
        <v>12</v>
      </c>
      <c r="N206" s="9">
        <v>73.8</v>
      </c>
      <c r="O206" s="9" t="e">
        <f t="shared" si="22"/>
        <v>#VALUE!</v>
      </c>
      <c r="P206" s="75" t="e">
        <f t="shared" si="18"/>
        <v>#VALUE!</v>
      </c>
      <c r="Q206" s="78" t="e">
        <f t="shared" si="23"/>
        <v>#VALUE!</v>
      </c>
      <c r="R206" s="7" t="s">
        <v>109</v>
      </c>
      <c r="S206" s="80" t="s">
        <v>19</v>
      </c>
      <c r="T206" s="7"/>
      <c r="U206" s="3" t="s">
        <v>16</v>
      </c>
    </row>
    <row r="207" spans="1:21" x14ac:dyDescent="0.3">
      <c r="A207" s="10" t="s">
        <v>108</v>
      </c>
      <c r="B207" s="10" t="s">
        <v>76</v>
      </c>
      <c r="C207" s="37">
        <v>55291225</v>
      </c>
      <c r="D207" s="11">
        <v>2016</v>
      </c>
      <c r="E207" s="10" t="s">
        <v>17</v>
      </c>
      <c r="F207" s="41">
        <f t="shared" si="19"/>
        <v>5.6428483904995773E-4</v>
      </c>
      <c r="G207" s="8">
        <v>7</v>
      </c>
      <c r="H207" s="36">
        <f t="shared" si="20"/>
        <v>839.37994999387331</v>
      </c>
      <c r="I207" s="37">
        <v>312</v>
      </c>
      <c r="J207" s="12">
        <v>0.13300000000000001</v>
      </c>
      <c r="K207" s="12">
        <v>6</v>
      </c>
      <c r="L207" s="40">
        <f t="shared" si="21"/>
        <v>248.976</v>
      </c>
      <c r="M207" s="11">
        <v>8</v>
      </c>
      <c r="N207" s="12">
        <v>73.8</v>
      </c>
      <c r="O207" s="9">
        <f t="shared" si="22"/>
        <v>590.4</v>
      </c>
      <c r="P207" s="75">
        <f t="shared" si="18"/>
        <v>1.5181069871283794</v>
      </c>
      <c r="Q207" s="78">
        <f t="shared" si="23"/>
        <v>1.5066418340929144</v>
      </c>
      <c r="R207" s="10" t="s">
        <v>110</v>
      </c>
      <c r="S207" s="81" t="s">
        <v>19</v>
      </c>
      <c r="T207" s="10"/>
      <c r="U207" s="4"/>
    </row>
    <row r="208" spans="1:21" x14ac:dyDescent="0.3">
      <c r="A208" s="7" t="s">
        <v>108</v>
      </c>
      <c r="B208" s="7" t="s">
        <v>76</v>
      </c>
      <c r="C208" s="36">
        <v>55291225</v>
      </c>
      <c r="D208" s="8">
        <v>2016</v>
      </c>
      <c r="E208" s="7" t="s">
        <v>20</v>
      </c>
      <c r="F208" s="41">
        <f t="shared" si="19"/>
        <v>7.6142281166676987E-3</v>
      </c>
      <c r="G208" s="11">
        <v>7</v>
      </c>
      <c r="H208" s="36">
        <f t="shared" si="20"/>
        <v>661655.63329959672</v>
      </c>
      <c r="I208" s="36">
        <v>4210</v>
      </c>
      <c r="J208" s="9">
        <v>0.13300000000000001</v>
      </c>
      <c r="K208" s="9">
        <v>6</v>
      </c>
      <c r="L208" s="40">
        <f t="shared" si="21"/>
        <v>3359.5800000000004</v>
      </c>
      <c r="M208" s="8">
        <v>8920</v>
      </c>
      <c r="N208" s="9">
        <v>73.8</v>
      </c>
      <c r="O208" s="9">
        <f t="shared" si="22"/>
        <v>658296</v>
      </c>
      <c r="P208" s="75">
        <f t="shared" si="18"/>
        <v>1196.6738543043614</v>
      </c>
      <c r="Q208" s="78">
        <f t="shared" si="23"/>
        <v>99.999364798544761</v>
      </c>
      <c r="R208" s="7" t="s">
        <v>111</v>
      </c>
      <c r="S208" s="80" t="s">
        <v>19</v>
      </c>
      <c r="T208" s="7" t="s">
        <v>22</v>
      </c>
      <c r="U208" s="7"/>
    </row>
    <row r="209" spans="1:21" x14ac:dyDescent="0.3">
      <c r="A209" s="10" t="s">
        <v>108</v>
      </c>
      <c r="B209" s="10" t="s">
        <v>76</v>
      </c>
      <c r="C209" s="37">
        <v>55291225</v>
      </c>
      <c r="D209" s="11">
        <v>2016</v>
      </c>
      <c r="E209" s="10" t="s">
        <v>23</v>
      </c>
      <c r="F209" s="41">
        <f t="shared" si="19"/>
        <v>2.1703263040382992E-5</v>
      </c>
      <c r="G209" s="8">
        <v>8</v>
      </c>
      <c r="H209" s="36">
        <f t="shared" si="20"/>
        <v>306.37217362610431</v>
      </c>
      <c r="I209" s="37">
        <v>12</v>
      </c>
      <c r="J209" s="12">
        <v>0.13300000000000001</v>
      </c>
      <c r="K209" s="12">
        <v>7</v>
      </c>
      <c r="L209" s="40">
        <f t="shared" si="21"/>
        <v>11.172000000000001</v>
      </c>
      <c r="M209" s="11">
        <v>4</v>
      </c>
      <c r="N209" s="12">
        <v>73.8</v>
      </c>
      <c r="O209" s="9">
        <f t="shared" si="22"/>
        <v>295.2</v>
      </c>
      <c r="P209" s="75">
        <f t="shared" si="18"/>
        <v>0.55410632270510252</v>
      </c>
      <c r="Q209" s="78">
        <f t="shared" si="23"/>
        <v>0.55257398518688827</v>
      </c>
      <c r="R209" s="10" t="s">
        <v>112</v>
      </c>
      <c r="S209" s="81" t="s">
        <v>25</v>
      </c>
      <c r="T209" s="10" t="s">
        <v>15</v>
      </c>
      <c r="U209" s="4"/>
    </row>
    <row r="210" spans="1:21" x14ac:dyDescent="0.3">
      <c r="A210" s="7" t="s">
        <v>108</v>
      </c>
      <c r="B210" s="7" t="s">
        <v>76</v>
      </c>
      <c r="C210" s="36">
        <v>55291225</v>
      </c>
      <c r="D210" s="8">
        <v>2016</v>
      </c>
      <c r="E210" s="7" t="s">
        <v>26</v>
      </c>
      <c r="F210" s="41">
        <f t="shared" si="19"/>
        <v>3.2554894560574484E-2</v>
      </c>
      <c r="G210" s="11">
        <v>6</v>
      </c>
      <c r="H210" s="36">
        <f t="shared" si="20"/>
        <v>11520.195329367363</v>
      </c>
      <c r="I210" s="36">
        <v>18000</v>
      </c>
      <c r="J210" s="9">
        <v>0.128</v>
      </c>
      <c r="K210" s="9">
        <v>5</v>
      </c>
      <c r="L210" s="40">
        <f t="shared" si="21"/>
        <v>11520</v>
      </c>
      <c r="M210" s="8">
        <v>0</v>
      </c>
      <c r="N210" s="9">
        <v>73.8</v>
      </c>
      <c r="O210" s="9">
        <f t="shared" si="22"/>
        <v>0</v>
      </c>
      <c r="P210" s="75">
        <f t="shared" si="18"/>
        <v>20.835485792487621</v>
      </c>
      <c r="Q210" s="78">
        <f t="shared" si="23"/>
        <v>18.808113025948781</v>
      </c>
      <c r="R210" s="7" t="s">
        <v>113</v>
      </c>
      <c r="S210" s="80" t="s">
        <v>28</v>
      </c>
      <c r="T210" s="7"/>
      <c r="U210" s="7"/>
    </row>
    <row r="211" spans="1:21" x14ac:dyDescent="0.3">
      <c r="A211" s="10" t="s">
        <v>108</v>
      </c>
      <c r="B211" s="10" t="s">
        <v>76</v>
      </c>
      <c r="C211" s="37">
        <v>55291225</v>
      </c>
      <c r="D211" s="11">
        <v>2016</v>
      </c>
      <c r="E211" s="10" t="s">
        <v>30</v>
      </c>
      <c r="F211" s="41">
        <f t="shared" si="19"/>
        <v>6.1492578614418477E-5</v>
      </c>
      <c r="G211" s="8">
        <v>6</v>
      </c>
      <c r="H211" s="36">
        <f t="shared" si="20"/>
        <v>5329.9203689554706</v>
      </c>
      <c r="I211" s="37">
        <v>34</v>
      </c>
      <c r="J211" s="12">
        <v>0.12</v>
      </c>
      <c r="K211" s="12">
        <v>4</v>
      </c>
      <c r="L211" s="40">
        <f t="shared" si="21"/>
        <v>16.32</v>
      </c>
      <c r="M211" s="11">
        <v>72</v>
      </c>
      <c r="N211" s="12">
        <v>73.8</v>
      </c>
      <c r="O211" s="9">
        <f t="shared" si="22"/>
        <v>5313.5999999999995</v>
      </c>
      <c r="P211" s="75">
        <f t="shared" si="18"/>
        <v>9.6397219793113127</v>
      </c>
      <c r="Q211" s="78">
        <f t="shared" si="23"/>
        <v>9.1896772158950988</v>
      </c>
      <c r="R211" s="10" t="s">
        <v>114</v>
      </c>
      <c r="S211" s="81" t="s">
        <v>29</v>
      </c>
      <c r="T211" s="10" t="s">
        <v>33</v>
      </c>
      <c r="U211" s="4"/>
    </row>
    <row r="212" spans="1:21" x14ac:dyDescent="0.3">
      <c r="A212" s="7" t="s">
        <v>108</v>
      </c>
      <c r="B212" s="7" t="s">
        <v>76</v>
      </c>
      <c r="C212" s="36">
        <v>56015738</v>
      </c>
      <c r="D212" s="8">
        <v>2017</v>
      </c>
      <c r="E212" s="7" t="s">
        <v>11</v>
      </c>
      <c r="F212" s="41" t="e">
        <f t="shared" si="19"/>
        <v>#VALUE!</v>
      </c>
      <c r="G212" s="11">
        <v>9</v>
      </c>
      <c r="H212" s="36" t="e">
        <f t="shared" si="20"/>
        <v>#VALUE!</v>
      </c>
      <c r="I212" s="73" t="s">
        <v>12</v>
      </c>
      <c r="J212" s="9">
        <v>0.13300000000000001</v>
      </c>
      <c r="K212" s="9">
        <v>8</v>
      </c>
      <c r="L212" s="40" t="e">
        <f t="shared" si="21"/>
        <v>#VALUE!</v>
      </c>
      <c r="M212" s="18" t="s">
        <v>12</v>
      </c>
      <c r="N212" s="9">
        <v>73.8</v>
      </c>
      <c r="O212" s="9" t="e">
        <f t="shared" si="22"/>
        <v>#VALUE!</v>
      </c>
      <c r="P212" s="75" t="e">
        <f t="shared" si="18"/>
        <v>#VALUE!</v>
      </c>
      <c r="Q212" s="78" t="e">
        <f t="shared" si="23"/>
        <v>#VALUE!</v>
      </c>
      <c r="R212" s="7" t="s">
        <v>109</v>
      </c>
      <c r="S212" s="80" t="s">
        <v>19</v>
      </c>
      <c r="T212" s="7"/>
      <c r="U212" s="3" t="s">
        <v>16</v>
      </c>
    </row>
    <row r="213" spans="1:21" x14ac:dyDescent="0.3">
      <c r="A213" s="10" t="s">
        <v>108</v>
      </c>
      <c r="B213" s="10" t="s">
        <v>76</v>
      </c>
      <c r="C213" s="37">
        <v>56015738</v>
      </c>
      <c r="D213" s="11">
        <v>2017</v>
      </c>
      <c r="E213" s="10" t="s">
        <v>17</v>
      </c>
      <c r="F213" s="41">
        <f t="shared" si="19"/>
        <v>5.5698632409341821E-4</v>
      </c>
      <c r="G213" s="8">
        <v>7</v>
      </c>
      <c r="H213" s="36">
        <f t="shared" si="20"/>
        <v>839.37989890426866</v>
      </c>
      <c r="I213" s="37">
        <v>312</v>
      </c>
      <c r="J213" s="12">
        <v>0.13300000000000001</v>
      </c>
      <c r="K213" s="12">
        <v>6</v>
      </c>
      <c r="L213" s="40">
        <f t="shared" si="21"/>
        <v>248.976</v>
      </c>
      <c r="M213" s="11">
        <v>8</v>
      </c>
      <c r="N213" s="12">
        <v>73.8</v>
      </c>
      <c r="O213" s="9">
        <f t="shared" si="22"/>
        <v>590.4</v>
      </c>
      <c r="P213" s="75">
        <f t="shared" si="18"/>
        <v>1.4984715525916461</v>
      </c>
      <c r="Q213" s="78">
        <f t="shared" si="23"/>
        <v>1.4873003363957915</v>
      </c>
      <c r="R213" s="10" t="s">
        <v>110</v>
      </c>
      <c r="S213" s="81" t="s">
        <v>19</v>
      </c>
      <c r="T213" s="10"/>
      <c r="U213" s="4"/>
    </row>
    <row r="214" spans="1:21" x14ac:dyDescent="0.3">
      <c r="A214" s="7" t="s">
        <v>108</v>
      </c>
      <c r="B214" s="7" t="s">
        <v>76</v>
      </c>
      <c r="C214" s="36">
        <v>56015738</v>
      </c>
      <c r="D214" s="8">
        <v>2017</v>
      </c>
      <c r="E214" s="7" t="s">
        <v>20</v>
      </c>
      <c r="F214" s="41">
        <f t="shared" si="19"/>
        <v>7.5157449501067003E-3</v>
      </c>
      <c r="G214" s="11">
        <v>7</v>
      </c>
      <c r="H214" s="36">
        <f t="shared" si="20"/>
        <v>661655.63261021464</v>
      </c>
      <c r="I214" s="36">
        <v>4210</v>
      </c>
      <c r="J214" s="9">
        <v>0.13300000000000001</v>
      </c>
      <c r="K214" s="9">
        <v>6</v>
      </c>
      <c r="L214" s="40">
        <f t="shared" si="21"/>
        <v>3359.5800000000004</v>
      </c>
      <c r="M214" s="8">
        <v>8920</v>
      </c>
      <c r="N214" s="9">
        <v>73.8</v>
      </c>
      <c r="O214" s="9">
        <f t="shared" si="22"/>
        <v>658296</v>
      </c>
      <c r="P214" s="75">
        <f t="shared" si="18"/>
        <v>1181.195957125861</v>
      </c>
      <c r="Q214" s="78">
        <f t="shared" si="23"/>
        <v>99.999258465881965</v>
      </c>
      <c r="R214" s="7" t="s">
        <v>111</v>
      </c>
      <c r="S214" s="80" t="s">
        <v>19</v>
      </c>
      <c r="T214" s="7" t="s">
        <v>22</v>
      </c>
      <c r="U214" s="7"/>
    </row>
    <row r="215" spans="1:21" x14ac:dyDescent="0.3">
      <c r="A215" s="10" t="s">
        <v>108</v>
      </c>
      <c r="B215" s="10" t="s">
        <v>76</v>
      </c>
      <c r="C215" s="37">
        <v>56015738</v>
      </c>
      <c r="D215" s="11">
        <v>2017</v>
      </c>
      <c r="E215" s="10" t="s">
        <v>23</v>
      </c>
      <c r="F215" s="41">
        <f t="shared" si="19"/>
        <v>2.1422550926669928E-5</v>
      </c>
      <c r="G215" s="8">
        <v>8</v>
      </c>
      <c r="H215" s="36">
        <f t="shared" si="20"/>
        <v>306.37217138040745</v>
      </c>
      <c r="I215" s="37">
        <v>12</v>
      </c>
      <c r="J215" s="12">
        <v>0.13300000000000001</v>
      </c>
      <c r="K215" s="12">
        <v>7</v>
      </c>
      <c r="L215" s="40">
        <f t="shared" si="21"/>
        <v>11.172000000000001</v>
      </c>
      <c r="M215" s="11">
        <v>4</v>
      </c>
      <c r="N215" s="12">
        <v>73.8</v>
      </c>
      <c r="O215" s="9">
        <f t="shared" si="22"/>
        <v>295.2</v>
      </c>
      <c r="P215" s="75">
        <f t="shared" si="18"/>
        <v>0.54693945365926888</v>
      </c>
      <c r="Q215" s="78">
        <f t="shared" si="23"/>
        <v>0.54544646298791966</v>
      </c>
      <c r="R215" s="10" t="s">
        <v>112</v>
      </c>
      <c r="S215" s="81" t="s">
        <v>25</v>
      </c>
      <c r="T215" s="10" t="s">
        <v>15</v>
      </c>
      <c r="U215" s="4"/>
    </row>
    <row r="216" spans="1:21" x14ac:dyDescent="0.3">
      <c r="A216" s="7" t="s">
        <v>108</v>
      </c>
      <c r="B216" s="7" t="s">
        <v>76</v>
      </c>
      <c r="C216" s="36">
        <v>56015738</v>
      </c>
      <c r="D216" s="8">
        <v>2017</v>
      </c>
      <c r="E216" s="7" t="s">
        <v>26</v>
      </c>
      <c r="F216" s="41">
        <f t="shared" si="19"/>
        <v>3.2133826390004894E-2</v>
      </c>
      <c r="G216" s="11">
        <v>6</v>
      </c>
      <c r="H216" s="36">
        <f t="shared" si="20"/>
        <v>11520.19280295834</v>
      </c>
      <c r="I216" s="36">
        <v>18000</v>
      </c>
      <c r="J216" s="9">
        <v>0.128</v>
      </c>
      <c r="K216" s="9">
        <v>5</v>
      </c>
      <c r="L216" s="40">
        <f t="shared" si="21"/>
        <v>11520</v>
      </c>
      <c r="M216" s="8">
        <v>0</v>
      </c>
      <c r="N216" s="9">
        <v>73.8</v>
      </c>
      <c r="O216" s="9">
        <f t="shared" si="22"/>
        <v>0</v>
      </c>
      <c r="P216" s="75">
        <f t="shared" si="18"/>
        <v>20.565993083869287</v>
      </c>
      <c r="Q216" s="78">
        <f t="shared" si="23"/>
        <v>18.589011712135793</v>
      </c>
      <c r="R216" s="7" t="s">
        <v>113</v>
      </c>
      <c r="S216" s="80" t="s">
        <v>28</v>
      </c>
      <c r="T216" s="7"/>
      <c r="U216" s="7"/>
    </row>
    <row r="217" spans="1:21" x14ac:dyDescent="0.3">
      <c r="A217" s="10" t="s">
        <v>108</v>
      </c>
      <c r="B217" s="10" t="s">
        <v>76</v>
      </c>
      <c r="C217" s="37">
        <v>56015738</v>
      </c>
      <c r="D217" s="11">
        <v>2017</v>
      </c>
      <c r="E217" s="10" t="s">
        <v>30</v>
      </c>
      <c r="F217" s="41">
        <f t="shared" si="19"/>
        <v>6.0697227625564798E-5</v>
      </c>
      <c r="G217" s="8">
        <v>6</v>
      </c>
      <c r="H217" s="36">
        <f t="shared" si="20"/>
        <v>5329.9203641833647</v>
      </c>
      <c r="I217" s="37">
        <v>34</v>
      </c>
      <c r="J217" s="12">
        <v>0.12</v>
      </c>
      <c r="K217" s="12">
        <v>4</v>
      </c>
      <c r="L217" s="40">
        <f t="shared" si="21"/>
        <v>16.32</v>
      </c>
      <c r="M217" s="11">
        <v>72</v>
      </c>
      <c r="N217" s="12">
        <v>73.8</v>
      </c>
      <c r="O217" s="9">
        <f t="shared" si="22"/>
        <v>5313.5999999999995</v>
      </c>
      <c r="P217" s="75">
        <f t="shared" si="18"/>
        <v>9.51504086973444</v>
      </c>
      <c r="Q217" s="78">
        <f t="shared" si="23"/>
        <v>9.0763832844487631</v>
      </c>
      <c r="R217" s="10" t="s">
        <v>114</v>
      </c>
      <c r="S217" s="81" t="s">
        <v>29</v>
      </c>
      <c r="T217" s="10" t="s">
        <v>33</v>
      </c>
      <c r="U217" s="4"/>
    </row>
    <row r="218" spans="1:21" x14ac:dyDescent="0.3">
      <c r="A218" s="7" t="s">
        <v>108</v>
      </c>
      <c r="B218" s="7" t="s">
        <v>76</v>
      </c>
      <c r="C218" s="36">
        <v>56717156</v>
      </c>
      <c r="D218" s="8">
        <v>2018</v>
      </c>
      <c r="E218" s="7" t="s">
        <v>11</v>
      </c>
      <c r="F218" s="41" t="e">
        <f t="shared" si="19"/>
        <v>#VALUE!</v>
      </c>
      <c r="G218" s="11">
        <v>9</v>
      </c>
      <c r="H218" s="36" t="e">
        <f t="shared" si="20"/>
        <v>#VALUE!</v>
      </c>
      <c r="I218" s="73" t="s">
        <v>12</v>
      </c>
      <c r="J218" s="9">
        <v>0.13300000000000001</v>
      </c>
      <c r="K218" s="9">
        <v>8</v>
      </c>
      <c r="L218" s="40" t="e">
        <f t="shared" si="21"/>
        <v>#VALUE!</v>
      </c>
      <c r="M218" s="18" t="s">
        <v>12</v>
      </c>
      <c r="N218" s="9">
        <v>73.8</v>
      </c>
      <c r="O218" s="9" t="e">
        <f t="shared" si="22"/>
        <v>#VALUE!</v>
      </c>
      <c r="P218" s="75" t="e">
        <f t="shared" si="18"/>
        <v>#VALUE!</v>
      </c>
      <c r="Q218" s="78" t="e">
        <f t="shared" si="23"/>
        <v>#VALUE!</v>
      </c>
      <c r="R218" s="7" t="s">
        <v>109</v>
      </c>
      <c r="S218" s="80" t="s">
        <v>19</v>
      </c>
      <c r="T218" s="7"/>
      <c r="U218" s="3" t="s">
        <v>16</v>
      </c>
    </row>
    <row r="219" spans="1:21" x14ac:dyDescent="0.3">
      <c r="A219" s="10" t="s">
        <v>108</v>
      </c>
      <c r="B219" s="10" t="s">
        <v>76</v>
      </c>
      <c r="C219" s="37">
        <v>56717156</v>
      </c>
      <c r="D219" s="11">
        <v>2018</v>
      </c>
      <c r="E219" s="10" t="s">
        <v>17</v>
      </c>
      <c r="F219" s="41">
        <f t="shared" si="19"/>
        <v>5.5009810435487983E-4</v>
      </c>
      <c r="G219" s="8">
        <v>7</v>
      </c>
      <c r="H219" s="36">
        <f t="shared" si="20"/>
        <v>839.37985068673049</v>
      </c>
      <c r="I219" s="37">
        <v>312</v>
      </c>
      <c r="J219" s="12">
        <v>0.13300000000000001</v>
      </c>
      <c r="K219" s="12">
        <v>6</v>
      </c>
      <c r="L219" s="40">
        <f t="shared" si="21"/>
        <v>248.976</v>
      </c>
      <c r="M219" s="11">
        <v>8</v>
      </c>
      <c r="N219" s="12">
        <v>73.8</v>
      </c>
      <c r="O219" s="9">
        <f t="shared" si="22"/>
        <v>590.4</v>
      </c>
      <c r="P219" s="75">
        <f t="shared" si="18"/>
        <v>1.4799399509501683</v>
      </c>
      <c r="Q219" s="78">
        <f t="shared" si="23"/>
        <v>1.4690426636605358</v>
      </c>
      <c r="R219" s="10" t="s">
        <v>110</v>
      </c>
      <c r="S219" s="81" t="s">
        <v>19</v>
      </c>
      <c r="T219" s="10"/>
      <c r="U219" s="4"/>
    </row>
    <row r="220" spans="1:21" x14ac:dyDescent="0.3">
      <c r="A220" s="7" t="s">
        <v>108</v>
      </c>
      <c r="B220" s="7" t="s">
        <v>76</v>
      </c>
      <c r="C220" s="36">
        <v>56717156</v>
      </c>
      <c r="D220" s="8">
        <v>2018</v>
      </c>
      <c r="E220" s="7" t="s">
        <v>20</v>
      </c>
      <c r="F220" s="41">
        <f t="shared" si="19"/>
        <v>7.4227981388911672E-3</v>
      </c>
      <c r="G220" s="11">
        <v>7</v>
      </c>
      <c r="H220" s="36">
        <f t="shared" si="20"/>
        <v>661655.63195958699</v>
      </c>
      <c r="I220" s="36">
        <v>4210</v>
      </c>
      <c r="J220" s="9">
        <v>0.13300000000000001</v>
      </c>
      <c r="K220" s="9">
        <v>6</v>
      </c>
      <c r="L220" s="40">
        <f t="shared" si="21"/>
        <v>3359.5800000000004</v>
      </c>
      <c r="M220" s="8">
        <v>8920</v>
      </c>
      <c r="N220" s="9">
        <v>73.8</v>
      </c>
      <c r="O220" s="9">
        <f t="shared" si="22"/>
        <v>658296</v>
      </c>
      <c r="P220" s="75">
        <f t="shared" si="18"/>
        <v>1166.588169476599</v>
      </c>
      <c r="Q220" s="78">
        <f t="shared" si="23"/>
        <v>99.999141832716859</v>
      </c>
      <c r="R220" s="7" t="s">
        <v>111</v>
      </c>
      <c r="S220" s="80" t="s">
        <v>19</v>
      </c>
      <c r="T220" s="7" t="s">
        <v>22</v>
      </c>
      <c r="U220" s="7"/>
    </row>
    <row r="221" spans="1:21" x14ac:dyDescent="0.3">
      <c r="A221" s="10" t="s">
        <v>108</v>
      </c>
      <c r="B221" s="10" t="s">
        <v>76</v>
      </c>
      <c r="C221" s="37">
        <v>56717156</v>
      </c>
      <c r="D221" s="11">
        <v>2018</v>
      </c>
      <c r="E221" s="10" t="s">
        <v>23</v>
      </c>
      <c r="F221" s="41">
        <f t="shared" si="19"/>
        <v>2.115761939826461E-5</v>
      </c>
      <c r="G221" s="8">
        <v>8</v>
      </c>
      <c r="H221" s="36">
        <f t="shared" si="20"/>
        <v>306.37216926095522</v>
      </c>
      <c r="I221" s="37">
        <v>12</v>
      </c>
      <c r="J221" s="12">
        <v>0.13300000000000001</v>
      </c>
      <c r="K221" s="12">
        <v>7</v>
      </c>
      <c r="L221" s="40">
        <f t="shared" si="21"/>
        <v>11.172000000000001</v>
      </c>
      <c r="M221" s="11">
        <v>4</v>
      </c>
      <c r="N221" s="12">
        <v>73.8</v>
      </c>
      <c r="O221" s="9">
        <f t="shared" si="22"/>
        <v>295.2</v>
      </c>
      <c r="P221" s="75">
        <f t="shared" ref="P221:P284" si="24">H221/C221*100000</f>
        <v>0.54017547928699949</v>
      </c>
      <c r="Q221" s="78">
        <f t="shared" si="23"/>
        <v>0.5387191549604875</v>
      </c>
      <c r="R221" s="10" t="s">
        <v>112</v>
      </c>
      <c r="S221" s="81" t="s">
        <v>25</v>
      </c>
      <c r="T221" s="10" t="s">
        <v>15</v>
      </c>
      <c r="U221" s="10"/>
    </row>
    <row r="222" spans="1:21" x14ac:dyDescent="0.3">
      <c r="A222" s="7" t="s">
        <v>108</v>
      </c>
      <c r="B222" s="7" t="s">
        <v>76</v>
      </c>
      <c r="C222" s="36">
        <v>56717156</v>
      </c>
      <c r="D222" s="8">
        <v>2018</v>
      </c>
      <c r="E222" s="7" t="s">
        <v>26</v>
      </c>
      <c r="F222" s="41">
        <f t="shared" si="19"/>
        <v>3.1736429097396913E-2</v>
      </c>
      <c r="G222" s="11">
        <v>6</v>
      </c>
      <c r="H222" s="36">
        <f t="shared" si="20"/>
        <v>11520.190418574584</v>
      </c>
      <c r="I222" s="36">
        <v>18000</v>
      </c>
      <c r="J222" s="9">
        <v>0.128</v>
      </c>
      <c r="K222" s="9">
        <v>5</v>
      </c>
      <c r="L222" s="40">
        <f t="shared" si="21"/>
        <v>11520</v>
      </c>
      <c r="M222" s="8">
        <v>0</v>
      </c>
      <c r="N222" s="9">
        <v>73.8</v>
      </c>
      <c r="O222" s="9">
        <f t="shared" si="22"/>
        <v>0</v>
      </c>
      <c r="P222" s="75">
        <f t="shared" si="24"/>
        <v>20.311650355977978</v>
      </c>
      <c r="Q222" s="78">
        <f t="shared" si="23"/>
        <v>18.381685235579738</v>
      </c>
      <c r="R222" s="7" t="s">
        <v>113</v>
      </c>
      <c r="S222" s="80" t="s">
        <v>28</v>
      </c>
      <c r="T222" s="7"/>
      <c r="U222" s="7"/>
    </row>
    <row r="223" spans="1:21" x14ac:dyDescent="0.3">
      <c r="A223" s="10" t="s">
        <v>108</v>
      </c>
      <c r="B223" s="10" t="s">
        <v>76</v>
      </c>
      <c r="C223" s="37">
        <v>56717156</v>
      </c>
      <c r="D223" s="11">
        <v>2018</v>
      </c>
      <c r="E223" s="10" t="s">
        <v>30</v>
      </c>
      <c r="F223" s="41">
        <f t="shared" si="19"/>
        <v>5.9946588295083063E-5</v>
      </c>
      <c r="G223" s="8">
        <v>6</v>
      </c>
      <c r="H223" s="36">
        <f t="shared" si="20"/>
        <v>5329.9203596795287</v>
      </c>
      <c r="I223" s="37">
        <v>34</v>
      </c>
      <c r="J223" s="12">
        <v>0.12</v>
      </c>
      <c r="K223" s="12">
        <v>4</v>
      </c>
      <c r="L223" s="40">
        <f t="shared" si="21"/>
        <v>16.32</v>
      </c>
      <c r="M223" s="11">
        <v>72</v>
      </c>
      <c r="N223" s="12">
        <v>73.8</v>
      </c>
      <c r="O223" s="9">
        <f t="shared" si="22"/>
        <v>5313.5999999999995</v>
      </c>
      <c r="P223" s="75">
        <f t="shared" si="24"/>
        <v>9.3973688660967571</v>
      </c>
      <c r="Q223" s="78">
        <f t="shared" si="23"/>
        <v>8.9693286685769369</v>
      </c>
      <c r="R223" s="10" t="s">
        <v>114</v>
      </c>
      <c r="S223" s="81" t="s">
        <v>29</v>
      </c>
      <c r="T223" s="10" t="s">
        <v>33</v>
      </c>
      <c r="U223" s="4"/>
    </row>
    <row r="224" spans="1:21" x14ac:dyDescent="0.3">
      <c r="A224" s="7" t="s">
        <v>108</v>
      </c>
      <c r="B224" s="7" t="s">
        <v>76</v>
      </c>
      <c r="C224" s="36">
        <v>57779622</v>
      </c>
      <c r="D224" s="8">
        <v>2019</v>
      </c>
      <c r="E224" s="7" t="s">
        <v>11</v>
      </c>
      <c r="F224" s="41" t="e">
        <f t="shared" si="19"/>
        <v>#VALUE!</v>
      </c>
      <c r="G224" s="11">
        <v>9</v>
      </c>
      <c r="H224" s="36" t="e">
        <f t="shared" si="20"/>
        <v>#VALUE!</v>
      </c>
      <c r="I224" s="73" t="s">
        <v>12</v>
      </c>
      <c r="J224" s="9">
        <v>0.13300000000000001</v>
      </c>
      <c r="K224" s="9">
        <v>8</v>
      </c>
      <c r="L224" s="40" t="e">
        <f t="shared" si="21"/>
        <v>#VALUE!</v>
      </c>
      <c r="M224" s="18" t="s">
        <v>12</v>
      </c>
      <c r="N224" s="9">
        <v>73.8</v>
      </c>
      <c r="O224" s="9" t="e">
        <f t="shared" si="22"/>
        <v>#VALUE!</v>
      </c>
      <c r="P224" s="75" t="e">
        <f t="shared" si="24"/>
        <v>#VALUE!</v>
      </c>
      <c r="Q224" s="78" t="e">
        <f t="shared" si="23"/>
        <v>#VALUE!</v>
      </c>
      <c r="R224" s="7" t="s">
        <v>109</v>
      </c>
      <c r="S224" s="80" t="s">
        <v>19</v>
      </c>
      <c r="T224" s="7"/>
      <c r="U224" s="3" t="s">
        <v>16</v>
      </c>
    </row>
    <row r="225" spans="1:21" x14ac:dyDescent="0.3">
      <c r="A225" s="10" t="s">
        <v>108</v>
      </c>
      <c r="B225" s="10" t="s">
        <v>76</v>
      </c>
      <c r="C225" s="37">
        <v>57779622</v>
      </c>
      <c r="D225" s="11">
        <v>2019</v>
      </c>
      <c r="E225" s="10" t="s">
        <v>17</v>
      </c>
      <c r="F225" s="41">
        <f t="shared" si="19"/>
        <v>5.3998276416553916E-4</v>
      </c>
      <c r="G225" s="8">
        <v>7</v>
      </c>
      <c r="H225" s="36">
        <f t="shared" si="20"/>
        <v>839.37977987934914</v>
      </c>
      <c r="I225" s="37">
        <v>312</v>
      </c>
      <c r="J225" s="12">
        <v>0.13300000000000001</v>
      </c>
      <c r="K225" s="12">
        <v>6</v>
      </c>
      <c r="L225" s="40">
        <f t="shared" si="21"/>
        <v>248.976</v>
      </c>
      <c r="M225" s="11">
        <v>8</v>
      </c>
      <c r="N225" s="12">
        <v>73.8</v>
      </c>
      <c r="O225" s="9">
        <f t="shared" si="22"/>
        <v>590.4</v>
      </c>
      <c r="P225" s="75">
        <f t="shared" si="24"/>
        <v>1.452726326038182</v>
      </c>
      <c r="Q225" s="78">
        <f t="shared" si="23"/>
        <v>1.4422251696682209</v>
      </c>
      <c r="R225" s="10" t="s">
        <v>110</v>
      </c>
      <c r="S225" s="81" t="s">
        <v>19</v>
      </c>
      <c r="T225" s="10"/>
      <c r="U225" s="4"/>
    </row>
    <row r="226" spans="1:21" x14ac:dyDescent="0.3">
      <c r="A226" s="7" t="s">
        <v>108</v>
      </c>
      <c r="B226" s="7" t="s">
        <v>76</v>
      </c>
      <c r="C226" s="36">
        <v>57779622</v>
      </c>
      <c r="D226" s="8">
        <v>2019</v>
      </c>
      <c r="E226" s="7" t="s">
        <v>20</v>
      </c>
      <c r="F226" s="41">
        <f t="shared" si="19"/>
        <v>7.2863058882593592E-3</v>
      </c>
      <c r="G226" s="11">
        <v>7</v>
      </c>
      <c r="H226" s="36">
        <f t="shared" si="20"/>
        <v>661655.63100414118</v>
      </c>
      <c r="I226" s="36">
        <v>4210</v>
      </c>
      <c r="J226" s="9">
        <v>0.13300000000000001</v>
      </c>
      <c r="K226" s="9">
        <v>6</v>
      </c>
      <c r="L226" s="40">
        <f t="shared" si="21"/>
        <v>3359.5800000000004</v>
      </c>
      <c r="M226" s="8">
        <v>8920</v>
      </c>
      <c r="N226" s="9">
        <v>73.8</v>
      </c>
      <c r="O226" s="9">
        <f t="shared" si="22"/>
        <v>658296</v>
      </c>
      <c r="P226" s="75">
        <f t="shared" si="24"/>
        <v>1145.1366556259941</v>
      </c>
      <c r="Q226" s="78">
        <f t="shared" si="23"/>
        <v>99.99893650685631</v>
      </c>
      <c r="R226" s="7" t="s">
        <v>111</v>
      </c>
      <c r="S226" s="80" t="s">
        <v>19</v>
      </c>
      <c r="T226" s="7" t="s">
        <v>22</v>
      </c>
      <c r="U226" s="7"/>
    </row>
    <row r="227" spans="1:21" x14ac:dyDescent="0.3">
      <c r="A227" s="10" t="s">
        <v>108</v>
      </c>
      <c r="B227" s="10" t="s">
        <v>76</v>
      </c>
      <c r="C227" s="37">
        <v>57779622</v>
      </c>
      <c r="D227" s="11">
        <v>2019</v>
      </c>
      <c r="E227" s="10" t="s">
        <v>23</v>
      </c>
      <c r="F227" s="41">
        <f t="shared" si="19"/>
        <v>2.0768567852520738E-5</v>
      </c>
      <c r="G227" s="8">
        <v>8</v>
      </c>
      <c r="H227" s="36">
        <f t="shared" si="20"/>
        <v>306.37216614854282</v>
      </c>
      <c r="I227" s="37">
        <v>12</v>
      </c>
      <c r="J227" s="12">
        <v>0.13300000000000001</v>
      </c>
      <c r="K227" s="12">
        <v>7</v>
      </c>
      <c r="L227" s="40">
        <f t="shared" si="21"/>
        <v>11.172000000000001</v>
      </c>
      <c r="M227" s="11">
        <v>4</v>
      </c>
      <c r="N227" s="12">
        <v>73.8</v>
      </c>
      <c r="O227" s="9">
        <f t="shared" si="22"/>
        <v>295.2</v>
      </c>
      <c r="P227" s="75">
        <f t="shared" si="24"/>
        <v>0.53024259339831403</v>
      </c>
      <c r="Q227" s="78">
        <f t="shared" si="23"/>
        <v>0.52883928876092945</v>
      </c>
      <c r="R227" s="10" t="s">
        <v>112</v>
      </c>
      <c r="S227" s="81" t="s">
        <v>25</v>
      </c>
      <c r="T227" s="10" t="s">
        <v>15</v>
      </c>
      <c r="U227" s="4"/>
    </row>
    <row r="228" spans="1:21" x14ac:dyDescent="0.3">
      <c r="A228" s="7" t="s">
        <v>108</v>
      </c>
      <c r="B228" s="7" t="s">
        <v>76</v>
      </c>
      <c r="C228" s="36">
        <v>57779622</v>
      </c>
      <c r="D228" s="8">
        <v>2019</v>
      </c>
      <c r="E228" s="7" t="s">
        <v>26</v>
      </c>
      <c r="F228" s="41">
        <f t="shared" si="19"/>
        <v>3.1152851778781108E-2</v>
      </c>
      <c r="G228" s="11">
        <v>6</v>
      </c>
      <c r="H228" s="36">
        <f t="shared" si="20"/>
        <v>11520.186917110672</v>
      </c>
      <c r="I228" s="36">
        <v>18000</v>
      </c>
      <c r="J228" s="9">
        <v>0.128</v>
      </c>
      <c r="K228" s="9">
        <v>5</v>
      </c>
      <c r="L228" s="40">
        <f t="shared" si="21"/>
        <v>11520</v>
      </c>
      <c r="M228" s="8">
        <v>0</v>
      </c>
      <c r="N228" s="9">
        <v>73.8</v>
      </c>
      <c r="O228" s="9">
        <f t="shared" si="22"/>
        <v>0</v>
      </c>
      <c r="P228" s="75">
        <f t="shared" si="24"/>
        <v>19.938148638477891</v>
      </c>
      <c r="Q228" s="78">
        <f t="shared" si="23"/>
        <v>18.076269416529968</v>
      </c>
      <c r="R228" s="7" t="s">
        <v>113</v>
      </c>
      <c r="S228" s="80" t="s">
        <v>28</v>
      </c>
      <c r="T228" s="7"/>
      <c r="U228" s="7"/>
    </row>
    <row r="229" spans="1:21" x14ac:dyDescent="0.3">
      <c r="A229" s="10" t="s">
        <v>108</v>
      </c>
      <c r="B229" s="10" t="s">
        <v>76</v>
      </c>
      <c r="C229" s="37">
        <v>57779622</v>
      </c>
      <c r="D229" s="11">
        <v>2019</v>
      </c>
      <c r="E229" s="10" t="s">
        <v>30</v>
      </c>
      <c r="F229" s="41">
        <f t="shared" si="19"/>
        <v>5.8844275582142089E-5</v>
      </c>
      <c r="G229" s="8">
        <v>6</v>
      </c>
      <c r="H229" s="36">
        <f t="shared" si="20"/>
        <v>5329.9203530656523</v>
      </c>
      <c r="I229" s="37">
        <v>34</v>
      </c>
      <c r="J229" s="12">
        <v>0.12</v>
      </c>
      <c r="K229" s="12">
        <v>4</v>
      </c>
      <c r="L229" s="40">
        <f t="shared" si="21"/>
        <v>16.32</v>
      </c>
      <c r="M229" s="11">
        <v>72</v>
      </c>
      <c r="N229" s="12">
        <v>73.8</v>
      </c>
      <c r="O229" s="9">
        <f t="shared" si="22"/>
        <v>5313.5999999999995</v>
      </c>
      <c r="P229" s="75">
        <f t="shared" si="24"/>
        <v>9.2245677084312732</v>
      </c>
      <c r="Q229" s="78">
        <f t="shared" si="23"/>
        <v>8.8118906264820431</v>
      </c>
      <c r="R229" s="10" t="s">
        <v>114</v>
      </c>
      <c r="S229" s="81" t="s">
        <v>29</v>
      </c>
      <c r="T229" s="10" t="s">
        <v>33</v>
      </c>
      <c r="U229" s="4"/>
    </row>
    <row r="230" spans="1:21" x14ac:dyDescent="0.3">
      <c r="A230" s="7" t="s">
        <v>108</v>
      </c>
      <c r="B230" s="7" t="s">
        <v>76</v>
      </c>
      <c r="C230" s="36">
        <v>58801927</v>
      </c>
      <c r="D230" s="8">
        <v>2020</v>
      </c>
      <c r="E230" s="7" t="s">
        <v>11</v>
      </c>
      <c r="F230" s="41" t="e">
        <f t="shared" si="19"/>
        <v>#VALUE!</v>
      </c>
      <c r="G230" s="11">
        <v>9</v>
      </c>
      <c r="H230" s="36" t="e">
        <f t="shared" si="20"/>
        <v>#VALUE!</v>
      </c>
      <c r="I230" s="73" t="s">
        <v>12</v>
      </c>
      <c r="J230" s="9">
        <v>0.13300000000000001</v>
      </c>
      <c r="K230" s="9">
        <v>8</v>
      </c>
      <c r="L230" s="40" t="e">
        <f t="shared" si="21"/>
        <v>#VALUE!</v>
      </c>
      <c r="M230" s="18" t="s">
        <v>12</v>
      </c>
      <c r="N230" s="9">
        <v>73.8</v>
      </c>
      <c r="O230" s="9" t="e">
        <f t="shared" si="22"/>
        <v>#VALUE!</v>
      </c>
      <c r="P230" s="75" t="e">
        <f t="shared" si="24"/>
        <v>#VALUE!</v>
      </c>
      <c r="Q230" s="78" t="e">
        <f t="shared" si="23"/>
        <v>#VALUE!</v>
      </c>
      <c r="R230" s="7" t="s">
        <v>109</v>
      </c>
      <c r="S230" s="80" t="s">
        <v>19</v>
      </c>
      <c r="T230" s="7"/>
      <c r="U230" s="3" t="s">
        <v>16</v>
      </c>
    </row>
    <row r="231" spans="1:21" x14ac:dyDescent="0.3">
      <c r="A231" s="10" t="s">
        <v>108</v>
      </c>
      <c r="B231" s="10" t="s">
        <v>76</v>
      </c>
      <c r="C231" s="37">
        <v>58801927</v>
      </c>
      <c r="D231" s="11">
        <v>2020</v>
      </c>
      <c r="E231" s="10" t="s">
        <v>17</v>
      </c>
      <c r="F231" s="41">
        <f t="shared" si="19"/>
        <v>5.3059485618558045E-4</v>
      </c>
      <c r="G231" s="8">
        <v>7</v>
      </c>
      <c r="H231" s="36">
        <f t="shared" si="20"/>
        <v>839.3797141639933</v>
      </c>
      <c r="I231" s="37">
        <v>312</v>
      </c>
      <c r="J231" s="12">
        <v>0.13300000000000001</v>
      </c>
      <c r="K231" s="12">
        <v>6</v>
      </c>
      <c r="L231" s="40">
        <f t="shared" si="21"/>
        <v>248.976</v>
      </c>
      <c r="M231" s="11">
        <v>8</v>
      </c>
      <c r="N231" s="12">
        <v>73.8</v>
      </c>
      <c r="O231" s="9">
        <f t="shared" si="22"/>
        <v>590.4</v>
      </c>
      <c r="P231" s="75">
        <f t="shared" si="24"/>
        <v>1.4274697394933897</v>
      </c>
      <c r="Q231" s="78">
        <f t="shared" si="23"/>
        <v>1.4173296962305182</v>
      </c>
      <c r="R231" s="10" t="s">
        <v>110</v>
      </c>
      <c r="S231" s="81" t="s">
        <v>19</v>
      </c>
      <c r="T231" s="10"/>
      <c r="U231" s="4"/>
    </row>
    <row r="232" spans="1:21" x14ac:dyDescent="0.3">
      <c r="A232" s="7" t="s">
        <v>108</v>
      </c>
      <c r="B232" s="7" t="s">
        <v>76</v>
      </c>
      <c r="C232" s="36">
        <v>58801927</v>
      </c>
      <c r="D232" s="8">
        <v>2020</v>
      </c>
      <c r="E232" s="7" t="s">
        <v>20</v>
      </c>
      <c r="F232" s="41">
        <f t="shared" si="19"/>
        <v>7.1596293094272232E-3</v>
      </c>
      <c r="G232" s="11">
        <v>7</v>
      </c>
      <c r="H232" s="36">
        <f t="shared" si="20"/>
        <v>661655.63011740509</v>
      </c>
      <c r="I232" s="36">
        <v>4210</v>
      </c>
      <c r="J232" s="9">
        <v>0.13300000000000001</v>
      </c>
      <c r="K232" s="9">
        <v>6</v>
      </c>
      <c r="L232" s="40">
        <f t="shared" si="21"/>
        <v>3359.5800000000004</v>
      </c>
      <c r="M232" s="8">
        <v>8920</v>
      </c>
      <c r="N232" s="9">
        <v>73.8</v>
      </c>
      <c r="O232" s="9">
        <f t="shared" si="22"/>
        <v>658296</v>
      </c>
      <c r="P232" s="75">
        <f t="shared" si="24"/>
        <v>1125.2278009824493</v>
      </c>
      <c r="Q232" s="78">
        <f t="shared" si="23"/>
        <v>99.998702229937379</v>
      </c>
      <c r="R232" s="7" t="s">
        <v>111</v>
      </c>
      <c r="S232" s="80" t="s">
        <v>19</v>
      </c>
      <c r="T232" s="7" t="s">
        <v>22</v>
      </c>
      <c r="U232" s="7"/>
    </row>
    <row r="233" spans="1:21" x14ac:dyDescent="0.3">
      <c r="A233" s="10" t="s">
        <v>108</v>
      </c>
      <c r="B233" s="10" t="s">
        <v>76</v>
      </c>
      <c r="C233" s="37">
        <v>58801927</v>
      </c>
      <c r="D233" s="11">
        <v>2020</v>
      </c>
      <c r="E233" s="10" t="s">
        <v>23</v>
      </c>
      <c r="F233" s="41">
        <f t="shared" si="19"/>
        <v>2.0407494468676172E-5</v>
      </c>
      <c r="G233" s="8">
        <v>8</v>
      </c>
      <c r="H233" s="36">
        <f t="shared" si="20"/>
        <v>306.37216325995576</v>
      </c>
      <c r="I233" s="37">
        <v>12</v>
      </c>
      <c r="J233" s="12">
        <v>0.13300000000000001</v>
      </c>
      <c r="K233" s="12">
        <v>7</v>
      </c>
      <c r="L233" s="40">
        <f t="shared" si="21"/>
        <v>11.172000000000001</v>
      </c>
      <c r="M233" s="11">
        <v>4</v>
      </c>
      <c r="N233" s="12">
        <v>73.8</v>
      </c>
      <c r="O233" s="9">
        <f t="shared" si="22"/>
        <v>295.2</v>
      </c>
      <c r="P233" s="75">
        <f t="shared" si="24"/>
        <v>0.52102401892365835</v>
      </c>
      <c r="Q233" s="78">
        <f t="shared" si="23"/>
        <v>0.51966904305348338</v>
      </c>
      <c r="R233" s="10" t="s">
        <v>112</v>
      </c>
      <c r="S233" s="81" t="s">
        <v>25</v>
      </c>
      <c r="T233" s="10" t="s">
        <v>15</v>
      </c>
      <c r="U233" s="4"/>
    </row>
    <row r="234" spans="1:21" x14ac:dyDescent="0.3">
      <c r="A234" s="7" t="s">
        <v>108</v>
      </c>
      <c r="B234" s="7" t="s">
        <v>76</v>
      </c>
      <c r="C234" s="36">
        <v>58801927</v>
      </c>
      <c r="D234" s="8">
        <v>2020</v>
      </c>
      <c r="E234" s="7" t="s">
        <v>26</v>
      </c>
      <c r="F234" s="41">
        <f t="shared" si="19"/>
        <v>3.0611241703014255E-2</v>
      </c>
      <c r="G234" s="11">
        <v>6</v>
      </c>
      <c r="H234" s="36">
        <f t="shared" si="20"/>
        <v>11520.183667450217</v>
      </c>
      <c r="I234" s="36">
        <v>18000</v>
      </c>
      <c r="J234" s="9">
        <v>0.128</v>
      </c>
      <c r="K234" s="9">
        <v>5</v>
      </c>
      <c r="L234" s="40">
        <f t="shared" si="21"/>
        <v>11520</v>
      </c>
      <c r="M234" s="8">
        <v>0</v>
      </c>
      <c r="N234" s="9">
        <v>73.8</v>
      </c>
      <c r="O234" s="9">
        <f t="shared" si="22"/>
        <v>0</v>
      </c>
      <c r="P234" s="75">
        <f t="shared" si="24"/>
        <v>19.591507039301991</v>
      </c>
      <c r="Q234" s="78">
        <f t="shared" si="23"/>
        <v>17.79179491811027</v>
      </c>
      <c r="R234" s="7" t="s">
        <v>113</v>
      </c>
      <c r="S234" s="80" t="s">
        <v>28</v>
      </c>
      <c r="T234" s="7"/>
      <c r="U234" s="7"/>
    </row>
    <row r="235" spans="1:21" x14ac:dyDescent="0.3">
      <c r="A235" s="10" t="s">
        <v>108</v>
      </c>
      <c r="B235" s="10" t="s">
        <v>76</v>
      </c>
      <c r="C235" s="37">
        <v>58801927</v>
      </c>
      <c r="D235" s="11">
        <v>2020</v>
      </c>
      <c r="E235" s="10" t="s">
        <v>30</v>
      </c>
      <c r="F235" s="41">
        <f t="shared" si="19"/>
        <v>5.7821234327915816E-5</v>
      </c>
      <c r="G235" s="8">
        <v>6</v>
      </c>
      <c r="H235" s="36">
        <f t="shared" si="20"/>
        <v>5329.9203469274053</v>
      </c>
      <c r="I235" s="37">
        <v>34</v>
      </c>
      <c r="J235" s="12">
        <v>0.12</v>
      </c>
      <c r="K235" s="12">
        <v>4</v>
      </c>
      <c r="L235" s="40">
        <f t="shared" si="21"/>
        <v>16.32</v>
      </c>
      <c r="M235" s="11">
        <v>72</v>
      </c>
      <c r="N235" s="12">
        <v>73.8</v>
      </c>
      <c r="O235" s="9">
        <f t="shared" si="22"/>
        <v>5313.5999999999995</v>
      </c>
      <c r="P235" s="75">
        <f t="shared" si="24"/>
        <v>9.0641933332004676</v>
      </c>
      <c r="Q235" s="78">
        <f t="shared" si="23"/>
        <v>8.6655309354391257</v>
      </c>
      <c r="R235" s="10" t="s">
        <v>114</v>
      </c>
      <c r="S235" s="81" t="s">
        <v>29</v>
      </c>
      <c r="T235" s="10" t="s">
        <v>33</v>
      </c>
      <c r="U235" s="4"/>
    </row>
    <row r="236" spans="1:21" x14ac:dyDescent="0.3">
      <c r="A236" s="7" t="s">
        <v>108</v>
      </c>
      <c r="B236" s="7" t="s">
        <v>76</v>
      </c>
      <c r="C236" s="36">
        <v>59392255</v>
      </c>
      <c r="D236" s="8">
        <v>2021</v>
      </c>
      <c r="E236" s="7" t="s">
        <v>11</v>
      </c>
      <c r="F236" s="41" t="e">
        <f t="shared" si="19"/>
        <v>#VALUE!</v>
      </c>
      <c r="G236" s="11">
        <v>9</v>
      </c>
      <c r="H236" s="36" t="e">
        <f t="shared" si="20"/>
        <v>#VALUE!</v>
      </c>
      <c r="I236" s="73" t="s">
        <v>12</v>
      </c>
      <c r="J236" s="9">
        <v>0.13300000000000001</v>
      </c>
      <c r="K236" s="9">
        <v>8</v>
      </c>
      <c r="L236" s="40" t="e">
        <f t="shared" si="21"/>
        <v>#VALUE!</v>
      </c>
      <c r="M236" s="18" t="s">
        <v>12</v>
      </c>
      <c r="N236" s="9">
        <v>73.8</v>
      </c>
      <c r="O236" s="9" t="e">
        <f t="shared" si="22"/>
        <v>#VALUE!</v>
      </c>
      <c r="P236" s="75" t="e">
        <f t="shared" si="24"/>
        <v>#VALUE!</v>
      </c>
      <c r="Q236" s="78" t="e">
        <f t="shared" si="23"/>
        <v>#VALUE!</v>
      </c>
      <c r="R236" s="7" t="s">
        <v>109</v>
      </c>
      <c r="S236" s="80" t="s">
        <v>19</v>
      </c>
      <c r="T236" s="7"/>
      <c r="U236" s="3" t="s">
        <v>16</v>
      </c>
    </row>
    <row r="237" spans="1:21" x14ac:dyDescent="0.3">
      <c r="A237" s="10" t="s">
        <v>108</v>
      </c>
      <c r="B237" s="10" t="s">
        <v>76</v>
      </c>
      <c r="C237" s="37">
        <v>59392255</v>
      </c>
      <c r="D237" s="11">
        <v>2021</v>
      </c>
      <c r="E237" s="10" t="s">
        <v>17</v>
      </c>
      <c r="F237" s="41">
        <f t="shared" si="19"/>
        <v>2.4919074044250384E-3</v>
      </c>
      <c r="G237" s="8">
        <v>7</v>
      </c>
      <c r="H237" s="36">
        <f t="shared" si="20"/>
        <v>26420.657443351829</v>
      </c>
      <c r="I237" s="37">
        <v>1480</v>
      </c>
      <c r="J237" s="12">
        <v>0.13300000000000001</v>
      </c>
      <c r="K237" s="12">
        <v>6</v>
      </c>
      <c r="L237" s="40">
        <f t="shared" si="21"/>
        <v>1181.04</v>
      </c>
      <c r="M237" s="11">
        <v>342</v>
      </c>
      <c r="N237" s="12">
        <v>73.8</v>
      </c>
      <c r="O237" s="9">
        <f t="shared" si="22"/>
        <v>25239.599999999999</v>
      </c>
      <c r="P237" s="75">
        <f t="shared" si="24"/>
        <v>44.485021562747249</v>
      </c>
      <c r="Q237" s="78">
        <f t="shared" si="23"/>
        <v>35.907973131667539</v>
      </c>
      <c r="R237" s="10" t="s">
        <v>115</v>
      </c>
      <c r="S237" s="81" t="s">
        <v>19</v>
      </c>
      <c r="T237" s="10"/>
      <c r="U237" s="4"/>
    </row>
    <row r="238" spans="1:21" x14ac:dyDescent="0.3">
      <c r="A238" s="7" t="s">
        <v>108</v>
      </c>
      <c r="B238" s="7" t="s">
        <v>76</v>
      </c>
      <c r="C238" s="36">
        <v>59392255</v>
      </c>
      <c r="D238" s="8">
        <v>2021</v>
      </c>
      <c r="E238" s="7" t="s">
        <v>20</v>
      </c>
      <c r="F238" s="41">
        <f t="shared" si="19"/>
        <v>7.08846633285771E-3</v>
      </c>
      <c r="G238" s="11">
        <v>7</v>
      </c>
      <c r="H238" s="36">
        <f t="shared" si="20"/>
        <v>661655.62961926428</v>
      </c>
      <c r="I238" s="36">
        <v>4210</v>
      </c>
      <c r="J238" s="9">
        <v>0.13300000000000001</v>
      </c>
      <c r="K238" s="9">
        <v>6</v>
      </c>
      <c r="L238" s="40">
        <f t="shared" si="21"/>
        <v>3359.5800000000004</v>
      </c>
      <c r="M238" s="8">
        <v>8920</v>
      </c>
      <c r="N238" s="9">
        <v>73.8</v>
      </c>
      <c r="O238" s="9">
        <f t="shared" si="22"/>
        <v>658296</v>
      </c>
      <c r="P238" s="75">
        <f t="shared" si="24"/>
        <v>1114.043623397132</v>
      </c>
      <c r="Q238" s="78">
        <f t="shared" si="23"/>
        <v>99.998548657150451</v>
      </c>
      <c r="R238" s="7" t="s">
        <v>111</v>
      </c>
      <c r="S238" s="80" t="s">
        <v>19</v>
      </c>
      <c r="T238" s="7" t="s">
        <v>22</v>
      </c>
      <c r="U238" s="7"/>
    </row>
    <row r="239" spans="1:21" x14ac:dyDescent="0.3">
      <c r="A239" s="10" t="s">
        <v>108</v>
      </c>
      <c r="B239" s="10" t="s">
        <v>76</v>
      </c>
      <c r="C239" s="37">
        <v>59392255</v>
      </c>
      <c r="D239" s="11">
        <v>2021</v>
      </c>
      <c r="E239" s="10" t="s">
        <v>23</v>
      </c>
      <c r="F239" s="41">
        <f t="shared" si="19"/>
        <v>2.0204654630473285E-5</v>
      </c>
      <c r="G239" s="8">
        <v>8</v>
      </c>
      <c r="H239" s="36">
        <f t="shared" si="20"/>
        <v>306.37216163723707</v>
      </c>
      <c r="I239" s="37">
        <v>12</v>
      </c>
      <c r="J239" s="12">
        <v>0.13300000000000001</v>
      </c>
      <c r="K239" s="12">
        <v>7</v>
      </c>
      <c r="L239" s="40">
        <f t="shared" si="21"/>
        <v>11.172000000000001</v>
      </c>
      <c r="M239" s="11">
        <v>4</v>
      </c>
      <c r="N239" s="12">
        <v>73.8</v>
      </c>
      <c r="O239" s="9">
        <f t="shared" si="22"/>
        <v>295.2</v>
      </c>
      <c r="P239" s="75">
        <f t="shared" si="24"/>
        <v>0.51584530952265928</v>
      </c>
      <c r="Q239" s="78">
        <f t="shared" si="23"/>
        <v>0.51451711240146913</v>
      </c>
      <c r="R239" s="10" t="s">
        <v>112</v>
      </c>
      <c r="S239" s="81" t="s">
        <v>25</v>
      </c>
      <c r="T239" s="10" t="s">
        <v>15</v>
      </c>
      <c r="U239" s="4"/>
    </row>
    <row r="240" spans="1:21" x14ac:dyDescent="0.3">
      <c r="A240" s="7" t="s">
        <v>108</v>
      </c>
      <c r="B240" s="7" t="s">
        <v>76</v>
      </c>
      <c r="C240" s="36">
        <v>59392255</v>
      </c>
      <c r="D240" s="8">
        <v>2021</v>
      </c>
      <c r="E240" s="7" t="s">
        <v>26</v>
      </c>
      <c r="F240" s="41">
        <f t="shared" si="19"/>
        <v>3.0306981945709924E-2</v>
      </c>
      <c r="G240" s="11">
        <v>6</v>
      </c>
      <c r="H240" s="36">
        <f t="shared" si="20"/>
        <v>11520.181841891674</v>
      </c>
      <c r="I240" s="36">
        <v>18000</v>
      </c>
      <c r="J240" s="9">
        <v>0.128</v>
      </c>
      <c r="K240" s="9">
        <v>5</v>
      </c>
      <c r="L240" s="40">
        <f t="shared" si="21"/>
        <v>11520</v>
      </c>
      <c r="M240" s="8">
        <v>0</v>
      </c>
      <c r="N240" s="9">
        <v>73.8</v>
      </c>
      <c r="O240" s="9">
        <f t="shared" si="22"/>
        <v>0</v>
      </c>
      <c r="P240" s="75">
        <f t="shared" si="24"/>
        <v>19.396774616305905</v>
      </c>
      <c r="Q240" s="78">
        <f t="shared" si="23"/>
        <v>17.631552917524939</v>
      </c>
      <c r="R240" s="7" t="s">
        <v>113</v>
      </c>
      <c r="S240" s="80" t="s">
        <v>28</v>
      </c>
      <c r="T240" s="7"/>
      <c r="U240" s="7"/>
    </row>
    <row r="241" spans="1:21" x14ac:dyDescent="0.3">
      <c r="A241" s="10" t="s">
        <v>108</v>
      </c>
      <c r="B241" s="10" t="s">
        <v>76</v>
      </c>
      <c r="C241" s="37">
        <v>59392255</v>
      </c>
      <c r="D241" s="11">
        <v>2021</v>
      </c>
      <c r="E241" s="10" t="s">
        <v>30</v>
      </c>
      <c r="F241" s="41">
        <f t="shared" si="19"/>
        <v>5.7246521453007632E-5</v>
      </c>
      <c r="G241" s="8">
        <v>6</v>
      </c>
      <c r="H241" s="36">
        <f t="shared" si="20"/>
        <v>5329.920343479128</v>
      </c>
      <c r="I241" s="37">
        <v>34</v>
      </c>
      <c r="J241" s="12">
        <v>0.12</v>
      </c>
      <c r="K241" s="12">
        <v>4</v>
      </c>
      <c r="L241" s="40">
        <f t="shared" si="21"/>
        <v>16.32</v>
      </c>
      <c r="M241" s="11">
        <v>72</v>
      </c>
      <c r="N241" s="12">
        <v>73.8</v>
      </c>
      <c r="O241" s="9">
        <f t="shared" si="22"/>
        <v>5313.5999999999995</v>
      </c>
      <c r="P241" s="75">
        <f t="shared" si="24"/>
        <v>8.9740999789941096</v>
      </c>
      <c r="Q241" s="78">
        <f t="shared" si="23"/>
        <v>8.5832075703401891</v>
      </c>
      <c r="R241" s="10" t="s">
        <v>114</v>
      </c>
      <c r="S241" s="81" t="s">
        <v>29</v>
      </c>
      <c r="T241" s="10" t="s">
        <v>33</v>
      </c>
      <c r="U241" s="4"/>
    </row>
    <row r="242" spans="1:21" x14ac:dyDescent="0.3">
      <c r="A242" s="7" t="s">
        <v>108</v>
      </c>
      <c r="B242" s="7" t="s">
        <v>76</v>
      </c>
      <c r="C242" s="36">
        <v>59893885</v>
      </c>
      <c r="D242" s="8">
        <v>2022</v>
      </c>
      <c r="E242" s="7" t="s">
        <v>11</v>
      </c>
      <c r="F242" s="41" t="e">
        <f t="shared" si="19"/>
        <v>#VALUE!</v>
      </c>
      <c r="G242" s="11">
        <v>9</v>
      </c>
      <c r="H242" s="36" t="e">
        <f t="shared" si="20"/>
        <v>#VALUE!</v>
      </c>
      <c r="I242" s="73" t="s">
        <v>12</v>
      </c>
      <c r="J242" s="9">
        <v>0.13300000000000001</v>
      </c>
      <c r="K242" s="9">
        <v>8</v>
      </c>
      <c r="L242" s="40" t="e">
        <f t="shared" si="21"/>
        <v>#VALUE!</v>
      </c>
      <c r="M242" s="18" t="s">
        <v>12</v>
      </c>
      <c r="N242" s="9">
        <v>73.8</v>
      </c>
      <c r="O242" s="9" t="e">
        <f t="shared" si="22"/>
        <v>#VALUE!</v>
      </c>
      <c r="P242" s="75" t="e">
        <f t="shared" si="24"/>
        <v>#VALUE!</v>
      </c>
      <c r="Q242" s="78" t="e">
        <f t="shared" si="23"/>
        <v>#VALUE!</v>
      </c>
      <c r="R242" s="7" t="s">
        <v>109</v>
      </c>
      <c r="S242" s="80" t="s">
        <v>19</v>
      </c>
      <c r="T242" s="7"/>
      <c r="U242" s="3" t="s">
        <v>16</v>
      </c>
    </row>
    <row r="243" spans="1:21" x14ac:dyDescent="0.3">
      <c r="A243" s="10" t="s">
        <v>108</v>
      </c>
      <c r="B243" s="10" t="s">
        <v>76</v>
      </c>
      <c r="C243" s="37">
        <v>59893885</v>
      </c>
      <c r="D243" s="11">
        <v>2022</v>
      </c>
      <c r="E243" s="10" t="s">
        <v>17</v>
      </c>
      <c r="F243" s="41">
        <f t="shared" si="19"/>
        <v>5.2092129271627649E-4</v>
      </c>
      <c r="G243" s="8">
        <v>7</v>
      </c>
      <c r="H243" s="36">
        <f t="shared" si="20"/>
        <v>839.37964644904901</v>
      </c>
      <c r="I243" s="37">
        <v>312</v>
      </c>
      <c r="J243" s="12">
        <v>0.13300000000000001</v>
      </c>
      <c r="K243" s="12">
        <v>6</v>
      </c>
      <c r="L243" s="40">
        <f t="shared" si="21"/>
        <v>248.976</v>
      </c>
      <c r="M243" s="11">
        <v>8</v>
      </c>
      <c r="N243" s="12">
        <v>73.8</v>
      </c>
      <c r="O243" s="9">
        <f t="shared" si="22"/>
        <v>590.4</v>
      </c>
      <c r="P243" s="75">
        <f t="shared" si="24"/>
        <v>1.4014446490640056</v>
      </c>
      <c r="Q243" s="78">
        <f t="shared" si="23"/>
        <v>1.391670128318212</v>
      </c>
      <c r="R243" s="10" t="s">
        <v>110</v>
      </c>
      <c r="S243" s="81" t="s">
        <v>19</v>
      </c>
      <c r="T243" s="10"/>
      <c r="U243" s="4"/>
    </row>
    <row r="244" spans="1:21" x14ac:dyDescent="0.3">
      <c r="A244" s="7" t="s">
        <v>108</v>
      </c>
      <c r="B244" s="7" t="s">
        <v>76</v>
      </c>
      <c r="C244" s="36">
        <v>59893885</v>
      </c>
      <c r="D244" s="8">
        <v>2022</v>
      </c>
      <c r="E244" s="7" t="s">
        <v>20</v>
      </c>
      <c r="F244" s="41">
        <f t="shared" si="19"/>
        <v>7.0290982126138589E-3</v>
      </c>
      <c r="G244" s="11">
        <v>7</v>
      </c>
      <c r="H244" s="36">
        <f t="shared" si="20"/>
        <v>661655.62920368742</v>
      </c>
      <c r="I244" s="36">
        <v>4210</v>
      </c>
      <c r="J244" s="9">
        <v>0.13300000000000001</v>
      </c>
      <c r="K244" s="9">
        <v>6</v>
      </c>
      <c r="L244" s="40">
        <f t="shared" si="21"/>
        <v>3359.5800000000004</v>
      </c>
      <c r="M244" s="8">
        <v>8920</v>
      </c>
      <c r="N244" s="9">
        <v>73.8</v>
      </c>
      <c r="O244" s="9">
        <f t="shared" si="22"/>
        <v>658296</v>
      </c>
      <c r="P244" s="75">
        <f t="shared" si="24"/>
        <v>1104.7131592877761</v>
      </c>
      <c r="Q244" s="78">
        <f t="shared" si="23"/>
        <v>99.998406721453676</v>
      </c>
      <c r="R244" s="7" t="s">
        <v>111</v>
      </c>
      <c r="S244" s="80" t="s">
        <v>19</v>
      </c>
      <c r="T244" s="7" t="s">
        <v>22</v>
      </c>
      <c r="U244" s="7"/>
    </row>
    <row r="245" spans="1:21" x14ac:dyDescent="0.3">
      <c r="A245" s="10" t="s">
        <v>108</v>
      </c>
      <c r="B245" s="10" t="s">
        <v>76</v>
      </c>
      <c r="C245" s="37">
        <v>59893885</v>
      </c>
      <c r="D245" s="11">
        <v>2022</v>
      </c>
      <c r="E245" s="10" t="s">
        <v>23</v>
      </c>
      <c r="F245" s="41">
        <f t="shared" si="19"/>
        <v>2.0035434335241401E-5</v>
      </c>
      <c r="G245" s="8">
        <v>8</v>
      </c>
      <c r="H245" s="36">
        <f t="shared" si="20"/>
        <v>306.37216028347467</v>
      </c>
      <c r="I245" s="37">
        <v>12</v>
      </c>
      <c r="J245" s="12">
        <v>0.13300000000000001</v>
      </c>
      <c r="K245" s="12">
        <v>7</v>
      </c>
      <c r="L245" s="40">
        <f t="shared" si="21"/>
        <v>11.172000000000001</v>
      </c>
      <c r="M245" s="11">
        <v>4</v>
      </c>
      <c r="N245" s="12">
        <v>73.8</v>
      </c>
      <c r="O245" s="9">
        <f t="shared" si="22"/>
        <v>295.2</v>
      </c>
      <c r="P245" s="75">
        <f t="shared" si="24"/>
        <v>0.51152494162546758</v>
      </c>
      <c r="Q245" s="78">
        <f t="shared" si="23"/>
        <v>0.5102188806873853</v>
      </c>
      <c r="R245" s="10" t="s">
        <v>112</v>
      </c>
      <c r="S245" s="81" t="s">
        <v>25</v>
      </c>
      <c r="T245" s="10" t="s">
        <v>15</v>
      </c>
      <c r="U245" s="4"/>
    </row>
    <row r="246" spans="1:21" x14ac:dyDescent="0.3">
      <c r="A246" s="7" t="s">
        <v>108</v>
      </c>
      <c r="B246" s="7" t="s">
        <v>76</v>
      </c>
      <c r="C246" s="36">
        <v>59893885</v>
      </c>
      <c r="D246" s="8">
        <v>2022</v>
      </c>
      <c r="E246" s="7" t="s">
        <v>26</v>
      </c>
      <c r="F246" s="41">
        <f t="shared" si="19"/>
        <v>3.0053151502862103E-2</v>
      </c>
      <c r="G246" s="11">
        <v>6</v>
      </c>
      <c r="H246" s="36">
        <f t="shared" si="20"/>
        <v>11520.180318909017</v>
      </c>
      <c r="I246" s="36">
        <v>18000</v>
      </c>
      <c r="J246" s="9">
        <v>0.128</v>
      </c>
      <c r="K246" s="9">
        <v>5</v>
      </c>
      <c r="L246" s="40">
        <f t="shared" si="21"/>
        <v>11520</v>
      </c>
      <c r="M246" s="8">
        <v>0</v>
      </c>
      <c r="N246" s="9">
        <v>73.8</v>
      </c>
      <c r="O246" s="9">
        <f t="shared" si="22"/>
        <v>0</v>
      </c>
      <c r="P246" s="75">
        <f t="shared" si="24"/>
        <v>19.234318025803496</v>
      </c>
      <c r="Q246" s="78">
        <f t="shared" si="23"/>
        <v>17.497631193865882</v>
      </c>
      <c r="R246" s="7" t="s">
        <v>113</v>
      </c>
      <c r="S246" s="80" t="s">
        <v>28</v>
      </c>
      <c r="T246" s="7"/>
      <c r="U246" s="7"/>
    </row>
    <row r="247" spans="1:21" x14ac:dyDescent="0.3">
      <c r="A247" s="10" t="s">
        <v>108</v>
      </c>
      <c r="B247" s="10" t="s">
        <v>76</v>
      </c>
      <c r="C247" s="37">
        <v>59893885</v>
      </c>
      <c r="D247" s="11">
        <v>2022</v>
      </c>
      <c r="E247" s="10" t="s">
        <v>30</v>
      </c>
      <c r="F247" s="41">
        <f t="shared" si="19"/>
        <v>1.1353412789970127E-4</v>
      </c>
      <c r="G247" s="8">
        <v>6</v>
      </c>
      <c r="H247" s="36">
        <f t="shared" si="20"/>
        <v>33095.040681204766</v>
      </c>
      <c r="I247" s="37">
        <v>68</v>
      </c>
      <c r="J247" s="12">
        <v>0.12</v>
      </c>
      <c r="K247" s="12">
        <v>4</v>
      </c>
      <c r="L247" s="40">
        <f t="shared" si="21"/>
        <v>32.64</v>
      </c>
      <c r="M247" s="11">
        <v>448</v>
      </c>
      <c r="N247" s="12">
        <v>73.8</v>
      </c>
      <c r="O247" s="9">
        <f t="shared" si="22"/>
        <v>33062.400000000001</v>
      </c>
      <c r="P247" s="75">
        <f t="shared" si="24"/>
        <v>55.256126199201752</v>
      </c>
      <c r="Q247" s="78">
        <f t="shared" si="23"/>
        <v>42.45260184412146</v>
      </c>
      <c r="R247" s="10" t="s">
        <v>116</v>
      </c>
      <c r="S247" s="81" t="s">
        <v>29</v>
      </c>
      <c r="T247" s="10" t="s">
        <v>33</v>
      </c>
      <c r="U247" s="10"/>
    </row>
    <row r="248" spans="1:21" x14ac:dyDescent="0.3">
      <c r="A248" s="7" t="s">
        <v>108</v>
      </c>
      <c r="B248" s="7" t="s">
        <v>76</v>
      </c>
      <c r="C248" s="36">
        <v>60414495</v>
      </c>
      <c r="D248" s="8">
        <v>2023</v>
      </c>
      <c r="E248" s="7" t="s">
        <v>11</v>
      </c>
      <c r="F248" s="41" t="e">
        <f t="shared" si="19"/>
        <v>#VALUE!</v>
      </c>
      <c r="G248" s="11">
        <v>9</v>
      </c>
      <c r="H248" s="36" t="e">
        <f t="shared" si="20"/>
        <v>#VALUE!</v>
      </c>
      <c r="I248" s="73" t="s">
        <v>12</v>
      </c>
      <c r="J248" s="9">
        <v>0.13300000000000001</v>
      </c>
      <c r="K248" s="9">
        <v>8</v>
      </c>
      <c r="L248" s="40" t="e">
        <f t="shared" si="21"/>
        <v>#VALUE!</v>
      </c>
      <c r="M248" s="18" t="s">
        <v>12</v>
      </c>
      <c r="N248" s="9">
        <v>73.8</v>
      </c>
      <c r="O248" s="9" t="e">
        <f t="shared" si="22"/>
        <v>#VALUE!</v>
      </c>
      <c r="P248" s="75" t="e">
        <f t="shared" si="24"/>
        <v>#VALUE!</v>
      </c>
      <c r="Q248" s="78" t="e">
        <f t="shared" si="23"/>
        <v>#VALUE!</v>
      </c>
      <c r="R248" s="7" t="s">
        <v>109</v>
      </c>
      <c r="S248" s="80" t="s">
        <v>19</v>
      </c>
      <c r="T248" s="7"/>
      <c r="U248" s="3" t="s">
        <v>16</v>
      </c>
    </row>
    <row r="249" spans="1:21" x14ac:dyDescent="0.3">
      <c r="A249" s="10" t="s">
        <v>108</v>
      </c>
      <c r="B249" s="10" t="s">
        <v>76</v>
      </c>
      <c r="C249" s="37">
        <v>60414495</v>
      </c>
      <c r="D249" s="11">
        <v>2023</v>
      </c>
      <c r="E249" s="10" t="s">
        <v>17</v>
      </c>
      <c r="F249" s="41">
        <f t="shared" si="19"/>
        <v>5.1643235617545094E-4</v>
      </c>
      <c r="G249" s="8">
        <v>7</v>
      </c>
      <c r="H249" s="36">
        <f t="shared" si="20"/>
        <v>839.37961502649318</v>
      </c>
      <c r="I249" s="37">
        <v>312</v>
      </c>
      <c r="J249" s="12">
        <v>0.13300000000000001</v>
      </c>
      <c r="K249" s="12">
        <v>6</v>
      </c>
      <c r="L249" s="40">
        <f t="shared" si="21"/>
        <v>248.976</v>
      </c>
      <c r="M249" s="11">
        <v>8</v>
      </c>
      <c r="N249" s="12">
        <v>73.8</v>
      </c>
      <c r="O249" s="9">
        <f t="shared" si="22"/>
        <v>590.4</v>
      </c>
      <c r="P249" s="75">
        <f t="shared" si="24"/>
        <v>1.3893679240826118</v>
      </c>
      <c r="Q249" s="78">
        <f t="shared" si="23"/>
        <v>1.3797607523940547</v>
      </c>
      <c r="R249" s="10" t="s">
        <v>110</v>
      </c>
      <c r="S249" s="81" t="s">
        <v>19</v>
      </c>
      <c r="T249" s="10"/>
      <c r="U249" s="4"/>
    </row>
    <row r="250" spans="1:21" x14ac:dyDescent="0.3">
      <c r="A250" s="7" t="s">
        <v>108</v>
      </c>
      <c r="B250" s="7" t="s">
        <v>76</v>
      </c>
      <c r="C250" s="36">
        <v>60414495</v>
      </c>
      <c r="D250" s="8">
        <v>2023</v>
      </c>
      <c r="E250" s="7" t="s">
        <v>20</v>
      </c>
      <c r="F250" s="41">
        <f t="shared" si="19"/>
        <v>6.9685263445469501E-3</v>
      </c>
      <c r="G250" s="11">
        <v>7</v>
      </c>
      <c r="H250" s="36">
        <f t="shared" si="20"/>
        <v>661655.62877968443</v>
      </c>
      <c r="I250" s="36">
        <v>4210</v>
      </c>
      <c r="J250" s="9">
        <v>0.13300000000000001</v>
      </c>
      <c r="K250" s="9">
        <v>6</v>
      </c>
      <c r="L250" s="40">
        <f t="shared" si="21"/>
        <v>3359.5800000000004</v>
      </c>
      <c r="M250" s="8">
        <v>8920</v>
      </c>
      <c r="N250" s="9">
        <v>73.8</v>
      </c>
      <c r="O250" s="9">
        <f t="shared" si="22"/>
        <v>658296</v>
      </c>
      <c r="P250" s="75">
        <f t="shared" si="24"/>
        <v>1095.1935107289805</v>
      </c>
      <c r="Q250" s="78">
        <f t="shared" si="23"/>
        <v>99.998247592848927</v>
      </c>
      <c r="R250" s="7" t="s">
        <v>111</v>
      </c>
      <c r="S250" s="80" t="s">
        <v>19</v>
      </c>
      <c r="T250" s="7" t="s">
        <v>22</v>
      </c>
      <c r="U250" s="7"/>
    </row>
    <row r="251" spans="1:21" x14ac:dyDescent="0.3">
      <c r="A251" s="10" t="s">
        <v>108</v>
      </c>
      <c r="B251" s="10" t="s">
        <v>76</v>
      </c>
      <c r="C251" s="37">
        <v>60414495</v>
      </c>
      <c r="D251" s="11">
        <v>2023</v>
      </c>
      <c r="E251" s="10" t="s">
        <v>23</v>
      </c>
      <c r="F251" s="41">
        <f t="shared" si="19"/>
        <v>1.9862782929825037E-5</v>
      </c>
      <c r="G251" s="8">
        <v>8</v>
      </c>
      <c r="H251" s="36">
        <f t="shared" si="20"/>
        <v>306.37215890226344</v>
      </c>
      <c r="I251" s="37">
        <v>12</v>
      </c>
      <c r="J251" s="12">
        <v>0.13300000000000001</v>
      </c>
      <c r="K251" s="12">
        <v>7</v>
      </c>
      <c r="L251" s="40">
        <f t="shared" si="21"/>
        <v>11.172000000000001</v>
      </c>
      <c r="M251" s="11">
        <v>4</v>
      </c>
      <c r="N251" s="12">
        <v>73.8</v>
      </c>
      <c r="O251" s="9">
        <f t="shared" si="22"/>
        <v>295.2</v>
      </c>
      <c r="P251" s="75">
        <f t="shared" si="24"/>
        <v>0.50711697400146016</v>
      </c>
      <c r="Q251" s="78">
        <f t="shared" si="23"/>
        <v>0.50583330668981796</v>
      </c>
      <c r="R251" s="10" t="s">
        <v>112</v>
      </c>
      <c r="S251" s="81" t="s">
        <v>25</v>
      </c>
      <c r="T251" s="10" t="s">
        <v>15</v>
      </c>
      <c r="U251" s="4"/>
    </row>
    <row r="252" spans="1:21" x14ac:dyDescent="0.3">
      <c r="A252" s="7" t="s">
        <v>108</v>
      </c>
      <c r="B252" s="7" t="s">
        <v>76</v>
      </c>
      <c r="C252" s="36">
        <v>60414495</v>
      </c>
      <c r="D252" s="8">
        <v>2023</v>
      </c>
      <c r="E252" s="7" t="s">
        <v>26</v>
      </c>
      <c r="F252" s="41">
        <f t="shared" si="19"/>
        <v>2.9794174394737555E-2</v>
      </c>
      <c r="G252" s="11">
        <v>6</v>
      </c>
      <c r="H252" s="36">
        <f t="shared" si="20"/>
        <v>11520.178765046368</v>
      </c>
      <c r="I252" s="36">
        <v>18000</v>
      </c>
      <c r="J252" s="9">
        <v>0.128</v>
      </c>
      <c r="K252" s="9">
        <v>5</v>
      </c>
      <c r="L252" s="40">
        <f t="shared" si="21"/>
        <v>11520</v>
      </c>
      <c r="M252" s="8">
        <v>0</v>
      </c>
      <c r="N252" s="9">
        <v>73.8</v>
      </c>
      <c r="O252" s="9">
        <f t="shared" si="22"/>
        <v>0</v>
      </c>
      <c r="P252" s="75">
        <f t="shared" si="24"/>
        <v>19.068567510241323</v>
      </c>
      <c r="Q252" s="78">
        <f t="shared" si="23"/>
        <v>17.360769699235789</v>
      </c>
      <c r="R252" s="7" t="s">
        <v>113</v>
      </c>
      <c r="S252" s="80" t="s">
        <v>28</v>
      </c>
      <c r="T252" s="7"/>
      <c r="U252" s="7"/>
    </row>
    <row r="253" spans="1:21" x14ac:dyDescent="0.3">
      <c r="A253" s="10" t="s">
        <v>108</v>
      </c>
      <c r="B253" s="10" t="s">
        <v>76</v>
      </c>
      <c r="C253" s="37">
        <v>60414495</v>
      </c>
      <c r="D253" s="11">
        <v>2023</v>
      </c>
      <c r="E253" s="10" t="s">
        <v>30</v>
      </c>
      <c r="F253" s="41">
        <f t="shared" si="19"/>
        <v>5.6277884967837601E-5</v>
      </c>
      <c r="G253" s="8">
        <v>6</v>
      </c>
      <c r="H253" s="36">
        <f t="shared" si="20"/>
        <v>5329.9203376673086</v>
      </c>
      <c r="I253" s="37">
        <v>34</v>
      </c>
      <c r="J253" s="12">
        <v>0.12</v>
      </c>
      <c r="K253" s="12">
        <v>4</v>
      </c>
      <c r="L253" s="40">
        <f t="shared" si="21"/>
        <v>16.32</v>
      </c>
      <c r="M253" s="11">
        <v>72</v>
      </c>
      <c r="N253" s="12">
        <v>73.8</v>
      </c>
      <c r="O253" s="9">
        <f t="shared" si="22"/>
        <v>5313.5999999999995</v>
      </c>
      <c r="P253" s="75">
        <f t="shared" si="24"/>
        <v>8.822254225028793</v>
      </c>
      <c r="Q253" s="78">
        <f t="shared" si="23"/>
        <v>8.4442896088035013</v>
      </c>
      <c r="R253" s="10" t="s">
        <v>114</v>
      </c>
      <c r="S253" s="81" t="s">
        <v>29</v>
      </c>
      <c r="T253" s="10" t="s">
        <v>33</v>
      </c>
      <c r="U253" s="4"/>
    </row>
    <row r="254" spans="1:21" x14ac:dyDescent="0.3">
      <c r="A254" s="7" t="s">
        <v>108</v>
      </c>
      <c r="B254" s="7" t="s">
        <v>76</v>
      </c>
      <c r="C254" s="36">
        <v>60954910</v>
      </c>
      <c r="D254" s="8">
        <v>2024</v>
      </c>
      <c r="E254" s="7" t="s">
        <v>11</v>
      </c>
      <c r="F254" s="41" t="e">
        <f t="shared" si="19"/>
        <v>#VALUE!</v>
      </c>
      <c r="G254" s="11">
        <v>9</v>
      </c>
      <c r="H254" s="36" t="e">
        <f t="shared" si="20"/>
        <v>#VALUE!</v>
      </c>
      <c r="I254" s="73" t="s">
        <v>12</v>
      </c>
      <c r="J254" s="9">
        <v>0.13300000000000001</v>
      </c>
      <c r="K254" s="9">
        <v>8</v>
      </c>
      <c r="L254" s="40" t="e">
        <f t="shared" si="21"/>
        <v>#VALUE!</v>
      </c>
      <c r="M254" s="18" t="s">
        <v>12</v>
      </c>
      <c r="N254" s="9">
        <v>73.8</v>
      </c>
      <c r="O254" s="9" t="e">
        <f t="shared" si="22"/>
        <v>#VALUE!</v>
      </c>
      <c r="P254" s="75" t="e">
        <f t="shared" si="24"/>
        <v>#VALUE!</v>
      </c>
      <c r="Q254" s="78" t="e">
        <f t="shared" si="23"/>
        <v>#VALUE!</v>
      </c>
      <c r="R254" s="7" t="s">
        <v>109</v>
      </c>
      <c r="S254" s="80" t="s">
        <v>19</v>
      </c>
      <c r="T254" s="7"/>
      <c r="U254" s="3" t="s">
        <v>16</v>
      </c>
    </row>
    <row r="255" spans="1:21" x14ac:dyDescent="0.3">
      <c r="A255" s="10" t="s">
        <v>108</v>
      </c>
      <c r="B255" s="10" t="s">
        <v>76</v>
      </c>
      <c r="C255" s="37">
        <v>60954910</v>
      </c>
      <c r="D255" s="11">
        <v>2024</v>
      </c>
      <c r="E255" s="10" t="s">
        <v>17</v>
      </c>
      <c r="F255" s="41">
        <f t="shared" si="19"/>
        <v>5.1185376206773167E-4</v>
      </c>
      <c r="G255" s="8">
        <v>7</v>
      </c>
      <c r="H255" s="36">
        <f t="shared" si="20"/>
        <v>839.3795829763344</v>
      </c>
      <c r="I255" s="37">
        <v>312</v>
      </c>
      <c r="J255" s="12">
        <v>0.13300000000000001</v>
      </c>
      <c r="K255" s="12">
        <v>6</v>
      </c>
      <c r="L255" s="40">
        <f t="shared" si="21"/>
        <v>248.976</v>
      </c>
      <c r="M255" s="11">
        <v>8</v>
      </c>
      <c r="N255" s="12">
        <v>73.8</v>
      </c>
      <c r="O255" s="9">
        <f t="shared" si="22"/>
        <v>590.4</v>
      </c>
      <c r="P255" s="75">
        <f t="shared" si="24"/>
        <v>1.3770499915041043</v>
      </c>
      <c r="Q255" s="78">
        <f t="shared" si="23"/>
        <v>1.3676120295943894</v>
      </c>
      <c r="R255" s="10" t="s">
        <v>110</v>
      </c>
      <c r="S255" s="81" t="s">
        <v>19</v>
      </c>
      <c r="T255" s="10"/>
      <c r="U255" s="4"/>
    </row>
    <row r="256" spans="1:21" x14ac:dyDescent="0.3">
      <c r="A256" s="7" t="s">
        <v>108</v>
      </c>
      <c r="B256" s="7" t="s">
        <v>76</v>
      </c>
      <c r="C256" s="36">
        <v>60954910</v>
      </c>
      <c r="D256" s="8">
        <v>2024</v>
      </c>
      <c r="E256" s="7" t="s">
        <v>20</v>
      </c>
      <c r="F256" s="41">
        <f t="shared" si="19"/>
        <v>6.9067446740549692E-3</v>
      </c>
      <c r="G256" s="11">
        <v>7</v>
      </c>
      <c r="H256" s="36">
        <f t="shared" si="20"/>
        <v>661655.62834721268</v>
      </c>
      <c r="I256" s="36">
        <v>4210</v>
      </c>
      <c r="J256" s="9">
        <v>0.13300000000000001</v>
      </c>
      <c r="K256" s="9">
        <v>6</v>
      </c>
      <c r="L256" s="40">
        <f t="shared" si="21"/>
        <v>3359.5800000000004</v>
      </c>
      <c r="M256" s="8">
        <v>8920</v>
      </c>
      <c r="N256" s="9">
        <v>73.8</v>
      </c>
      <c r="O256" s="9">
        <f t="shared" si="22"/>
        <v>658296</v>
      </c>
      <c r="P256" s="75">
        <f t="shared" si="24"/>
        <v>1085.4837261628516</v>
      </c>
      <c r="Q256" s="78">
        <f t="shared" si="23"/>
        <v>99.998068903061565</v>
      </c>
      <c r="R256" s="7" t="s">
        <v>111</v>
      </c>
      <c r="S256" s="80" t="s">
        <v>19</v>
      </c>
      <c r="T256" s="7" t="s">
        <v>22</v>
      </c>
      <c r="U256" s="7"/>
    </row>
    <row r="257" spans="1:21" x14ac:dyDescent="0.3">
      <c r="A257" s="10" t="s">
        <v>108</v>
      </c>
      <c r="B257" s="10" t="s">
        <v>76</v>
      </c>
      <c r="C257" s="37">
        <v>60954910</v>
      </c>
      <c r="D257" s="11">
        <v>2024</v>
      </c>
      <c r="E257" s="10" t="s">
        <v>23</v>
      </c>
      <c r="F257" s="41">
        <f t="shared" si="19"/>
        <v>1.968668315645122E-5</v>
      </c>
      <c r="G257" s="8">
        <v>8</v>
      </c>
      <c r="H257" s="36">
        <f t="shared" si="20"/>
        <v>306.37215749346524</v>
      </c>
      <c r="I257" s="37">
        <v>12</v>
      </c>
      <c r="J257" s="12">
        <v>0.13300000000000001</v>
      </c>
      <c r="K257" s="12">
        <v>7</v>
      </c>
      <c r="L257" s="40">
        <f t="shared" si="21"/>
        <v>11.172000000000001</v>
      </c>
      <c r="M257" s="11">
        <v>4</v>
      </c>
      <c r="N257" s="12">
        <v>73.8</v>
      </c>
      <c r="O257" s="9">
        <f t="shared" si="22"/>
        <v>295.2</v>
      </c>
      <c r="P257" s="75">
        <f t="shared" si="24"/>
        <v>0.5026209660443518</v>
      </c>
      <c r="Q257" s="78">
        <f t="shared" si="23"/>
        <v>0.50135994047773025</v>
      </c>
      <c r="R257" s="10" t="s">
        <v>112</v>
      </c>
      <c r="S257" s="81" t="s">
        <v>25</v>
      </c>
      <c r="T257" s="10" t="s">
        <v>15</v>
      </c>
      <c r="U257" s="4"/>
    </row>
    <row r="258" spans="1:21" x14ac:dyDescent="0.3">
      <c r="A258" s="7" t="s">
        <v>108</v>
      </c>
      <c r="B258" s="7" t="s">
        <v>76</v>
      </c>
      <c r="C258" s="36">
        <v>60954910</v>
      </c>
      <c r="D258" s="8">
        <v>2024</v>
      </c>
      <c r="E258" s="7" t="s">
        <v>26</v>
      </c>
      <c r="F258" s="41">
        <f t="shared" ref="F258:F321" si="25">I258*100/C258</f>
        <v>2.9530024734676828E-2</v>
      </c>
      <c r="G258" s="11">
        <v>6</v>
      </c>
      <c r="H258" s="36">
        <f t="shared" ref="H258:H321" si="26">O258+L258+(G258*F258)</f>
        <v>11520.177180148408</v>
      </c>
      <c r="I258" s="36">
        <v>18000</v>
      </c>
      <c r="J258" s="9">
        <v>0.128</v>
      </c>
      <c r="K258" s="9">
        <v>5</v>
      </c>
      <c r="L258" s="40">
        <f t="shared" si="21"/>
        <v>11520</v>
      </c>
      <c r="M258" s="8">
        <v>0</v>
      </c>
      <c r="N258" s="9">
        <v>73.8</v>
      </c>
      <c r="O258" s="9">
        <f t="shared" si="22"/>
        <v>0</v>
      </c>
      <c r="P258" s="75">
        <f t="shared" si="24"/>
        <v>18.899506504313447</v>
      </c>
      <c r="Q258" s="78">
        <f t="shared" si="23"/>
        <v>17.220940820448206</v>
      </c>
      <c r="R258" s="7" t="s">
        <v>113</v>
      </c>
      <c r="S258" s="80" t="s">
        <v>28</v>
      </c>
      <c r="T258" s="7"/>
      <c r="U258" s="7"/>
    </row>
    <row r="259" spans="1:21" x14ac:dyDescent="0.3">
      <c r="A259" s="10" t="s">
        <v>108</v>
      </c>
      <c r="B259" s="10" t="s">
        <v>76</v>
      </c>
      <c r="C259" s="37">
        <v>60954910</v>
      </c>
      <c r="D259" s="11">
        <v>2024</v>
      </c>
      <c r="E259" s="10" t="s">
        <v>30</v>
      </c>
      <c r="F259" s="41">
        <f t="shared" si="25"/>
        <v>5.5778935609945123E-5</v>
      </c>
      <c r="G259" s="8">
        <v>6</v>
      </c>
      <c r="H259" s="36">
        <f t="shared" si="26"/>
        <v>5329.9203346736131</v>
      </c>
      <c r="I259" s="37">
        <v>34</v>
      </c>
      <c r="J259" s="12">
        <v>0.12</v>
      </c>
      <c r="K259" s="12">
        <v>4</v>
      </c>
      <c r="L259" s="40">
        <f t="shared" ref="L259:L322" si="27">I259*J259*K259</f>
        <v>16.32</v>
      </c>
      <c r="M259" s="11">
        <v>72</v>
      </c>
      <c r="N259" s="12">
        <v>73.8</v>
      </c>
      <c r="O259" s="9">
        <f t="shared" ref="O259:O322" si="28">M259*N259</f>
        <v>5313.5999999999995</v>
      </c>
      <c r="P259" s="75">
        <f t="shared" si="24"/>
        <v>8.7440377398204898</v>
      </c>
      <c r="Q259" s="78">
        <f t="shared" ref="Q259:Q322" si="29">100*(1-EXP(-P259/100))</f>
        <v>8.3726499367635991</v>
      </c>
      <c r="R259" s="10" t="s">
        <v>114</v>
      </c>
      <c r="S259" s="81" t="s">
        <v>29</v>
      </c>
      <c r="T259" s="10" t="s">
        <v>33</v>
      </c>
      <c r="U259" s="4"/>
    </row>
    <row r="260" spans="1:21" x14ac:dyDescent="0.3">
      <c r="A260" s="7" t="s">
        <v>108</v>
      </c>
      <c r="B260" s="7" t="s">
        <v>76</v>
      </c>
      <c r="C260" s="36">
        <v>61511064</v>
      </c>
      <c r="D260" s="8">
        <v>2025</v>
      </c>
      <c r="E260" s="7" t="s">
        <v>11</v>
      </c>
      <c r="F260" s="41" t="e">
        <f t="shared" si="25"/>
        <v>#VALUE!</v>
      </c>
      <c r="G260" s="11">
        <v>9</v>
      </c>
      <c r="H260" s="36" t="e">
        <f t="shared" si="26"/>
        <v>#VALUE!</v>
      </c>
      <c r="I260" s="73" t="s">
        <v>12</v>
      </c>
      <c r="J260" s="9">
        <v>0.13300000000000001</v>
      </c>
      <c r="K260" s="9">
        <v>8</v>
      </c>
      <c r="L260" s="40" t="e">
        <f t="shared" si="27"/>
        <v>#VALUE!</v>
      </c>
      <c r="M260" s="18" t="s">
        <v>12</v>
      </c>
      <c r="N260" s="9">
        <v>73.8</v>
      </c>
      <c r="O260" s="9" t="e">
        <f t="shared" si="28"/>
        <v>#VALUE!</v>
      </c>
      <c r="P260" s="75" t="e">
        <f t="shared" si="24"/>
        <v>#VALUE!</v>
      </c>
      <c r="Q260" s="78" t="e">
        <f t="shared" si="29"/>
        <v>#VALUE!</v>
      </c>
      <c r="R260" s="7" t="s">
        <v>109</v>
      </c>
      <c r="S260" s="80" t="s">
        <v>19</v>
      </c>
      <c r="T260" s="7"/>
      <c r="U260" s="3" t="s">
        <v>16</v>
      </c>
    </row>
    <row r="261" spans="1:21" x14ac:dyDescent="0.3">
      <c r="A261" s="10" t="s">
        <v>108</v>
      </c>
      <c r="B261" s="10" t="s">
        <v>76</v>
      </c>
      <c r="C261" s="37">
        <v>61511064</v>
      </c>
      <c r="D261" s="11">
        <v>2025</v>
      </c>
      <c r="E261" s="10" t="s">
        <v>17</v>
      </c>
      <c r="F261" s="41">
        <f t="shared" si="25"/>
        <v>5.0722582200821631E-4</v>
      </c>
      <c r="G261" s="8">
        <v>7</v>
      </c>
      <c r="H261" s="36">
        <f t="shared" si="26"/>
        <v>839.37955058075408</v>
      </c>
      <c r="I261" s="37">
        <v>312</v>
      </c>
      <c r="J261" s="12">
        <v>0.13300000000000001</v>
      </c>
      <c r="K261" s="12">
        <v>6</v>
      </c>
      <c r="L261" s="40">
        <f t="shared" si="27"/>
        <v>248.976</v>
      </c>
      <c r="M261" s="11">
        <v>8</v>
      </c>
      <c r="N261" s="12">
        <v>73.8</v>
      </c>
      <c r="O261" s="9">
        <f t="shared" si="28"/>
        <v>590.4</v>
      </c>
      <c r="P261" s="75">
        <f t="shared" si="24"/>
        <v>1.3645993029493915</v>
      </c>
      <c r="Q261" s="78">
        <f t="shared" si="29"/>
        <v>1.3553308536244923</v>
      </c>
      <c r="R261" s="10" t="s">
        <v>110</v>
      </c>
      <c r="S261" s="81" t="s">
        <v>19</v>
      </c>
      <c r="T261" s="10"/>
      <c r="U261" s="4"/>
    </row>
    <row r="262" spans="1:21" x14ac:dyDescent="0.3">
      <c r="A262" s="7" t="s">
        <v>108</v>
      </c>
      <c r="B262" s="7" t="s">
        <v>76</v>
      </c>
      <c r="C262" s="36">
        <v>61511064</v>
      </c>
      <c r="D262" s="8">
        <v>2025</v>
      </c>
      <c r="E262" s="7" t="s">
        <v>20</v>
      </c>
      <c r="F262" s="41">
        <f t="shared" si="25"/>
        <v>6.8442971495339443E-3</v>
      </c>
      <c r="G262" s="11">
        <v>7</v>
      </c>
      <c r="H262" s="36">
        <f t="shared" si="26"/>
        <v>661655.62791008002</v>
      </c>
      <c r="I262" s="36">
        <v>4210</v>
      </c>
      <c r="J262" s="9">
        <v>0.13300000000000001</v>
      </c>
      <c r="K262" s="9">
        <v>6</v>
      </c>
      <c r="L262" s="40">
        <f t="shared" si="27"/>
        <v>3359.5800000000004</v>
      </c>
      <c r="M262" s="8">
        <v>8920</v>
      </c>
      <c r="N262" s="9">
        <v>73.8</v>
      </c>
      <c r="O262" s="9">
        <f t="shared" si="28"/>
        <v>658296</v>
      </c>
      <c r="P262" s="75">
        <f t="shared" si="24"/>
        <v>1075.6692940802975</v>
      </c>
      <c r="Q262" s="78">
        <f t="shared" si="29"/>
        <v>99.997869764527309</v>
      </c>
      <c r="R262" s="7" t="s">
        <v>111</v>
      </c>
      <c r="S262" s="80" t="s">
        <v>19</v>
      </c>
      <c r="T262" s="7" t="s">
        <v>22</v>
      </c>
      <c r="U262" s="7"/>
    </row>
    <row r="263" spans="1:21" x14ac:dyDescent="0.3">
      <c r="A263" s="10" t="s">
        <v>108</v>
      </c>
      <c r="B263" s="10" t="s">
        <v>76</v>
      </c>
      <c r="C263" s="37">
        <v>61511064</v>
      </c>
      <c r="D263" s="11">
        <v>2025</v>
      </c>
      <c r="E263" s="10" t="s">
        <v>23</v>
      </c>
      <c r="F263" s="41">
        <f t="shared" si="25"/>
        <v>1.9508685461854473E-5</v>
      </c>
      <c r="G263" s="8">
        <v>8</v>
      </c>
      <c r="H263" s="36">
        <f t="shared" si="26"/>
        <v>306.37215606948371</v>
      </c>
      <c r="I263" s="37">
        <v>12</v>
      </c>
      <c r="J263" s="12">
        <v>0.13300000000000001</v>
      </c>
      <c r="K263" s="12">
        <v>7</v>
      </c>
      <c r="L263" s="40">
        <f t="shared" si="27"/>
        <v>11.172000000000001</v>
      </c>
      <c r="M263" s="11">
        <v>4</v>
      </c>
      <c r="N263" s="12">
        <v>73.8</v>
      </c>
      <c r="O263" s="9">
        <f t="shared" si="28"/>
        <v>295.2</v>
      </c>
      <c r="P263" s="75">
        <f t="shared" si="24"/>
        <v>0.4980765022524789</v>
      </c>
      <c r="Q263" s="78">
        <f t="shared" si="29"/>
        <v>0.49683815806221832</v>
      </c>
      <c r="R263" s="10" t="s">
        <v>112</v>
      </c>
      <c r="S263" s="81" t="s">
        <v>25</v>
      </c>
      <c r="T263" s="10" t="s">
        <v>15</v>
      </c>
      <c r="U263" s="4"/>
    </row>
    <row r="264" spans="1:21" x14ac:dyDescent="0.3">
      <c r="A264" s="7" t="s">
        <v>108</v>
      </c>
      <c r="B264" s="7" t="s">
        <v>76</v>
      </c>
      <c r="C264" s="36">
        <v>61511064</v>
      </c>
      <c r="D264" s="8">
        <v>2025</v>
      </c>
      <c r="E264" s="7" t="s">
        <v>26</v>
      </c>
      <c r="F264" s="41">
        <f t="shared" si="25"/>
        <v>2.9263028192781707E-2</v>
      </c>
      <c r="G264" s="11">
        <v>6</v>
      </c>
      <c r="H264" s="36">
        <f t="shared" si="26"/>
        <v>11520.175578169157</v>
      </c>
      <c r="I264" s="36">
        <v>18000</v>
      </c>
      <c r="J264" s="9">
        <v>0.128</v>
      </c>
      <c r="K264" s="9">
        <v>5</v>
      </c>
      <c r="L264" s="40">
        <f t="shared" si="27"/>
        <v>11520</v>
      </c>
      <c r="M264" s="8">
        <v>0</v>
      </c>
      <c r="N264" s="9">
        <v>73.8</v>
      </c>
      <c r="O264" s="9">
        <f t="shared" si="28"/>
        <v>0</v>
      </c>
      <c r="P264" s="75">
        <f t="shared" si="24"/>
        <v>18.728623484986631</v>
      </c>
      <c r="Q264" s="78">
        <f t="shared" si="29"/>
        <v>17.079364534287055</v>
      </c>
      <c r="R264" s="7" t="s">
        <v>113</v>
      </c>
      <c r="S264" s="80" t="s">
        <v>28</v>
      </c>
      <c r="T264" s="7"/>
      <c r="U264" s="7"/>
    </row>
    <row r="265" spans="1:21" x14ac:dyDescent="0.3">
      <c r="A265" s="10" t="s">
        <v>108</v>
      </c>
      <c r="B265" s="10" t="s">
        <v>76</v>
      </c>
      <c r="C265" s="37">
        <v>61511064</v>
      </c>
      <c r="D265" s="11">
        <v>2025</v>
      </c>
      <c r="E265" s="10" t="s">
        <v>30</v>
      </c>
      <c r="F265" s="41">
        <f t="shared" si="25"/>
        <v>5.527460880858767E-5</v>
      </c>
      <c r="G265" s="8">
        <v>6</v>
      </c>
      <c r="H265" s="36">
        <f t="shared" si="26"/>
        <v>5329.9203316476523</v>
      </c>
      <c r="I265" s="37">
        <v>34</v>
      </c>
      <c r="J265" s="12">
        <v>0.12</v>
      </c>
      <c r="K265" s="12">
        <v>4</v>
      </c>
      <c r="L265" s="40">
        <f t="shared" si="27"/>
        <v>16.32</v>
      </c>
      <c r="M265" s="11">
        <v>72</v>
      </c>
      <c r="N265" s="12">
        <v>73.8</v>
      </c>
      <c r="O265" s="9">
        <f t="shared" si="28"/>
        <v>5313.5999999999995</v>
      </c>
      <c r="P265" s="75">
        <f t="shared" si="24"/>
        <v>8.6649782739047598</v>
      </c>
      <c r="Q265" s="78">
        <f t="shared" si="29"/>
        <v>8.3001812002474917</v>
      </c>
      <c r="R265" s="10" t="s">
        <v>114</v>
      </c>
      <c r="S265" s="81" t="s">
        <v>29</v>
      </c>
      <c r="T265" s="10" t="s">
        <v>33</v>
      </c>
      <c r="U265" s="10"/>
    </row>
    <row r="266" spans="1:21" ht="22.8" x14ac:dyDescent="0.3">
      <c r="A266" s="7" t="s">
        <v>117</v>
      </c>
      <c r="B266" s="7" t="s">
        <v>118</v>
      </c>
      <c r="C266" s="36">
        <v>79109272</v>
      </c>
      <c r="D266" s="8">
        <v>2015</v>
      </c>
      <c r="E266" s="7" t="s">
        <v>11</v>
      </c>
      <c r="F266" s="41">
        <f t="shared" si="25"/>
        <v>1.0618224371980063E-4</v>
      </c>
      <c r="G266" s="11">
        <v>9</v>
      </c>
      <c r="H266" s="36">
        <f t="shared" si="26"/>
        <v>3926.9769556401934</v>
      </c>
      <c r="I266" s="36">
        <v>84</v>
      </c>
      <c r="J266" s="9">
        <v>0.13300000000000001</v>
      </c>
      <c r="K266" s="9">
        <v>8</v>
      </c>
      <c r="L266" s="40">
        <f t="shared" si="27"/>
        <v>89.376000000000005</v>
      </c>
      <c r="M266" s="8">
        <v>52</v>
      </c>
      <c r="N266" s="9">
        <v>73.8</v>
      </c>
      <c r="O266" s="9">
        <f t="shared" si="28"/>
        <v>3837.6</v>
      </c>
      <c r="P266" s="75">
        <f t="shared" si="24"/>
        <v>4.9639907641169971</v>
      </c>
      <c r="Q266" s="78">
        <f t="shared" si="29"/>
        <v>4.8427983373327539</v>
      </c>
      <c r="R266" s="7" t="s">
        <v>119</v>
      </c>
      <c r="S266" s="80" t="s">
        <v>19</v>
      </c>
      <c r="T266" s="7" t="s">
        <v>51</v>
      </c>
      <c r="U266" s="7"/>
    </row>
    <row r="267" spans="1:21" x14ac:dyDescent="0.3">
      <c r="A267" s="10" t="s">
        <v>117</v>
      </c>
      <c r="B267" s="10" t="s">
        <v>118</v>
      </c>
      <c r="C267" s="37">
        <v>79109272</v>
      </c>
      <c r="D267" s="11">
        <v>2015</v>
      </c>
      <c r="E267" s="10" t="s">
        <v>17</v>
      </c>
      <c r="F267" s="41">
        <f t="shared" si="25"/>
        <v>5.3091121859900317E-4</v>
      </c>
      <c r="G267" s="8">
        <v>7</v>
      </c>
      <c r="H267" s="36">
        <f t="shared" si="26"/>
        <v>1663.5637163785302</v>
      </c>
      <c r="I267" s="37">
        <v>420</v>
      </c>
      <c r="J267" s="12">
        <v>0.13300000000000001</v>
      </c>
      <c r="K267" s="12">
        <v>6</v>
      </c>
      <c r="L267" s="40">
        <f t="shared" si="27"/>
        <v>335.15999999999997</v>
      </c>
      <c r="M267" s="11">
        <v>18</v>
      </c>
      <c r="N267" s="12">
        <v>73.8</v>
      </c>
      <c r="O267" s="9">
        <f t="shared" si="28"/>
        <v>1328.3999999999999</v>
      </c>
      <c r="P267" s="75">
        <f t="shared" si="24"/>
        <v>2.1028681901895525</v>
      </c>
      <c r="Q267" s="78">
        <f t="shared" si="29"/>
        <v>2.0809120890042276</v>
      </c>
      <c r="R267" s="10" t="s">
        <v>120</v>
      </c>
      <c r="S267" s="81" t="s">
        <v>19</v>
      </c>
      <c r="T267" s="10" t="s">
        <v>99</v>
      </c>
      <c r="U267" s="4"/>
    </row>
    <row r="268" spans="1:21" x14ac:dyDescent="0.3">
      <c r="A268" s="7" t="s">
        <v>117</v>
      </c>
      <c r="B268" s="7" t="s">
        <v>118</v>
      </c>
      <c r="C268" s="36">
        <v>79109272</v>
      </c>
      <c r="D268" s="8">
        <v>2015</v>
      </c>
      <c r="E268" s="7" t="s">
        <v>20</v>
      </c>
      <c r="F268" s="41">
        <f t="shared" si="25"/>
        <v>1.0365409505980539E-4</v>
      </c>
      <c r="G268" s="11">
        <v>7</v>
      </c>
      <c r="H268" s="36">
        <f t="shared" si="26"/>
        <v>2574.6367255786654</v>
      </c>
      <c r="I268" s="36">
        <v>82</v>
      </c>
      <c r="J268" s="9">
        <v>0.13300000000000001</v>
      </c>
      <c r="K268" s="9">
        <v>6</v>
      </c>
      <c r="L268" s="40">
        <f t="shared" si="27"/>
        <v>65.436000000000007</v>
      </c>
      <c r="M268" s="8">
        <v>34</v>
      </c>
      <c r="N268" s="9">
        <v>73.8</v>
      </c>
      <c r="O268" s="9">
        <f t="shared" si="28"/>
        <v>2509.1999999999998</v>
      </c>
      <c r="P268" s="75">
        <f t="shared" si="24"/>
        <v>3.2545321938731342</v>
      </c>
      <c r="Q268" s="78">
        <f t="shared" si="29"/>
        <v>3.2021421828673957</v>
      </c>
      <c r="R268" s="7" t="s">
        <v>121</v>
      </c>
      <c r="S268" s="80" t="s">
        <v>19</v>
      </c>
      <c r="T268" s="7"/>
      <c r="U268" s="7"/>
    </row>
    <row r="269" spans="1:21" x14ac:dyDescent="0.3">
      <c r="A269" s="10" t="s">
        <v>117</v>
      </c>
      <c r="B269" s="10" t="s">
        <v>118</v>
      </c>
      <c r="C269" s="37">
        <v>79109272</v>
      </c>
      <c r="D269" s="11">
        <v>2015</v>
      </c>
      <c r="E269" s="10" t="s">
        <v>23</v>
      </c>
      <c r="F269" s="41">
        <f t="shared" si="25"/>
        <v>6.0675567839886078E-5</v>
      </c>
      <c r="G269" s="8">
        <v>8</v>
      </c>
      <c r="H269" s="36">
        <f t="shared" si="26"/>
        <v>2111.088485404543</v>
      </c>
      <c r="I269" s="37">
        <v>48</v>
      </c>
      <c r="J269" s="12">
        <v>0.13300000000000001</v>
      </c>
      <c r="K269" s="12">
        <v>7</v>
      </c>
      <c r="L269" s="40">
        <f t="shared" si="27"/>
        <v>44.688000000000002</v>
      </c>
      <c r="M269" s="11">
        <v>28</v>
      </c>
      <c r="N269" s="12">
        <v>73.8</v>
      </c>
      <c r="O269" s="9">
        <f t="shared" si="28"/>
        <v>2066.4</v>
      </c>
      <c r="P269" s="75">
        <f t="shared" si="24"/>
        <v>2.6685727627534517</v>
      </c>
      <c r="Q269" s="78">
        <f t="shared" si="29"/>
        <v>2.6332809855942219</v>
      </c>
      <c r="R269" s="10" t="s">
        <v>122</v>
      </c>
      <c r="S269" s="81" t="s">
        <v>25</v>
      </c>
      <c r="T269" s="10" t="s">
        <v>15</v>
      </c>
      <c r="U269" s="4"/>
    </row>
    <row r="270" spans="1:21" x14ac:dyDescent="0.3">
      <c r="A270" s="7" t="s">
        <v>117</v>
      </c>
      <c r="B270" s="7" t="s">
        <v>118</v>
      </c>
      <c r="C270" s="36">
        <v>79109272</v>
      </c>
      <c r="D270" s="8">
        <v>2015</v>
      </c>
      <c r="E270" s="7" t="s">
        <v>26</v>
      </c>
      <c r="F270" s="41">
        <f t="shared" si="25"/>
        <v>7.8372608459852847E-2</v>
      </c>
      <c r="G270" s="11">
        <v>6</v>
      </c>
      <c r="H270" s="36">
        <f t="shared" si="26"/>
        <v>39680.470235650762</v>
      </c>
      <c r="I270" s="36">
        <v>62000</v>
      </c>
      <c r="J270" s="9">
        <v>0.128</v>
      </c>
      <c r="K270" s="9">
        <v>5</v>
      </c>
      <c r="L270" s="40">
        <f t="shared" si="27"/>
        <v>39680</v>
      </c>
      <c r="M270" s="8">
        <v>0</v>
      </c>
      <c r="N270" s="9">
        <v>73.8</v>
      </c>
      <c r="O270" s="9">
        <f t="shared" si="28"/>
        <v>0</v>
      </c>
      <c r="P270" s="75">
        <f t="shared" si="24"/>
        <v>50.159063827120995</v>
      </c>
      <c r="Q270" s="78">
        <f t="shared" si="29"/>
        <v>39.443334427329631</v>
      </c>
      <c r="R270" s="7" t="s">
        <v>123</v>
      </c>
      <c r="S270" s="80" t="s">
        <v>28</v>
      </c>
      <c r="T270" s="7"/>
      <c r="U270" s="7"/>
    </row>
    <row r="271" spans="1:21" x14ac:dyDescent="0.3">
      <c r="A271" s="10" t="s">
        <v>117</v>
      </c>
      <c r="B271" s="10" t="s">
        <v>118</v>
      </c>
      <c r="C271" s="37">
        <v>79109272</v>
      </c>
      <c r="D271" s="11">
        <v>2015</v>
      </c>
      <c r="E271" s="10" t="s">
        <v>30</v>
      </c>
      <c r="F271" s="41">
        <f t="shared" si="25"/>
        <v>6.8260013819871829E-5</v>
      </c>
      <c r="G271" s="8">
        <v>6</v>
      </c>
      <c r="H271" s="36">
        <f t="shared" si="26"/>
        <v>13900.320409560083</v>
      </c>
      <c r="I271" s="37">
        <v>54</v>
      </c>
      <c r="J271" s="12">
        <v>0.12</v>
      </c>
      <c r="K271" s="12">
        <v>4</v>
      </c>
      <c r="L271" s="40">
        <f t="shared" si="27"/>
        <v>25.919999999999998</v>
      </c>
      <c r="M271" s="11">
        <v>188</v>
      </c>
      <c r="N271" s="12">
        <v>73.8</v>
      </c>
      <c r="O271" s="9">
        <f t="shared" si="28"/>
        <v>13874.4</v>
      </c>
      <c r="P271" s="75">
        <f t="shared" si="24"/>
        <v>17.571038208466994</v>
      </c>
      <c r="Q271" s="78">
        <f t="shared" si="29"/>
        <v>16.11391026964133</v>
      </c>
      <c r="R271" s="10" t="s">
        <v>124</v>
      </c>
      <c r="S271" s="81" t="s">
        <v>29</v>
      </c>
      <c r="T271" s="10" t="s">
        <v>33</v>
      </c>
      <c r="U271" s="4"/>
    </row>
    <row r="272" spans="1:21" ht="22.8" x14ac:dyDescent="0.3">
      <c r="A272" s="7" t="s">
        <v>117</v>
      </c>
      <c r="B272" s="7" t="s">
        <v>118</v>
      </c>
      <c r="C272" s="36">
        <v>80277428</v>
      </c>
      <c r="D272" s="8">
        <v>2016</v>
      </c>
      <c r="E272" s="7" t="s">
        <v>11</v>
      </c>
      <c r="F272" s="41">
        <f t="shared" si="25"/>
        <v>1.0463713411446116E-4</v>
      </c>
      <c r="G272" s="11">
        <v>9</v>
      </c>
      <c r="H272" s="36">
        <f t="shared" si="26"/>
        <v>3926.9769417342072</v>
      </c>
      <c r="I272" s="36">
        <v>84</v>
      </c>
      <c r="J272" s="9">
        <v>0.13300000000000001</v>
      </c>
      <c r="K272" s="9">
        <v>8</v>
      </c>
      <c r="L272" s="40">
        <f t="shared" si="27"/>
        <v>89.376000000000005</v>
      </c>
      <c r="M272" s="8">
        <v>52</v>
      </c>
      <c r="N272" s="9">
        <v>73.8</v>
      </c>
      <c r="O272" s="9">
        <f t="shared" si="28"/>
        <v>3837.6</v>
      </c>
      <c r="P272" s="75">
        <f t="shared" si="24"/>
        <v>4.8917572966266523</v>
      </c>
      <c r="Q272" s="78">
        <f t="shared" si="29"/>
        <v>4.7740381600646202</v>
      </c>
      <c r="R272" s="7" t="s">
        <v>119</v>
      </c>
      <c r="S272" s="80" t="s">
        <v>19</v>
      </c>
      <c r="T272" s="7" t="s">
        <v>51</v>
      </c>
      <c r="U272" s="7"/>
    </row>
    <row r="273" spans="1:21" x14ac:dyDescent="0.3">
      <c r="A273" s="10" t="s">
        <v>117</v>
      </c>
      <c r="B273" s="10" t="s">
        <v>118</v>
      </c>
      <c r="C273" s="37">
        <v>80277428</v>
      </c>
      <c r="D273" s="11">
        <v>2016</v>
      </c>
      <c r="E273" s="10" t="s">
        <v>17</v>
      </c>
      <c r="F273" s="41">
        <f t="shared" si="25"/>
        <v>4.7335846385113383E-4</v>
      </c>
      <c r="G273" s="8">
        <v>7</v>
      </c>
      <c r="H273" s="36">
        <f t="shared" si="26"/>
        <v>1188.8433135092469</v>
      </c>
      <c r="I273" s="37">
        <v>380</v>
      </c>
      <c r="J273" s="12">
        <v>0.13300000000000001</v>
      </c>
      <c r="K273" s="12">
        <v>6</v>
      </c>
      <c r="L273" s="40">
        <f t="shared" si="27"/>
        <v>303.24</v>
      </c>
      <c r="M273" s="11">
        <v>12</v>
      </c>
      <c r="N273" s="12">
        <v>73.8</v>
      </c>
      <c r="O273" s="9">
        <f t="shared" si="28"/>
        <v>885.59999999999991</v>
      </c>
      <c r="P273" s="75">
        <f t="shared" si="24"/>
        <v>1.4809185385327079</v>
      </c>
      <c r="Q273" s="78">
        <f t="shared" si="29"/>
        <v>1.4700068706561709</v>
      </c>
      <c r="R273" s="10" t="s">
        <v>125</v>
      </c>
      <c r="S273" s="81" t="s">
        <v>19</v>
      </c>
      <c r="T273" s="10" t="s">
        <v>99</v>
      </c>
      <c r="U273" s="4"/>
    </row>
    <row r="274" spans="1:21" x14ac:dyDescent="0.3">
      <c r="A274" s="7" t="s">
        <v>117</v>
      </c>
      <c r="B274" s="7" t="s">
        <v>118</v>
      </c>
      <c r="C274" s="36">
        <v>80277428</v>
      </c>
      <c r="D274" s="8">
        <v>2016</v>
      </c>
      <c r="E274" s="7" t="s">
        <v>20</v>
      </c>
      <c r="F274" s="41">
        <f t="shared" si="25"/>
        <v>1.0214577377840256E-4</v>
      </c>
      <c r="G274" s="11">
        <v>7</v>
      </c>
      <c r="H274" s="36">
        <f t="shared" si="26"/>
        <v>2574.6367150204164</v>
      </c>
      <c r="I274" s="36">
        <v>82</v>
      </c>
      <c r="J274" s="9">
        <v>0.13300000000000001</v>
      </c>
      <c r="K274" s="9">
        <v>6</v>
      </c>
      <c r="L274" s="40">
        <f t="shared" si="27"/>
        <v>65.436000000000007</v>
      </c>
      <c r="M274" s="8">
        <v>34</v>
      </c>
      <c r="N274" s="9">
        <v>73.8</v>
      </c>
      <c r="O274" s="9">
        <f t="shared" si="28"/>
        <v>2509.1999999999998</v>
      </c>
      <c r="P274" s="75">
        <f t="shared" si="24"/>
        <v>3.2071738957810361</v>
      </c>
      <c r="Q274" s="78">
        <f t="shared" si="29"/>
        <v>3.1562895081493902</v>
      </c>
      <c r="R274" s="7" t="s">
        <v>121</v>
      </c>
      <c r="S274" s="80" t="s">
        <v>19</v>
      </c>
      <c r="T274" s="7"/>
      <c r="U274" s="7"/>
    </row>
    <row r="275" spans="1:21" x14ac:dyDescent="0.3">
      <c r="A275" s="10" t="s">
        <v>117</v>
      </c>
      <c r="B275" s="10" t="s">
        <v>118</v>
      </c>
      <c r="C275" s="37">
        <v>80277428</v>
      </c>
      <c r="D275" s="11">
        <v>2016</v>
      </c>
      <c r="E275" s="10" t="s">
        <v>23</v>
      </c>
      <c r="F275" s="41">
        <f t="shared" si="25"/>
        <v>5.9792648065406379E-5</v>
      </c>
      <c r="G275" s="8">
        <v>8</v>
      </c>
      <c r="H275" s="36">
        <f t="shared" si="26"/>
        <v>2111.0884783411848</v>
      </c>
      <c r="I275" s="37">
        <v>48</v>
      </c>
      <c r="J275" s="12">
        <v>0.13300000000000001</v>
      </c>
      <c r="K275" s="12">
        <v>7</v>
      </c>
      <c r="L275" s="40">
        <f t="shared" si="27"/>
        <v>44.688000000000002</v>
      </c>
      <c r="M275" s="11">
        <v>28</v>
      </c>
      <c r="N275" s="12">
        <v>73.8</v>
      </c>
      <c r="O275" s="9">
        <f t="shared" si="28"/>
        <v>2066.4</v>
      </c>
      <c r="P275" s="75">
        <f t="shared" si="24"/>
        <v>2.6297410504247654</v>
      </c>
      <c r="Q275" s="78">
        <f t="shared" si="29"/>
        <v>2.5954644794394244</v>
      </c>
      <c r="R275" s="10" t="s">
        <v>122</v>
      </c>
      <c r="S275" s="81" t="s">
        <v>25</v>
      </c>
      <c r="T275" s="10" t="s">
        <v>15</v>
      </c>
      <c r="U275" s="4"/>
    </row>
    <row r="276" spans="1:21" x14ac:dyDescent="0.3">
      <c r="A276" s="7" t="s">
        <v>117</v>
      </c>
      <c r="B276" s="7" t="s">
        <v>118</v>
      </c>
      <c r="C276" s="36">
        <v>80277428</v>
      </c>
      <c r="D276" s="8">
        <v>2016</v>
      </c>
      <c r="E276" s="7" t="s">
        <v>26</v>
      </c>
      <c r="F276" s="41">
        <f t="shared" si="25"/>
        <v>7.7232170417816576E-2</v>
      </c>
      <c r="G276" s="11">
        <v>6</v>
      </c>
      <c r="H276" s="36">
        <f t="shared" si="26"/>
        <v>39680.46339302251</v>
      </c>
      <c r="I276" s="36">
        <v>62000</v>
      </c>
      <c r="J276" s="9">
        <v>0.128</v>
      </c>
      <c r="K276" s="9">
        <v>5</v>
      </c>
      <c r="L276" s="40">
        <f t="shared" si="27"/>
        <v>39680</v>
      </c>
      <c r="M276" s="8">
        <v>0</v>
      </c>
      <c r="N276" s="9">
        <v>73.8</v>
      </c>
      <c r="O276" s="9">
        <f t="shared" si="28"/>
        <v>0</v>
      </c>
      <c r="P276" s="75">
        <f t="shared" si="24"/>
        <v>49.429166306900747</v>
      </c>
      <c r="Q276" s="78">
        <f t="shared" si="29"/>
        <v>38.999715815845889</v>
      </c>
      <c r="R276" s="7" t="s">
        <v>123</v>
      </c>
      <c r="S276" s="80" t="s">
        <v>28</v>
      </c>
      <c r="T276" s="7"/>
      <c r="U276" s="7"/>
    </row>
    <row r="277" spans="1:21" x14ac:dyDescent="0.3">
      <c r="A277" s="10" t="s">
        <v>117</v>
      </c>
      <c r="B277" s="10" t="s">
        <v>118</v>
      </c>
      <c r="C277" s="37">
        <v>80277428</v>
      </c>
      <c r="D277" s="11">
        <v>2016</v>
      </c>
      <c r="E277" s="10" t="s">
        <v>30</v>
      </c>
      <c r="F277" s="41">
        <f t="shared" si="25"/>
        <v>6.7266729073582176E-5</v>
      </c>
      <c r="G277" s="8">
        <v>6</v>
      </c>
      <c r="H277" s="36">
        <f t="shared" si="26"/>
        <v>13900.320403600374</v>
      </c>
      <c r="I277" s="37">
        <v>54</v>
      </c>
      <c r="J277" s="12">
        <v>0.12</v>
      </c>
      <c r="K277" s="12">
        <v>4</v>
      </c>
      <c r="L277" s="40">
        <f t="shared" si="27"/>
        <v>25.919999999999998</v>
      </c>
      <c r="M277" s="11">
        <v>188</v>
      </c>
      <c r="N277" s="12">
        <v>73.8</v>
      </c>
      <c r="O277" s="9">
        <f t="shared" si="28"/>
        <v>13874.4</v>
      </c>
      <c r="P277" s="75">
        <f t="shared" si="24"/>
        <v>17.315353456018013</v>
      </c>
      <c r="Q277" s="78">
        <f t="shared" si="29"/>
        <v>15.899151893562014</v>
      </c>
      <c r="R277" s="10" t="s">
        <v>124</v>
      </c>
      <c r="S277" s="81" t="s">
        <v>29</v>
      </c>
      <c r="T277" s="10" t="s">
        <v>33</v>
      </c>
      <c r="U277" s="4"/>
    </row>
    <row r="278" spans="1:21" ht="22.8" x14ac:dyDescent="0.3">
      <c r="A278" s="7" t="s">
        <v>117</v>
      </c>
      <c r="B278" s="7" t="s">
        <v>118</v>
      </c>
      <c r="C278" s="36">
        <v>81162788</v>
      </c>
      <c r="D278" s="8">
        <v>2017</v>
      </c>
      <c r="E278" s="7" t="s">
        <v>11</v>
      </c>
      <c r="F278" s="41">
        <f t="shared" si="25"/>
        <v>1.0349570544570253E-4</v>
      </c>
      <c r="G278" s="11">
        <v>9</v>
      </c>
      <c r="H278" s="36">
        <f t="shared" si="26"/>
        <v>3926.9769314613491</v>
      </c>
      <c r="I278" s="36">
        <v>84</v>
      </c>
      <c r="J278" s="9">
        <v>0.13300000000000001</v>
      </c>
      <c r="K278" s="9">
        <v>8</v>
      </c>
      <c r="L278" s="40">
        <f t="shared" si="27"/>
        <v>89.376000000000005</v>
      </c>
      <c r="M278" s="8">
        <v>52</v>
      </c>
      <c r="N278" s="9">
        <v>73.8</v>
      </c>
      <c r="O278" s="9">
        <f t="shared" si="28"/>
        <v>3837.6</v>
      </c>
      <c r="P278" s="75">
        <f t="shared" si="24"/>
        <v>4.8383958070308637</v>
      </c>
      <c r="Q278" s="78">
        <f t="shared" si="29"/>
        <v>4.7232106083816339</v>
      </c>
      <c r="R278" s="7" t="s">
        <v>119</v>
      </c>
      <c r="S278" s="80" t="s">
        <v>19</v>
      </c>
      <c r="T278" s="7" t="s">
        <v>51</v>
      </c>
      <c r="U278" s="7"/>
    </row>
    <row r="279" spans="1:21" x14ac:dyDescent="0.3">
      <c r="A279" s="10" t="s">
        <v>117</v>
      </c>
      <c r="B279" s="10" t="s">
        <v>118</v>
      </c>
      <c r="C279" s="37">
        <v>81162788</v>
      </c>
      <c r="D279" s="11">
        <v>2017</v>
      </c>
      <c r="E279" s="10" t="s">
        <v>17</v>
      </c>
      <c r="F279" s="41">
        <f t="shared" si="25"/>
        <v>6.4068770037815849E-4</v>
      </c>
      <c r="G279" s="8">
        <v>7</v>
      </c>
      <c r="H279" s="36">
        <f t="shared" si="26"/>
        <v>2186.1644848139026</v>
      </c>
      <c r="I279" s="37">
        <v>520</v>
      </c>
      <c r="J279" s="12">
        <v>0.13300000000000001</v>
      </c>
      <c r="K279" s="12">
        <v>6</v>
      </c>
      <c r="L279" s="40">
        <f t="shared" si="27"/>
        <v>414.96</v>
      </c>
      <c r="M279" s="11">
        <v>24</v>
      </c>
      <c r="N279" s="12">
        <v>73.8</v>
      </c>
      <c r="O279" s="9">
        <f t="shared" si="28"/>
        <v>1771.1999999999998</v>
      </c>
      <c r="P279" s="75">
        <f t="shared" si="24"/>
        <v>2.6935551854304252</v>
      </c>
      <c r="Q279" s="78">
        <f t="shared" si="29"/>
        <v>2.6576025127052594</v>
      </c>
      <c r="R279" s="10" t="s">
        <v>126</v>
      </c>
      <c r="S279" s="81" t="s">
        <v>19</v>
      </c>
      <c r="T279" s="10" t="s">
        <v>99</v>
      </c>
      <c r="U279" s="4"/>
    </row>
    <row r="280" spans="1:21" x14ac:dyDescent="0.3">
      <c r="A280" s="7" t="s">
        <v>117</v>
      </c>
      <c r="B280" s="7" t="s">
        <v>118</v>
      </c>
      <c r="C280" s="36">
        <v>81162788</v>
      </c>
      <c r="D280" s="8">
        <v>2017</v>
      </c>
      <c r="E280" s="7" t="s">
        <v>20</v>
      </c>
      <c r="F280" s="41">
        <f t="shared" si="25"/>
        <v>1.0103152198270961E-4</v>
      </c>
      <c r="G280" s="11">
        <v>7</v>
      </c>
      <c r="H280" s="36">
        <f t="shared" si="26"/>
        <v>2574.636707220654</v>
      </c>
      <c r="I280" s="36">
        <v>82</v>
      </c>
      <c r="J280" s="9">
        <v>0.13300000000000001</v>
      </c>
      <c r="K280" s="9">
        <v>6</v>
      </c>
      <c r="L280" s="40">
        <f t="shared" si="27"/>
        <v>65.436000000000007</v>
      </c>
      <c r="M280" s="8">
        <v>34</v>
      </c>
      <c r="N280" s="9">
        <v>73.8</v>
      </c>
      <c r="O280" s="9">
        <f t="shared" si="28"/>
        <v>2509.1999999999998</v>
      </c>
      <c r="P280" s="75">
        <f t="shared" si="24"/>
        <v>3.1721885985738365</v>
      </c>
      <c r="Q280" s="78">
        <f t="shared" si="29"/>
        <v>3.1224025208213546</v>
      </c>
      <c r="R280" s="7" t="s">
        <v>121</v>
      </c>
      <c r="S280" s="80" t="s">
        <v>19</v>
      </c>
      <c r="T280" s="7"/>
      <c r="U280" s="7"/>
    </row>
    <row r="281" spans="1:21" x14ac:dyDescent="0.3">
      <c r="A281" s="10" t="s">
        <v>117</v>
      </c>
      <c r="B281" s="10" t="s">
        <v>118</v>
      </c>
      <c r="C281" s="37">
        <v>81162788</v>
      </c>
      <c r="D281" s="11">
        <v>2017</v>
      </c>
      <c r="E281" s="10" t="s">
        <v>23</v>
      </c>
      <c r="F281" s="41">
        <f t="shared" si="25"/>
        <v>5.9140403111830015E-5</v>
      </c>
      <c r="G281" s="8">
        <v>8</v>
      </c>
      <c r="H281" s="36">
        <f t="shared" si="26"/>
        <v>2111.088473123225</v>
      </c>
      <c r="I281" s="37">
        <v>48</v>
      </c>
      <c r="J281" s="12">
        <v>0.13300000000000001</v>
      </c>
      <c r="K281" s="12">
        <v>7</v>
      </c>
      <c r="L281" s="40">
        <f t="shared" si="27"/>
        <v>44.688000000000002</v>
      </c>
      <c r="M281" s="11">
        <v>28</v>
      </c>
      <c r="N281" s="12">
        <v>73.8</v>
      </c>
      <c r="O281" s="9">
        <f t="shared" si="28"/>
        <v>2066.4</v>
      </c>
      <c r="P281" s="75">
        <f t="shared" si="24"/>
        <v>2.6010546521926092</v>
      </c>
      <c r="Q281" s="78">
        <f t="shared" si="29"/>
        <v>2.567518618344955</v>
      </c>
      <c r="R281" s="10" t="s">
        <v>122</v>
      </c>
      <c r="S281" s="81" t="s">
        <v>25</v>
      </c>
      <c r="T281" s="10" t="s">
        <v>15</v>
      </c>
      <c r="U281" s="4"/>
    </row>
    <row r="282" spans="1:21" x14ac:dyDescent="0.3">
      <c r="A282" s="7" t="s">
        <v>117</v>
      </c>
      <c r="B282" s="7" t="s">
        <v>118</v>
      </c>
      <c r="C282" s="36">
        <v>81162788</v>
      </c>
      <c r="D282" s="8">
        <v>2017</v>
      </c>
      <c r="E282" s="7" t="s">
        <v>26</v>
      </c>
      <c r="F282" s="41">
        <f t="shared" si="25"/>
        <v>7.6389687352780442E-2</v>
      </c>
      <c r="G282" s="11">
        <v>6</v>
      </c>
      <c r="H282" s="36">
        <f t="shared" si="26"/>
        <v>39680.458338124117</v>
      </c>
      <c r="I282" s="36">
        <v>62000</v>
      </c>
      <c r="J282" s="9">
        <v>0.128</v>
      </c>
      <c r="K282" s="9">
        <v>5</v>
      </c>
      <c r="L282" s="40">
        <f t="shared" si="27"/>
        <v>39680</v>
      </c>
      <c r="M282" s="8">
        <v>0</v>
      </c>
      <c r="N282" s="9">
        <v>73.8</v>
      </c>
      <c r="O282" s="9">
        <f t="shared" si="28"/>
        <v>0</v>
      </c>
      <c r="P282" s="75">
        <f t="shared" si="24"/>
        <v>48.889964620392433</v>
      </c>
      <c r="Q282" s="78">
        <f t="shared" si="29"/>
        <v>38.66991290236713</v>
      </c>
      <c r="R282" s="7" t="s">
        <v>123</v>
      </c>
      <c r="S282" s="80" t="s">
        <v>28</v>
      </c>
      <c r="T282" s="7"/>
      <c r="U282" s="7"/>
    </row>
    <row r="283" spans="1:21" x14ac:dyDescent="0.3">
      <c r="A283" s="10" t="s">
        <v>117</v>
      </c>
      <c r="B283" s="10" t="s">
        <v>118</v>
      </c>
      <c r="C283" s="37">
        <v>81162788</v>
      </c>
      <c r="D283" s="11">
        <v>2017</v>
      </c>
      <c r="E283" s="10" t="s">
        <v>30</v>
      </c>
      <c r="F283" s="41">
        <f t="shared" si="25"/>
        <v>6.6532953500808765E-5</v>
      </c>
      <c r="G283" s="8">
        <v>6</v>
      </c>
      <c r="H283" s="36">
        <f t="shared" si="26"/>
        <v>13900.320399197721</v>
      </c>
      <c r="I283" s="37">
        <v>54</v>
      </c>
      <c r="J283" s="12">
        <v>0.12</v>
      </c>
      <c r="K283" s="12">
        <v>4</v>
      </c>
      <c r="L283" s="40">
        <f t="shared" si="27"/>
        <v>25.919999999999998</v>
      </c>
      <c r="M283" s="11">
        <v>188</v>
      </c>
      <c r="N283" s="12">
        <v>73.8</v>
      </c>
      <c r="O283" s="9">
        <f t="shared" si="28"/>
        <v>13874.4</v>
      </c>
      <c r="P283" s="75">
        <f t="shared" si="24"/>
        <v>17.126469829003067</v>
      </c>
      <c r="Q283" s="78">
        <f t="shared" si="29"/>
        <v>15.740149043405937</v>
      </c>
      <c r="R283" s="10" t="s">
        <v>124</v>
      </c>
      <c r="S283" s="81" t="s">
        <v>29</v>
      </c>
      <c r="T283" s="10" t="s">
        <v>33</v>
      </c>
      <c r="U283" s="10"/>
    </row>
    <row r="284" spans="1:21" ht="22.8" x14ac:dyDescent="0.3">
      <c r="A284" s="7" t="s">
        <v>117</v>
      </c>
      <c r="B284" s="7" t="s">
        <v>118</v>
      </c>
      <c r="C284" s="36">
        <v>82011735</v>
      </c>
      <c r="D284" s="8">
        <v>2018</v>
      </c>
      <c r="E284" s="7" t="s">
        <v>11</v>
      </c>
      <c r="F284" s="41">
        <f t="shared" si="25"/>
        <v>1.0242436646414078E-4</v>
      </c>
      <c r="G284" s="11">
        <v>9</v>
      </c>
      <c r="H284" s="36">
        <f t="shared" si="26"/>
        <v>3926.9769218192982</v>
      </c>
      <c r="I284" s="36">
        <v>84</v>
      </c>
      <c r="J284" s="9">
        <v>0.13300000000000001</v>
      </c>
      <c r="K284" s="9">
        <v>8</v>
      </c>
      <c r="L284" s="40">
        <f t="shared" si="27"/>
        <v>89.376000000000005</v>
      </c>
      <c r="M284" s="8">
        <v>52</v>
      </c>
      <c r="N284" s="9">
        <v>73.8</v>
      </c>
      <c r="O284" s="9">
        <f t="shared" si="28"/>
        <v>3837.6</v>
      </c>
      <c r="P284" s="75">
        <f t="shared" si="24"/>
        <v>4.7883109921028959</v>
      </c>
      <c r="Q284" s="78">
        <f t="shared" si="29"/>
        <v>4.6754794527128158</v>
      </c>
      <c r="R284" s="7" t="s">
        <v>119</v>
      </c>
      <c r="S284" s="80" t="s">
        <v>19</v>
      </c>
      <c r="T284" s="7" t="s">
        <v>51</v>
      </c>
      <c r="U284" s="7"/>
    </row>
    <row r="285" spans="1:21" ht="22.8" x14ac:dyDescent="0.3">
      <c r="A285" s="10" t="s">
        <v>117</v>
      </c>
      <c r="B285" s="10" t="s">
        <v>118</v>
      </c>
      <c r="C285" s="37">
        <v>82011735</v>
      </c>
      <c r="D285" s="11">
        <v>2018</v>
      </c>
      <c r="E285" s="10" t="s">
        <v>17</v>
      </c>
      <c r="F285" s="41">
        <f t="shared" si="25"/>
        <v>8.291496332811396E-4</v>
      </c>
      <c r="G285" s="8">
        <v>7</v>
      </c>
      <c r="H285" s="36">
        <f t="shared" si="26"/>
        <v>3199.4458040474324</v>
      </c>
      <c r="I285" s="37">
        <v>680</v>
      </c>
      <c r="J285" s="12">
        <v>0.13300000000000001</v>
      </c>
      <c r="K285" s="12">
        <v>6</v>
      </c>
      <c r="L285" s="40">
        <f t="shared" si="27"/>
        <v>542.64</v>
      </c>
      <c r="M285" s="11">
        <v>36</v>
      </c>
      <c r="N285" s="12">
        <v>73.8</v>
      </c>
      <c r="O285" s="9">
        <f t="shared" si="28"/>
        <v>2656.7999999999997</v>
      </c>
      <c r="P285" s="75">
        <f t="shared" ref="P285:P348" si="30">H285/C285*100000</f>
        <v>3.9012048751894257</v>
      </c>
      <c r="Q285" s="78">
        <f t="shared" si="29"/>
        <v>3.8260878679502341</v>
      </c>
      <c r="R285" s="10" t="s">
        <v>127</v>
      </c>
      <c r="S285" s="81" t="s">
        <v>19</v>
      </c>
      <c r="T285" s="10" t="s">
        <v>99</v>
      </c>
      <c r="U285" s="4"/>
    </row>
    <row r="286" spans="1:21" x14ac:dyDescent="0.3">
      <c r="A286" s="7" t="s">
        <v>117</v>
      </c>
      <c r="B286" s="7" t="s">
        <v>118</v>
      </c>
      <c r="C286" s="36">
        <v>82011735</v>
      </c>
      <c r="D286" s="8">
        <v>2018</v>
      </c>
      <c r="E286" s="7" t="s">
        <v>20</v>
      </c>
      <c r="F286" s="41">
        <f t="shared" si="25"/>
        <v>9.9985691072137421E-5</v>
      </c>
      <c r="G286" s="11">
        <v>7</v>
      </c>
      <c r="H286" s="36">
        <f t="shared" si="26"/>
        <v>2574.6366998998374</v>
      </c>
      <c r="I286" s="36">
        <v>82</v>
      </c>
      <c r="J286" s="9">
        <v>0.13300000000000001</v>
      </c>
      <c r="K286" s="9">
        <v>6</v>
      </c>
      <c r="L286" s="40">
        <f t="shared" si="27"/>
        <v>65.436000000000007</v>
      </c>
      <c r="M286" s="8">
        <v>34</v>
      </c>
      <c r="N286" s="9">
        <v>73.8</v>
      </c>
      <c r="O286" s="9">
        <f t="shared" si="28"/>
        <v>2509.1999999999998</v>
      </c>
      <c r="P286" s="75">
        <f t="shared" si="30"/>
        <v>3.1393515816972259</v>
      </c>
      <c r="Q286" s="78">
        <f t="shared" si="29"/>
        <v>3.0905855842069396</v>
      </c>
      <c r="R286" s="7" t="s">
        <v>121</v>
      </c>
      <c r="S286" s="80" t="s">
        <v>19</v>
      </c>
      <c r="T286" s="7"/>
      <c r="U286" s="7"/>
    </row>
    <row r="287" spans="1:21" x14ac:dyDescent="0.3">
      <c r="A287" s="10" t="s">
        <v>117</v>
      </c>
      <c r="B287" s="10" t="s">
        <v>118</v>
      </c>
      <c r="C287" s="37">
        <v>82011735</v>
      </c>
      <c r="D287" s="11">
        <v>2018</v>
      </c>
      <c r="E287" s="10" t="s">
        <v>23</v>
      </c>
      <c r="F287" s="41">
        <f t="shared" si="25"/>
        <v>5.8528209408080441E-5</v>
      </c>
      <c r="G287" s="8">
        <v>8</v>
      </c>
      <c r="H287" s="36">
        <f t="shared" si="26"/>
        <v>2111.0884682256756</v>
      </c>
      <c r="I287" s="37">
        <v>48</v>
      </c>
      <c r="J287" s="12">
        <v>0.13300000000000001</v>
      </c>
      <c r="K287" s="12">
        <v>7</v>
      </c>
      <c r="L287" s="40">
        <f t="shared" si="27"/>
        <v>44.688000000000002</v>
      </c>
      <c r="M287" s="11">
        <v>28</v>
      </c>
      <c r="N287" s="12">
        <v>73.8</v>
      </c>
      <c r="O287" s="9">
        <f t="shared" si="28"/>
        <v>2066.4</v>
      </c>
      <c r="P287" s="75">
        <f t="shared" si="30"/>
        <v>2.5741297489020023</v>
      </c>
      <c r="Q287" s="78">
        <f t="shared" si="29"/>
        <v>2.5412814849564147</v>
      </c>
      <c r="R287" s="10" t="s">
        <v>122</v>
      </c>
      <c r="S287" s="81" t="s">
        <v>25</v>
      </c>
      <c r="T287" s="10" t="s">
        <v>15</v>
      </c>
      <c r="U287" s="4"/>
    </row>
    <row r="288" spans="1:21" x14ac:dyDescent="0.3">
      <c r="A288" s="7" t="s">
        <v>117</v>
      </c>
      <c r="B288" s="7" t="s">
        <v>118</v>
      </c>
      <c r="C288" s="36">
        <v>82011735</v>
      </c>
      <c r="D288" s="8">
        <v>2018</v>
      </c>
      <c r="E288" s="7" t="s">
        <v>26</v>
      </c>
      <c r="F288" s="41">
        <f t="shared" si="25"/>
        <v>7.5598937152103904E-2</v>
      </c>
      <c r="G288" s="11">
        <v>6</v>
      </c>
      <c r="H288" s="36">
        <f t="shared" si="26"/>
        <v>39680.453593622915</v>
      </c>
      <c r="I288" s="36">
        <v>62000</v>
      </c>
      <c r="J288" s="9">
        <v>0.128</v>
      </c>
      <c r="K288" s="9">
        <v>5</v>
      </c>
      <c r="L288" s="40">
        <f t="shared" si="27"/>
        <v>39680</v>
      </c>
      <c r="M288" s="8">
        <v>0</v>
      </c>
      <c r="N288" s="9">
        <v>73.8</v>
      </c>
      <c r="O288" s="9">
        <f t="shared" si="28"/>
        <v>0</v>
      </c>
      <c r="P288" s="75">
        <f t="shared" si="30"/>
        <v>48.383872861149584</v>
      </c>
      <c r="Q288" s="78">
        <f t="shared" si="29"/>
        <v>38.358739638677477</v>
      </c>
      <c r="R288" s="7" t="s">
        <v>123</v>
      </c>
      <c r="S288" s="80" t="s">
        <v>28</v>
      </c>
      <c r="T288" s="7"/>
      <c r="U288" s="7"/>
    </row>
    <row r="289" spans="1:21" x14ac:dyDescent="0.3">
      <c r="A289" s="10" t="s">
        <v>117</v>
      </c>
      <c r="B289" s="10" t="s">
        <v>118</v>
      </c>
      <c r="C289" s="37">
        <v>82011735</v>
      </c>
      <c r="D289" s="11">
        <v>2018</v>
      </c>
      <c r="E289" s="10" t="s">
        <v>30</v>
      </c>
      <c r="F289" s="41">
        <f t="shared" si="25"/>
        <v>6.58442355840905E-5</v>
      </c>
      <c r="G289" s="8">
        <v>6</v>
      </c>
      <c r="H289" s="36">
        <f t="shared" si="26"/>
        <v>13900.320395065413</v>
      </c>
      <c r="I289" s="37">
        <v>54</v>
      </c>
      <c r="J289" s="12">
        <v>0.12</v>
      </c>
      <c r="K289" s="12">
        <v>4</v>
      </c>
      <c r="L289" s="40">
        <f t="shared" si="27"/>
        <v>25.919999999999998</v>
      </c>
      <c r="M289" s="11">
        <v>188</v>
      </c>
      <c r="N289" s="12">
        <v>73.8</v>
      </c>
      <c r="O289" s="9">
        <f t="shared" si="28"/>
        <v>13874.4</v>
      </c>
      <c r="P289" s="75">
        <f t="shared" si="30"/>
        <v>16.949184644204166</v>
      </c>
      <c r="Q289" s="78">
        <f t="shared" si="29"/>
        <v>15.590636318130525</v>
      </c>
      <c r="R289" s="10" t="s">
        <v>124</v>
      </c>
      <c r="S289" s="81" t="s">
        <v>29</v>
      </c>
      <c r="T289" s="10" t="s">
        <v>33</v>
      </c>
      <c r="U289" s="4"/>
    </row>
    <row r="290" spans="1:21" ht="22.8" x14ac:dyDescent="0.3">
      <c r="A290" s="7" t="s">
        <v>117</v>
      </c>
      <c r="B290" s="7" t="s">
        <v>118</v>
      </c>
      <c r="C290" s="36">
        <v>82913906</v>
      </c>
      <c r="D290" s="8">
        <v>2019</v>
      </c>
      <c r="E290" s="7" t="s">
        <v>11</v>
      </c>
      <c r="F290" s="41">
        <f t="shared" si="25"/>
        <v>1.0130990572317267E-4</v>
      </c>
      <c r="G290" s="11">
        <v>9</v>
      </c>
      <c r="H290" s="36">
        <f t="shared" si="26"/>
        <v>3926.9769117891515</v>
      </c>
      <c r="I290" s="36">
        <v>84</v>
      </c>
      <c r="J290" s="9">
        <v>0.13300000000000001</v>
      </c>
      <c r="K290" s="9">
        <v>8</v>
      </c>
      <c r="L290" s="40">
        <f t="shared" si="27"/>
        <v>89.376000000000005</v>
      </c>
      <c r="M290" s="8">
        <v>52</v>
      </c>
      <c r="N290" s="9">
        <v>73.8</v>
      </c>
      <c r="O290" s="9">
        <f t="shared" si="28"/>
        <v>3837.6</v>
      </c>
      <c r="P290" s="75">
        <f t="shared" si="30"/>
        <v>4.736210246552794</v>
      </c>
      <c r="Q290" s="78">
        <f t="shared" si="29"/>
        <v>4.6258017267065572</v>
      </c>
      <c r="R290" s="7" t="s">
        <v>119</v>
      </c>
      <c r="S290" s="80" t="s">
        <v>19</v>
      </c>
      <c r="T290" s="7" t="s">
        <v>51</v>
      </c>
      <c r="U290" s="7"/>
    </row>
    <row r="291" spans="1:21" ht="22.8" x14ac:dyDescent="0.3">
      <c r="A291" s="10" t="s">
        <v>117</v>
      </c>
      <c r="B291" s="10" t="s">
        <v>118</v>
      </c>
      <c r="C291" s="37">
        <v>82913906</v>
      </c>
      <c r="D291" s="11">
        <v>2019</v>
      </c>
      <c r="E291" s="10" t="s">
        <v>17</v>
      </c>
      <c r="F291" s="41">
        <f t="shared" si="25"/>
        <v>4.1006390411760362E-3</v>
      </c>
      <c r="G291" s="8">
        <v>7</v>
      </c>
      <c r="H291" s="36">
        <f t="shared" si="26"/>
        <v>113413.22870447328</v>
      </c>
      <c r="I291" s="37">
        <v>3400</v>
      </c>
      <c r="J291" s="12">
        <v>0.13300000000000001</v>
      </c>
      <c r="K291" s="12">
        <v>6</v>
      </c>
      <c r="L291" s="40">
        <f t="shared" si="27"/>
        <v>2713.2000000000003</v>
      </c>
      <c r="M291" s="11">
        <v>1500</v>
      </c>
      <c r="N291" s="12">
        <v>73.8</v>
      </c>
      <c r="O291" s="9">
        <f t="shared" si="28"/>
        <v>110700</v>
      </c>
      <c r="P291" s="75">
        <f t="shared" si="30"/>
        <v>136.78432747393816</v>
      </c>
      <c r="Q291" s="78">
        <f t="shared" si="29"/>
        <v>74.534441013887204</v>
      </c>
      <c r="R291" s="10" t="s">
        <v>128</v>
      </c>
      <c r="S291" s="81" t="s">
        <v>19</v>
      </c>
      <c r="T291" s="10" t="s">
        <v>129</v>
      </c>
      <c r="U291" s="4"/>
    </row>
    <row r="292" spans="1:21" x14ac:dyDescent="0.3">
      <c r="A292" s="7" t="s">
        <v>117</v>
      </c>
      <c r="B292" s="7" t="s">
        <v>118</v>
      </c>
      <c r="C292" s="36">
        <v>82913906</v>
      </c>
      <c r="D292" s="8">
        <v>2019</v>
      </c>
      <c r="E292" s="7" t="s">
        <v>20</v>
      </c>
      <c r="F292" s="41">
        <f t="shared" si="25"/>
        <v>9.8897765110716169E-5</v>
      </c>
      <c r="G292" s="11">
        <v>7</v>
      </c>
      <c r="H292" s="36">
        <f t="shared" si="26"/>
        <v>2574.6366922843558</v>
      </c>
      <c r="I292" s="36">
        <v>82</v>
      </c>
      <c r="J292" s="9">
        <v>0.13300000000000001</v>
      </c>
      <c r="K292" s="9">
        <v>6</v>
      </c>
      <c r="L292" s="40">
        <f t="shared" si="27"/>
        <v>65.436000000000007</v>
      </c>
      <c r="M292" s="8">
        <v>34</v>
      </c>
      <c r="N292" s="9">
        <v>73.8</v>
      </c>
      <c r="O292" s="9">
        <f t="shared" si="28"/>
        <v>2509.1999999999998</v>
      </c>
      <c r="P292" s="75">
        <f t="shared" si="30"/>
        <v>3.1051928638898714</v>
      </c>
      <c r="Q292" s="78">
        <f t="shared" si="29"/>
        <v>3.0574769163816184</v>
      </c>
      <c r="R292" s="7" t="s">
        <v>121</v>
      </c>
      <c r="S292" s="80" t="s">
        <v>19</v>
      </c>
      <c r="T292" s="7"/>
      <c r="U292" s="7"/>
    </row>
    <row r="293" spans="1:21" x14ac:dyDescent="0.3">
      <c r="A293" s="10" t="s">
        <v>117</v>
      </c>
      <c r="B293" s="10" t="s">
        <v>118</v>
      </c>
      <c r="C293" s="37">
        <v>82913906</v>
      </c>
      <c r="D293" s="11">
        <v>2019</v>
      </c>
      <c r="E293" s="10" t="s">
        <v>23</v>
      </c>
      <c r="F293" s="41">
        <f t="shared" si="25"/>
        <v>5.7891374698955808E-5</v>
      </c>
      <c r="G293" s="8">
        <v>8</v>
      </c>
      <c r="H293" s="36">
        <f t="shared" si="26"/>
        <v>2111.0884631309978</v>
      </c>
      <c r="I293" s="37">
        <v>48</v>
      </c>
      <c r="J293" s="12">
        <v>0.13300000000000001</v>
      </c>
      <c r="K293" s="12">
        <v>7</v>
      </c>
      <c r="L293" s="40">
        <f t="shared" si="27"/>
        <v>44.688000000000002</v>
      </c>
      <c r="M293" s="11">
        <v>28</v>
      </c>
      <c r="N293" s="12">
        <v>73.8</v>
      </c>
      <c r="O293" s="9">
        <f t="shared" si="28"/>
        <v>2066.4</v>
      </c>
      <c r="P293" s="75">
        <f t="shared" si="30"/>
        <v>2.5461211092033196</v>
      </c>
      <c r="Q293" s="78">
        <f t="shared" si="29"/>
        <v>2.5139808005358866</v>
      </c>
      <c r="R293" s="10" t="s">
        <v>122</v>
      </c>
      <c r="S293" s="81" t="s">
        <v>25</v>
      </c>
      <c r="T293" s="10" t="s">
        <v>15</v>
      </c>
      <c r="U293" s="4"/>
    </row>
    <row r="294" spans="1:21" x14ac:dyDescent="0.3">
      <c r="A294" s="7" t="s">
        <v>117</v>
      </c>
      <c r="B294" s="7" t="s">
        <v>118</v>
      </c>
      <c r="C294" s="36">
        <v>82913906</v>
      </c>
      <c r="D294" s="8">
        <v>2019</v>
      </c>
      <c r="E294" s="7" t="s">
        <v>26</v>
      </c>
      <c r="F294" s="41">
        <f t="shared" si="25"/>
        <v>7.4776358986151245E-2</v>
      </c>
      <c r="G294" s="11">
        <v>6</v>
      </c>
      <c r="H294" s="36">
        <f t="shared" si="26"/>
        <v>39680.448658153917</v>
      </c>
      <c r="I294" s="36">
        <v>62000</v>
      </c>
      <c r="J294" s="9">
        <v>0.128</v>
      </c>
      <c r="K294" s="9">
        <v>5</v>
      </c>
      <c r="L294" s="40">
        <f t="shared" si="27"/>
        <v>39680</v>
      </c>
      <c r="M294" s="8">
        <v>0</v>
      </c>
      <c r="N294" s="9">
        <v>73.8</v>
      </c>
      <c r="O294" s="9">
        <f t="shared" si="28"/>
        <v>0</v>
      </c>
      <c r="P294" s="75">
        <f t="shared" si="30"/>
        <v>47.857410864413886</v>
      </c>
      <c r="Q294" s="78">
        <f t="shared" si="29"/>
        <v>38.033366096051665</v>
      </c>
      <c r="R294" s="7" t="s">
        <v>123</v>
      </c>
      <c r="S294" s="80" t="s">
        <v>28</v>
      </c>
      <c r="T294" s="7"/>
      <c r="U294" s="7"/>
    </row>
    <row r="295" spans="1:21" x14ac:dyDescent="0.3">
      <c r="A295" s="10" t="s">
        <v>117</v>
      </c>
      <c r="B295" s="10" t="s">
        <v>118</v>
      </c>
      <c r="C295" s="37">
        <v>82913906</v>
      </c>
      <c r="D295" s="11">
        <v>2019</v>
      </c>
      <c r="E295" s="10" t="s">
        <v>30</v>
      </c>
      <c r="F295" s="41">
        <f t="shared" si="25"/>
        <v>6.5127796536325276E-5</v>
      </c>
      <c r="G295" s="8">
        <v>6</v>
      </c>
      <c r="H295" s="36">
        <f t="shared" si="26"/>
        <v>13900.320390766779</v>
      </c>
      <c r="I295" s="37">
        <v>54</v>
      </c>
      <c r="J295" s="12">
        <v>0.12</v>
      </c>
      <c r="K295" s="12">
        <v>4</v>
      </c>
      <c r="L295" s="40">
        <f t="shared" si="27"/>
        <v>25.919999999999998</v>
      </c>
      <c r="M295" s="11">
        <v>188</v>
      </c>
      <c r="N295" s="12">
        <v>73.8</v>
      </c>
      <c r="O295" s="9">
        <f t="shared" si="28"/>
        <v>13874.4</v>
      </c>
      <c r="P295" s="75">
        <f t="shared" si="30"/>
        <v>16.764763670362822</v>
      </c>
      <c r="Q295" s="78">
        <f t="shared" si="29"/>
        <v>15.43482411658661</v>
      </c>
      <c r="R295" s="10" t="s">
        <v>124</v>
      </c>
      <c r="S295" s="81" t="s">
        <v>29</v>
      </c>
      <c r="T295" s="10" t="s">
        <v>33</v>
      </c>
      <c r="U295" s="4"/>
    </row>
    <row r="296" spans="1:21" ht="22.8" x14ac:dyDescent="0.3">
      <c r="A296" s="7" t="s">
        <v>117</v>
      </c>
      <c r="B296" s="7" t="s">
        <v>118</v>
      </c>
      <c r="C296" s="36">
        <v>83992949</v>
      </c>
      <c r="D296" s="8">
        <v>2020</v>
      </c>
      <c r="E296" s="7" t="s">
        <v>11</v>
      </c>
      <c r="F296" s="41">
        <f t="shared" si="25"/>
        <v>1.0000839475227855E-4</v>
      </c>
      <c r="G296" s="11">
        <v>9</v>
      </c>
      <c r="H296" s="36">
        <f t="shared" si="26"/>
        <v>3926.9769000755527</v>
      </c>
      <c r="I296" s="36">
        <v>84</v>
      </c>
      <c r="J296" s="9">
        <v>0.13300000000000001</v>
      </c>
      <c r="K296" s="9">
        <v>8</v>
      </c>
      <c r="L296" s="40">
        <f t="shared" si="27"/>
        <v>89.376000000000005</v>
      </c>
      <c r="M296" s="8">
        <v>52</v>
      </c>
      <c r="N296" s="9">
        <v>73.8</v>
      </c>
      <c r="O296" s="9">
        <f t="shared" si="28"/>
        <v>3837.6</v>
      </c>
      <c r="P296" s="75">
        <f t="shared" si="30"/>
        <v>4.6753649524504164</v>
      </c>
      <c r="Q296" s="78">
        <f t="shared" si="29"/>
        <v>4.5677533572096802</v>
      </c>
      <c r="R296" s="7" t="s">
        <v>119</v>
      </c>
      <c r="S296" s="80" t="s">
        <v>19</v>
      </c>
      <c r="T296" s="7" t="s">
        <v>51</v>
      </c>
      <c r="U296" s="7"/>
    </row>
    <row r="297" spans="1:21" x14ac:dyDescent="0.3">
      <c r="A297" s="10" t="s">
        <v>117</v>
      </c>
      <c r="B297" s="10" t="s">
        <v>118</v>
      </c>
      <c r="C297" s="37">
        <v>83992949</v>
      </c>
      <c r="D297" s="11">
        <v>2020</v>
      </c>
      <c r="E297" s="10" t="s">
        <v>17</v>
      </c>
      <c r="F297" s="41">
        <f t="shared" si="25"/>
        <v>4.8813621248135962E-4</v>
      </c>
      <c r="G297" s="8">
        <v>7</v>
      </c>
      <c r="H297" s="36">
        <f t="shared" si="26"/>
        <v>1360.3834169534875</v>
      </c>
      <c r="I297" s="37">
        <v>410</v>
      </c>
      <c r="J297" s="12">
        <v>0.13300000000000001</v>
      </c>
      <c r="K297" s="12">
        <v>6</v>
      </c>
      <c r="L297" s="40">
        <f t="shared" si="27"/>
        <v>327.18</v>
      </c>
      <c r="M297" s="11">
        <v>14</v>
      </c>
      <c r="N297" s="12">
        <v>73.8</v>
      </c>
      <c r="O297" s="9">
        <f t="shared" si="28"/>
        <v>1033.2</v>
      </c>
      <c r="P297" s="75">
        <f t="shared" si="30"/>
        <v>1.6196400211564039</v>
      </c>
      <c r="Q297" s="78">
        <f t="shared" si="29"/>
        <v>1.6065943779429492</v>
      </c>
      <c r="R297" s="10" t="s">
        <v>130</v>
      </c>
      <c r="S297" s="81" t="s">
        <v>19</v>
      </c>
      <c r="T297" s="10" t="s">
        <v>99</v>
      </c>
      <c r="U297" s="4"/>
    </row>
    <row r="298" spans="1:21" x14ac:dyDescent="0.3">
      <c r="A298" s="7" t="s">
        <v>117</v>
      </c>
      <c r="B298" s="7" t="s">
        <v>118</v>
      </c>
      <c r="C298" s="36">
        <v>83992949</v>
      </c>
      <c r="D298" s="8">
        <v>2020</v>
      </c>
      <c r="E298" s="7" t="s">
        <v>20</v>
      </c>
      <c r="F298" s="41">
        <f t="shared" si="25"/>
        <v>9.7627242496271916E-5</v>
      </c>
      <c r="G298" s="11">
        <v>7</v>
      </c>
      <c r="H298" s="36">
        <f t="shared" si="26"/>
        <v>2574.6366833906973</v>
      </c>
      <c r="I298" s="36">
        <v>82</v>
      </c>
      <c r="J298" s="9">
        <v>0.13300000000000001</v>
      </c>
      <c r="K298" s="9">
        <v>6</v>
      </c>
      <c r="L298" s="40">
        <f t="shared" si="27"/>
        <v>65.436000000000007</v>
      </c>
      <c r="M298" s="8">
        <v>34</v>
      </c>
      <c r="N298" s="9">
        <v>73.8</v>
      </c>
      <c r="O298" s="9">
        <f t="shared" si="28"/>
        <v>2509.1999999999998</v>
      </c>
      <c r="P298" s="75">
        <f t="shared" si="30"/>
        <v>3.0653009735265959</v>
      </c>
      <c r="Q298" s="78">
        <f t="shared" si="29"/>
        <v>3.0187969967950923</v>
      </c>
      <c r="R298" s="7" t="s">
        <v>121</v>
      </c>
      <c r="S298" s="80" t="s">
        <v>19</v>
      </c>
      <c r="T298" s="7"/>
      <c r="U298" s="2"/>
    </row>
    <row r="299" spans="1:21" x14ac:dyDescent="0.3">
      <c r="A299" s="10" t="s">
        <v>117</v>
      </c>
      <c r="B299" s="10" t="s">
        <v>118</v>
      </c>
      <c r="C299" s="37">
        <v>83992949</v>
      </c>
      <c r="D299" s="11">
        <v>2020</v>
      </c>
      <c r="E299" s="10" t="s">
        <v>23</v>
      </c>
      <c r="F299" s="41">
        <f t="shared" si="25"/>
        <v>5.7147654144159169E-5</v>
      </c>
      <c r="G299" s="8">
        <v>8</v>
      </c>
      <c r="H299" s="36">
        <f t="shared" si="26"/>
        <v>2111.0884571812335</v>
      </c>
      <c r="I299" s="37">
        <v>48</v>
      </c>
      <c r="J299" s="12">
        <v>0.13300000000000001</v>
      </c>
      <c r="K299" s="12">
        <v>7</v>
      </c>
      <c r="L299" s="40">
        <f t="shared" si="27"/>
        <v>44.688000000000002</v>
      </c>
      <c r="M299" s="11">
        <v>28</v>
      </c>
      <c r="N299" s="12">
        <v>73.8</v>
      </c>
      <c r="O299" s="9">
        <f t="shared" si="28"/>
        <v>2066.4</v>
      </c>
      <c r="P299" s="75">
        <f t="shared" si="30"/>
        <v>2.5134115212233277</v>
      </c>
      <c r="Q299" s="78">
        <f t="shared" si="29"/>
        <v>2.4820883096508206</v>
      </c>
      <c r="R299" s="10" t="s">
        <v>122</v>
      </c>
      <c r="S299" s="81" t="s">
        <v>25</v>
      </c>
      <c r="T299" s="10" t="s">
        <v>15</v>
      </c>
      <c r="U299" s="4"/>
    </row>
    <row r="300" spans="1:21" x14ac:dyDescent="0.3">
      <c r="A300" s="7" t="s">
        <v>117</v>
      </c>
      <c r="B300" s="7" t="s">
        <v>118</v>
      </c>
      <c r="C300" s="36">
        <v>83992949</v>
      </c>
      <c r="D300" s="8">
        <v>2020</v>
      </c>
      <c r="E300" s="7" t="s">
        <v>26</v>
      </c>
      <c r="F300" s="41">
        <f t="shared" si="25"/>
        <v>7.3815719936205601E-2</v>
      </c>
      <c r="G300" s="11">
        <v>6</v>
      </c>
      <c r="H300" s="36">
        <f t="shared" si="26"/>
        <v>39680.442894319618</v>
      </c>
      <c r="I300" s="36">
        <v>62000</v>
      </c>
      <c r="J300" s="9">
        <v>0.128</v>
      </c>
      <c r="K300" s="9">
        <v>5</v>
      </c>
      <c r="L300" s="40">
        <f t="shared" si="27"/>
        <v>39680</v>
      </c>
      <c r="M300" s="8">
        <v>0</v>
      </c>
      <c r="N300" s="9">
        <v>73.8</v>
      </c>
      <c r="O300" s="9">
        <f t="shared" si="28"/>
        <v>0</v>
      </c>
      <c r="P300" s="75">
        <f t="shared" si="30"/>
        <v>47.242588058575748</v>
      </c>
      <c r="Q300" s="78">
        <f t="shared" si="29"/>
        <v>37.651207503530685</v>
      </c>
      <c r="R300" s="7" t="s">
        <v>123</v>
      </c>
      <c r="S300" s="80" t="s">
        <v>28</v>
      </c>
      <c r="T300" s="7"/>
      <c r="U300" s="7"/>
    </row>
    <row r="301" spans="1:21" x14ac:dyDescent="0.3">
      <c r="A301" s="10" t="s">
        <v>117</v>
      </c>
      <c r="B301" s="10" t="s">
        <v>118</v>
      </c>
      <c r="C301" s="37">
        <v>83992949</v>
      </c>
      <c r="D301" s="11">
        <v>2020</v>
      </c>
      <c r="E301" s="10" t="s">
        <v>30</v>
      </c>
      <c r="F301" s="41">
        <f t="shared" si="25"/>
        <v>6.429111091217907E-5</v>
      </c>
      <c r="G301" s="8">
        <v>6</v>
      </c>
      <c r="H301" s="36">
        <f t="shared" si="26"/>
        <v>13900.320385746665</v>
      </c>
      <c r="I301" s="37">
        <v>54</v>
      </c>
      <c r="J301" s="12">
        <v>0.12</v>
      </c>
      <c r="K301" s="12">
        <v>4</v>
      </c>
      <c r="L301" s="40">
        <f t="shared" si="27"/>
        <v>25.919999999999998</v>
      </c>
      <c r="M301" s="11">
        <v>188</v>
      </c>
      <c r="N301" s="12">
        <v>73.8</v>
      </c>
      <c r="O301" s="9">
        <f t="shared" si="28"/>
        <v>13874.4</v>
      </c>
      <c r="P301" s="75">
        <f t="shared" si="30"/>
        <v>16.549389622867825</v>
      </c>
      <c r="Q301" s="78">
        <f t="shared" si="29"/>
        <v>15.252496401704352</v>
      </c>
      <c r="R301" s="10" t="s">
        <v>124</v>
      </c>
      <c r="S301" s="81" t="s">
        <v>29</v>
      </c>
      <c r="T301" s="10" t="s">
        <v>33</v>
      </c>
      <c r="U301" s="10"/>
    </row>
    <row r="302" spans="1:21" ht="22.8" x14ac:dyDescent="0.3">
      <c r="A302" s="7" t="s">
        <v>117</v>
      </c>
      <c r="B302" s="7" t="s">
        <v>118</v>
      </c>
      <c r="C302" s="36">
        <v>85028759</v>
      </c>
      <c r="D302" s="8">
        <v>2021</v>
      </c>
      <c r="E302" s="7" t="s">
        <v>11</v>
      </c>
      <c r="F302" s="41">
        <f t="shared" si="25"/>
        <v>9.8790104651533256E-5</v>
      </c>
      <c r="G302" s="11">
        <v>9</v>
      </c>
      <c r="H302" s="36">
        <f t="shared" si="26"/>
        <v>3926.976889110942</v>
      </c>
      <c r="I302" s="36">
        <v>84</v>
      </c>
      <c r="J302" s="9">
        <v>0.13300000000000001</v>
      </c>
      <c r="K302" s="9">
        <v>8</v>
      </c>
      <c r="L302" s="40">
        <f t="shared" si="27"/>
        <v>89.376000000000005</v>
      </c>
      <c r="M302" s="8">
        <v>52</v>
      </c>
      <c r="N302" s="9">
        <v>73.8</v>
      </c>
      <c r="O302" s="9">
        <f t="shared" si="28"/>
        <v>3837.6</v>
      </c>
      <c r="P302" s="75">
        <f t="shared" si="30"/>
        <v>4.6184102123740773</v>
      </c>
      <c r="Q302" s="78">
        <f t="shared" si="29"/>
        <v>4.513384687887811</v>
      </c>
      <c r="R302" s="7" t="s">
        <v>119</v>
      </c>
      <c r="S302" s="80" t="s">
        <v>19</v>
      </c>
      <c r="T302" s="7" t="s">
        <v>51</v>
      </c>
      <c r="U302" s="7"/>
    </row>
    <row r="303" spans="1:21" x14ac:dyDescent="0.3">
      <c r="A303" s="10" t="s">
        <v>117</v>
      </c>
      <c r="B303" s="10" t="s">
        <v>118</v>
      </c>
      <c r="C303" s="37">
        <v>85028759</v>
      </c>
      <c r="D303" s="11">
        <v>2021</v>
      </c>
      <c r="E303" s="10" t="s">
        <v>17</v>
      </c>
      <c r="F303" s="41">
        <f t="shared" si="25"/>
        <v>4.469076162807457E-4</v>
      </c>
      <c r="G303" s="8">
        <v>7</v>
      </c>
      <c r="H303" s="36">
        <f t="shared" si="26"/>
        <v>1041.243128353314</v>
      </c>
      <c r="I303" s="37">
        <v>380</v>
      </c>
      <c r="J303" s="12">
        <v>0.13300000000000001</v>
      </c>
      <c r="K303" s="12">
        <v>6</v>
      </c>
      <c r="L303" s="40">
        <f t="shared" si="27"/>
        <v>303.24</v>
      </c>
      <c r="M303" s="11">
        <v>10</v>
      </c>
      <c r="N303" s="12">
        <v>73.8</v>
      </c>
      <c r="O303" s="9">
        <f t="shared" si="28"/>
        <v>738</v>
      </c>
      <c r="P303" s="75">
        <f t="shared" si="30"/>
        <v>1.2245775906870686</v>
      </c>
      <c r="Q303" s="78">
        <f t="shared" si="29"/>
        <v>1.2171101519166783</v>
      </c>
      <c r="R303" s="10" t="s">
        <v>131</v>
      </c>
      <c r="S303" s="81" t="s">
        <v>19</v>
      </c>
      <c r="T303" s="10" t="s">
        <v>99</v>
      </c>
      <c r="U303" s="10"/>
    </row>
    <row r="304" spans="1:21" x14ac:dyDescent="0.3">
      <c r="A304" s="7" t="s">
        <v>117</v>
      </c>
      <c r="B304" s="7" t="s">
        <v>118</v>
      </c>
      <c r="C304" s="36">
        <v>85028759</v>
      </c>
      <c r="D304" s="8">
        <v>2021</v>
      </c>
      <c r="E304" s="7" t="s">
        <v>20</v>
      </c>
      <c r="F304" s="41">
        <f t="shared" si="25"/>
        <v>9.6437959302687226E-5</v>
      </c>
      <c r="G304" s="11">
        <v>7</v>
      </c>
      <c r="H304" s="36">
        <f t="shared" si="26"/>
        <v>2574.6366750657153</v>
      </c>
      <c r="I304" s="36">
        <v>82</v>
      </c>
      <c r="J304" s="9">
        <v>0.13300000000000001</v>
      </c>
      <c r="K304" s="9">
        <v>6</v>
      </c>
      <c r="L304" s="40">
        <f t="shared" si="27"/>
        <v>65.436000000000007</v>
      </c>
      <c r="M304" s="8">
        <v>34</v>
      </c>
      <c r="N304" s="9">
        <v>73.8</v>
      </c>
      <c r="O304" s="9">
        <f t="shared" si="28"/>
        <v>2509.1999999999998</v>
      </c>
      <c r="P304" s="75">
        <f t="shared" si="30"/>
        <v>3.0279598401121146</v>
      </c>
      <c r="Q304" s="78">
        <f t="shared" si="29"/>
        <v>2.9825763542163375</v>
      </c>
      <c r="R304" s="7" t="s">
        <v>121</v>
      </c>
      <c r="S304" s="80" t="s">
        <v>19</v>
      </c>
      <c r="T304" s="7"/>
      <c r="U304" s="7"/>
    </row>
    <row r="305" spans="1:21" x14ac:dyDescent="0.3">
      <c r="A305" s="10" t="s">
        <v>117</v>
      </c>
      <c r="B305" s="10" t="s">
        <v>118</v>
      </c>
      <c r="C305" s="37">
        <v>85028759</v>
      </c>
      <c r="D305" s="11">
        <v>2021</v>
      </c>
      <c r="E305" s="10" t="s">
        <v>23</v>
      </c>
      <c r="F305" s="41">
        <f t="shared" si="25"/>
        <v>5.645148837230472E-5</v>
      </c>
      <c r="G305" s="8">
        <v>8</v>
      </c>
      <c r="H305" s="36">
        <f t="shared" si="26"/>
        <v>2111.0884516119072</v>
      </c>
      <c r="I305" s="37">
        <v>48</v>
      </c>
      <c r="J305" s="12">
        <v>0.13300000000000001</v>
      </c>
      <c r="K305" s="12">
        <v>7</v>
      </c>
      <c r="L305" s="40">
        <f t="shared" si="27"/>
        <v>44.688000000000002</v>
      </c>
      <c r="M305" s="11">
        <v>28</v>
      </c>
      <c r="N305" s="12">
        <v>73.8</v>
      </c>
      <c r="O305" s="9">
        <f t="shared" si="28"/>
        <v>2066.4</v>
      </c>
      <c r="P305" s="75">
        <f t="shared" si="30"/>
        <v>2.4827934412307573</v>
      </c>
      <c r="Q305" s="78">
        <f t="shared" si="29"/>
        <v>2.4522256259854935</v>
      </c>
      <c r="R305" s="10" t="s">
        <v>122</v>
      </c>
      <c r="S305" s="81" t="s">
        <v>25</v>
      </c>
      <c r="T305" s="10" t="s">
        <v>15</v>
      </c>
      <c r="U305" s="10"/>
    </row>
    <row r="306" spans="1:21" x14ac:dyDescent="0.3">
      <c r="A306" s="7" t="s">
        <v>117</v>
      </c>
      <c r="B306" s="7" t="s">
        <v>118</v>
      </c>
      <c r="C306" s="36">
        <v>85028759</v>
      </c>
      <c r="D306" s="8">
        <v>2021</v>
      </c>
      <c r="E306" s="7" t="s">
        <v>26</v>
      </c>
      <c r="F306" s="41">
        <f t="shared" si="25"/>
        <v>7.2916505814226928E-2</v>
      </c>
      <c r="G306" s="11">
        <v>6</v>
      </c>
      <c r="H306" s="36">
        <f t="shared" si="26"/>
        <v>39680.437499034888</v>
      </c>
      <c r="I306" s="36">
        <v>62000</v>
      </c>
      <c r="J306" s="9">
        <v>0.128</v>
      </c>
      <c r="K306" s="9">
        <v>5</v>
      </c>
      <c r="L306" s="40">
        <f t="shared" si="27"/>
        <v>39680</v>
      </c>
      <c r="M306" s="8">
        <v>0</v>
      </c>
      <c r="N306" s="9">
        <v>73.8</v>
      </c>
      <c r="O306" s="9">
        <f t="shared" si="28"/>
        <v>0</v>
      </c>
      <c r="P306" s="75">
        <f t="shared" si="30"/>
        <v>46.667078251765247</v>
      </c>
      <c r="Q306" s="78">
        <f t="shared" si="29"/>
        <v>37.291349572686215</v>
      </c>
      <c r="R306" s="7" t="s">
        <v>123</v>
      </c>
      <c r="S306" s="80" t="s">
        <v>28</v>
      </c>
      <c r="T306" s="7"/>
      <c r="U306" s="7"/>
    </row>
    <row r="307" spans="1:21" x14ac:dyDescent="0.3">
      <c r="A307" s="10" t="s">
        <v>117</v>
      </c>
      <c r="B307" s="10" t="s">
        <v>118</v>
      </c>
      <c r="C307" s="37">
        <v>85028759</v>
      </c>
      <c r="D307" s="11">
        <v>2021</v>
      </c>
      <c r="E307" s="10" t="s">
        <v>30</v>
      </c>
      <c r="F307" s="41">
        <f t="shared" si="25"/>
        <v>6.3507924418842811E-5</v>
      </c>
      <c r="G307" s="8">
        <v>6</v>
      </c>
      <c r="H307" s="36">
        <f t="shared" si="26"/>
        <v>13900.320381047546</v>
      </c>
      <c r="I307" s="37">
        <v>54</v>
      </c>
      <c r="J307" s="12">
        <v>0.12</v>
      </c>
      <c r="K307" s="12">
        <v>4</v>
      </c>
      <c r="L307" s="40">
        <f t="shared" si="27"/>
        <v>25.919999999999998</v>
      </c>
      <c r="M307" s="11">
        <v>188</v>
      </c>
      <c r="N307" s="12">
        <v>73.8</v>
      </c>
      <c r="O307" s="9">
        <f t="shared" si="28"/>
        <v>13874.4</v>
      </c>
      <c r="P307" s="75">
        <f t="shared" si="30"/>
        <v>16.347786965875329</v>
      </c>
      <c r="Q307" s="78">
        <f t="shared" si="29"/>
        <v>15.081470844607592</v>
      </c>
      <c r="R307" s="10" t="s">
        <v>124</v>
      </c>
      <c r="S307" s="81" t="s">
        <v>29</v>
      </c>
      <c r="T307" s="10" t="s">
        <v>33</v>
      </c>
      <c r="U307" s="10"/>
    </row>
    <row r="308" spans="1:21" ht="22.8" x14ac:dyDescent="0.3">
      <c r="A308" s="7" t="s">
        <v>117</v>
      </c>
      <c r="B308" s="7" t="s">
        <v>118</v>
      </c>
      <c r="C308" s="36">
        <v>86758304</v>
      </c>
      <c r="D308" s="8">
        <v>2022</v>
      </c>
      <c r="E308" s="7" t="s">
        <v>11</v>
      </c>
      <c r="F308" s="41">
        <f t="shared" si="25"/>
        <v>9.6820703180182035E-5</v>
      </c>
      <c r="G308" s="11">
        <v>9</v>
      </c>
      <c r="H308" s="36">
        <f t="shared" si="26"/>
        <v>3926.9768713863286</v>
      </c>
      <c r="I308" s="36">
        <v>84</v>
      </c>
      <c r="J308" s="9">
        <v>0.13300000000000001</v>
      </c>
      <c r="K308" s="9">
        <v>8</v>
      </c>
      <c r="L308" s="40">
        <f t="shared" si="27"/>
        <v>89.376000000000005</v>
      </c>
      <c r="M308" s="8">
        <v>52</v>
      </c>
      <c r="N308" s="9">
        <v>73.8</v>
      </c>
      <c r="O308" s="9">
        <f t="shared" si="28"/>
        <v>3837.6</v>
      </c>
      <c r="P308" s="75">
        <f t="shared" si="30"/>
        <v>4.526341214999233</v>
      </c>
      <c r="Q308" s="78">
        <f t="shared" si="29"/>
        <v>4.425430635548711</v>
      </c>
      <c r="R308" s="7" t="s">
        <v>119</v>
      </c>
      <c r="S308" s="80" t="s">
        <v>19</v>
      </c>
      <c r="T308" s="7" t="s">
        <v>51</v>
      </c>
      <c r="U308" s="7"/>
    </row>
    <row r="309" spans="1:21" x14ac:dyDescent="0.3">
      <c r="A309" s="10" t="s">
        <v>117</v>
      </c>
      <c r="B309" s="10" t="s">
        <v>118</v>
      </c>
      <c r="C309" s="37">
        <v>86758304</v>
      </c>
      <c r="D309" s="11">
        <v>2022</v>
      </c>
      <c r="E309" s="10" t="s">
        <v>17</v>
      </c>
      <c r="F309" s="41">
        <f t="shared" si="25"/>
        <v>5.5556641586723505E-3</v>
      </c>
      <c r="G309" s="8">
        <v>7</v>
      </c>
      <c r="H309" s="36">
        <f t="shared" si="26"/>
        <v>44510.198889649109</v>
      </c>
      <c r="I309" s="37">
        <v>4820</v>
      </c>
      <c r="J309" s="12">
        <v>0.13300000000000001</v>
      </c>
      <c r="K309" s="12">
        <v>6</v>
      </c>
      <c r="L309" s="40">
        <f t="shared" si="27"/>
        <v>3846.3600000000006</v>
      </c>
      <c r="M309" s="11">
        <v>551</v>
      </c>
      <c r="N309" s="12">
        <v>73.8</v>
      </c>
      <c r="O309" s="9">
        <f t="shared" si="28"/>
        <v>40663.799999999996</v>
      </c>
      <c r="P309" s="75">
        <f t="shared" si="30"/>
        <v>51.303675656971237</v>
      </c>
      <c r="Q309" s="78">
        <f t="shared" si="29"/>
        <v>40.132521403019972</v>
      </c>
      <c r="R309" s="10" t="s">
        <v>132</v>
      </c>
      <c r="S309" s="81" t="s">
        <v>19</v>
      </c>
      <c r="T309" s="10" t="s">
        <v>51</v>
      </c>
      <c r="U309" s="10"/>
    </row>
    <row r="310" spans="1:21" x14ac:dyDescent="0.3">
      <c r="A310" s="7" t="s">
        <v>117</v>
      </c>
      <c r="B310" s="7" t="s">
        <v>118</v>
      </c>
      <c r="C310" s="36">
        <v>86758304</v>
      </c>
      <c r="D310" s="8">
        <v>2022</v>
      </c>
      <c r="E310" s="7" t="s">
        <v>20</v>
      </c>
      <c r="F310" s="41">
        <f t="shared" si="25"/>
        <v>9.4515448342558661E-5</v>
      </c>
      <c r="G310" s="11">
        <v>7</v>
      </c>
      <c r="H310" s="36">
        <f t="shared" si="26"/>
        <v>2574.6366616081382</v>
      </c>
      <c r="I310" s="36">
        <v>82</v>
      </c>
      <c r="J310" s="9">
        <v>0.13300000000000001</v>
      </c>
      <c r="K310" s="9">
        <v>6</v>
      </c>
      <c r="L310" s="40">
        <f t="shared" si="27"/>
        <v>65.436000000000007</v>
      </c>
      <c r="M310" s="8">
        <v>34</v>
      </c>
      <c r="N310" s="9">
        <v>73.8</v>
      </c>
      <c r="O310" s="9">
        <f t="shared" si="28"/>
        <v>2509.1999999999998</v>
      </c>
      <c r="P310" s="75">
        <f t="shared" si="30"/>
        <v>2.9675968096473375</v>
      </c>
      <c r="Q310" s="78">
        <f t="shared" si="29"/>
        <v>2.923996018570707</v>
      </c>
      <c r="R310" s="7" t="s">
        <v>121</v>
      </c>
      <c r="S310" s="80" t="s">
        <v>19</v>
      </c>
      <c r="T310" s="7"/>
      <c r="U310" s="7"/>
    </row>
    <row r="311" spans="1:21" x14ac:dyDescent="0.3">
      <c r="A311" s="10" t="s">
        <v>117</v>
      </c>
      <c r="B311" s="10" t="s">
        <v>118</v>
      </c>
      <c r="C311" s="37">
        <v>86758304</v>
      </c>
      <c r="D311" s="11">
        <v>2022</v>
      </c>
      <c r="E311" s="10" t="s">
        <v>23</v>
      </c>
      <c r="F311" s="41">
        <f t="shared" si="25"/>
        <v>5.5326116102961167E-5</v>
      </c>
      <c r="G311" s="8">
        <v>8</v>
      </c>
      <c r="H311" s="36">
        <f t="shared" si="26"/>
        <v>2111.0884426089292</v>
      </c>
      <c r="I311" s="37">
        <v>48</v>
      </c>
      <c r="J311" s="12">
        <v>0.13300000000000001</v>
      </c>
      <c r="K311" s="12">
        <v>7</v>
      </c>
      <c r="L311" s="40">
        <f t="shared" si="27"/>
        <v>44.688000000000002</v>
      </c>
      <c r="M311" s="11">
        <v>28</v>
      </c>
      <c r="N311" s="12">
        <v>73.8</v>
      </c>
      <c r="O311" s="9">
        <f t="shared" si="28"/>
        <v>2066.4</v>
      </c>
      <c r="P311" s="75">
        <f t="shared" si="30"/>
        <v>2.4332984224875225</v>
      </c>
      <c r="Q311" s="78">
        <f t="shared" si="29"/>
        <v>2.4039323863873641</v>
      </c>
      <c r="R311" s="10" t="s">
        <v>122</v>
      </c>
      <c r="S311" s="81" t="s">
        <v>25</v>
      </c>
      <c r="T311" s="10" t="s">
        <v>15</v>
      </c>
      <c r="U311" s="10"/>
    </row>
    <row r="312" spans="1:21" x14ac:dyDescent="0.3">
      <c r="A312" s="7" t="s">
        <v>117</v>
      </c>
      <c r="B312" s="7" t="s">
        <v>118</v>
      </c>
      <c r="C312" s="36">
        <v>86758304</v>
      </c>
      <c r="D312" s="8">
        <v>2022</v>
      </c>
      <c r="E312" s="7" t="s">
        <v>26</v>
      </c>
      <c r="F312" s="41">
        <f t="shared" si="25"/>
        <v>7.1462899966324836E-2</v>
      </c>
      <c r="G312" s="11">
        <v>6</v>
      </c>
      <c r="H312" s="36">
        <f t="shared" si="26"/>
        <v>39680.4287773998</v>
      </c>
      <c r="I312" s="36">
        <v>62000</v>
      </c>
      <c r="J312" s="9">
        <v>0.128</v>
      </c>
      <c r="K312" s="9">
        <v>5</v>
      </c>
      <c r="L312" s="40">
        <f t="shared" si="27"/>
        <v>39680</v>
      </c>
      <c r="M312" s="8">
        <v>0</v>
      </c>
      <c r="N312" s="9">
        <v>73.8</v>
      </c>
      <c r="O312" s="9">
        <f t="shared" si="28"/>
        <v>0</v>
      </c>
      <c r="P312" s="75">
        <f t="shared" si="30"/>
        <v>45.736750199035477</v>
      </c>
      <c r="Q312" s="78">
        <f t="shared" si="29"/>
        <v>36.705231221975986</v>
      </c>
      <c r="R312" s="7" t="s">
        <v>123</v>
      </c>
      <c r="S312" s="80" t="s">
        <v>28</v>
      </c>
      <c r="T312" s="7"/>
      <c r="U312" s="7"/>
    </row>
    <row r="313" spans="1:21" x14ac:dyDescent="0.3">
      <c r="A313" s="10" t="s">
        <v>117</v>
      </c>
      <c r="B313" s="10" t="s">
        <v>118</v>
      </c>
      <c r="C313" s="37">
        <v>86758304</v>
      </c>
      <c r="D313" s="11">
        <v>2022</v>
      </c>
      <c r="E313" s="10" t="s">
        <v>30</v>
      </c>
      <c r="F313" s="41">
        <f t="shared" si="25"/>
        <v>6.2241880615831316E-5</v>
      </c>
      <c r="G313" s="8">
        <v>6</v>
      </c>
      <c r="H313" s="36">
        <f t="shared" si="26"/>
        <v>13900.320373451283</v>
      </c>
      <c r="I313" s="37">
        <v>54</v>
      </c>
      <c r="J313" s="12">
        <v>0.12</v>
      </c>
      <c r="K313" s="12">
        <v>4</v>
      </c>
      <c r="L313" s="40">
        <f t="shared" si="27"/>
        <v>25.919999999999998</v>
      </c>
      <c r="M313" s="11">
        <v>188</v>
      </c>
      <c r="N313" s="12">
        <v>73.8</v>
      </c>
      <c r="O313" s="9">
        <f t="shared" si="28"/>
        <v>13874.4</v>
      </c>
      <c r="P313" s="75">
        <f t="shared" si="30"/>
        <v>16.021890392706712</v>
      </c>
      <c r="Q313" s="78">
        <f t="shared" si="29"/>
        <v>14.804272824019993</v>
      </c>
      <c r="R313" s="10" t="s">
        <v>124</v>
      </c>
      <c r="S313" s="81" t="s">
        <v>29</v>
      </c>
      <c r="T313" s="10" t="s">
        <v>33</v>
      </c>
      <c r="U313" s="10"/>
    </row>
    <row r="314" spans="1:21" ht="22.8" x14ac:dyDescent="0.3">
      <c r="A314" s="7" t="s">
        <v>117</v>
      </c>
      <c r="B314" s="7" t="s">
        <v>118</v>
      </c>
      <c r="C314" s="36">
        <v>87923432</v>
      </c>
      <c r="D314" s="8">
        <v>2023</v>
      </c>
      <c r="E314" s="7" t="s">
        <v>11</v>
      </c>
      <c r="F314" s="41">
        <f t="shared" si="25"/>
        <v>9.5537671914353844E-5</v>
      </c>
      <c r="G314" s="11">
        <v>9</v>
      </c>
      <c r="H314" s="36">
        <f t="shared" si="26"/>
        <v>3926.9768598390474</v>
      </c>
      <c r="I314" s="36">
        <v>84</v>
      </c>
      <c r="J314" s="9">
        <v>0.13300000000000001</v>
      </c>
      <c r="K314" s="9">
        <v>8</v>
      </c>
      <c r="L314" s="40">
        <f t="shared" si="27"/>
        <v>89.376000000000005</v>
      </c>
      <c r="M314" s="8">
        <v>52</v>
      </c>
      <c r="N314" s="9">
        <v>73.8</v>
      </c>
      <c r="O314" s="9">
        <f t="shared" si="28"/>
        <v>3837.6</v>
      </c>
      <c r="P314" s="75">
        <f t="shared" si="30"/>
        <v>4.4663598434590766</v>
      </c>
      <c r="Q314" s="78">
        <f t="shared" si="29"/>
        <v>4.3680865018206116</v>
      </c>
      <c r="R314" s="7" t="s">
        <v>119</v>
      </c>
      <c r="S314" s="80" t="s">
        <v>19</v>
      </c>
      <c r="T314" s="7" t="s">
        <v>51</v>
      </c>
      <c r="U314" s="7"/>
    </row>
    <row r="315" spans="1:21" x14ac:dyDescent="0.3">
      <c r="A315" s="10" t="s">
        <v>117</v>
      </c>
      <c r="B315" s="10" t="s">
        <v>118</v>
      </c>
      <c r="C315" s="37">
        <v>87923432</v>
      </c>
      <c r="D315" s="11">
        <v>2023</v>
      </c>
      <c r="E315" s="10" t="s">
        <v>17</v>
      </c>
      <c r="F315" s="41">
        <f t="shared" si="25"/>
        <v>1.4103180139737948E-3</v>
      </c>
      <c r="G315" s="8">
        <v>7</v>
      </c>
      <c r="H315" s="36">
        <f t="shared" si="26"/>
        <v>7041.1298722260981</v>
      </c>
      <c r="I315" s="37">
        <v>1240</v>
      </c>
      <c r="J315" s="12">
        <v>0.13300000000000001</v>
      </c>
      <c r="K315" s="12">
        <v>6</v>
      </c>
      <c r="L315" s="40">
        <f t="shared" si="27"/>
        <v>989.5200000000001</v>
      </c>
      <c r="M315" s="11">
        <v>82</v>
      </c>
      <c r="N315" s="12">
        <v>73.8</v>
      </c>
      <c r="O315" s="9">
        <f t="shared" si="28"/>
        <v>6051.5999999999995</v>
      </c>
      <c r="P315" s="75">
        <f t="shared" si="30"/>
        <v>8.0082518528463478</v>
      </c>
      <c r="Q315" s="78">
        <f t="shared" si="29"/>
        <v>7.6959824673063508</v>
      </c>
      <c r="R315" s="10" t="s">
        <v>133</v>
      </c>
      <c r="S315" s="81" t="s">
        <v>19</v>
      </c>
      <c r="T315" s="10" t="s">
        <v>99</v>
      </c>
      <c r="U315" s="10"/>
    </row>
    <row r="316" spans="1:21" x14ac:dyDescent="0.3">
      <c r="A316" s="7" t="s">
        <v>117</v>
      </c>
      <c r="B316" s="7" t="s">
        <v>118</v>
      </c>
      <c r="C316" s="36">
        <v>87923432</v>
      </c>
      <c r="D316" s="8">
        <v>2023</v>
      </c>
      <c r="E316" s="7" t="s">
        <v>20</v>
      </c>
      <c r="F316" s="41">
        <f t="shared" si="25"/>
        <v>9.3262965440202557E-5</v>
      </c>
      <c r="G316" s="11">
        <v>7</v>
      </c>
      <c r="H316" s="36">
        <f t="shared" si="26"/>
        <v>2574.636652840758</v>
      </c>
      <c r="I316" s="36">
        <v>82</v>
      </c>
      <c r="J316" s="9">
        <v>0.13300000000000001</v>
      </c>
      <c r="K316" s="9">
        <v>6</v>
      </c>
      <c r="L316" s="40">
        <f t="shared" si="27"/>
        <v>65.436000000000007</v>
      </c>
      <c r="M316" s="8">
        <v>34</v>
      </c>
      <c r="N316" s="9">
        <v>73.8</v>
      </c>
      <c r="O316" s="9">
        <f t="shared" si="28"/>
        <v>2509.1999999999998</v>
      </c>
      <c r="P316" s="75">
        <f t="shared" si="30"/>
        <v>2.9282713314020294</v>
      </c>
      <c r="Q316" s="78">
        <f t="shared" si="29"/>
        <v>2.8858129083903172</v>
      </c>
      <c r="R316" s="7" t="s">
        <v>121</v>
      </c>
      <c r="S316" s="80" t="s">
        <v>19</v>
      </c>
      <c r="T316" s="7"/>
      <c r="U316" s="7"/>
    </row>
    <row r="317" spans="1:21" x14ac:dyDescent="0.3">
      <c r="A317" s="10" t="s">
        <v>117</v>
      </c>
      <c r="B317" s="10" t="s">
        <v>118</v>
      </c>
      <c r="C317" s="37">
        <v>87923432</v>
      </c>
      <c r="D317" s="11">
        <v>2023</v>
      </c>
      <c r="E317" s="10" t="s">
        <v>23</v>
      </c>
      <c r="F317" s="41">
        <f t="shared" si="25"/>
        <v>5.4592955379630769E-5</v>
      </c>
      <c r="G317" s="8">
        <v>8</v>
      </c>
      <c r="H317" s="36">
        <f t="shared" si="26"/>
        <v>2111.0884367436433</v>
      </c>
      <c r="I317" s="37">
        <v>48</v>
      </c>
      <c r="J317" s="12">
        <v>0.13300000000000001</v>
      </c>
      <c r="K317" s="12">
        <v>7</v>
      </c>
      <c r="L317" s="40">
        <f t="shared" si="27"/>
        <v>44.688000000000002</v>
      </c>
      <c r="M317" s="11">
        <v>28</v>
      </c>
      <c r="N317" s="12">
        <v>73.8</v>
      </c>
      <c r="O317" s="9">
        <f t="shared" si="28"/>
        <v>2066.4</v>
      </c>
      <c r="P317" s="75">
        <f t="shared" si="30"/>
        <v>2.4010532672833373</v>
      </c>
      <c r="Q317" s="78">
        <f t="shared" si="29"/>
        <v>2.3724573085910472</v>
      </c>
      <c r="R317" s="10" t="s">
        <v>122</v>
      </c>
      <c r="S317" s="81" t="s">
        <v>25</v>
      </c>
      <c r="T317" s="10" t="s">
        <v>15</v>
      </c>
      <c r="U317" s="10"/>
    </row>
    <row r="318" spans="1:21" x14ac:dyDescent="0.3">
      <c r="A318" s="7" t="s">
        <v>117</v>
      </c>
      <c r="B318" s="7" t="s">
        <v>118</v>
      </c>
      <c r="C318" s="36">
        <v>87923432</v>
      </c>
      <c r="D318" s="8">
        <v>2023</v>
      </c>
      <c r="E318" s="7" t="s">
        <v>26</v>
      </c>
      <c r="F318" s="41">
        <f t="shared" si="25"/>
        <v>7.0515900698689737E-2</v>
      </c>
      <c r="G318" s="11">
        <v>6</v>
      </c>
      <c r="H318" s="36">
        <f t="shared" si="26"/>
        <v>39680.423095404192</v>
      </c>
      <c r="I318" s="36">
        <v>62000</v>
      </c>
      <c r="J318" s="9">
        <v>0.128</v>
      </c>
      <c r="K318" s="9">
        <v>5</v>
      </c>
      <c r="L318" s="40">
        <f t="shared" si="27"/>
        <v>39680</v>
      </c>
      <c r="M318" s="8">
        <v>0</v>
      </c>
      <c r="N318" s="9">
        <v>73.8</v>
      </c>
      <c r="O318" s="9">
        <f t="shared" si="28"/>
        <v>0</v>
      </c>
      <c r="P318" s="75">
        <f t="shared" si="30"/>
        <v>45.130657656088985</v>
      </c>
      <c r="Q318" s="78">
        <f t="shared" si="29"/>
        <v>36.320441435166373</v>
      </c>
      <c r="R318" s="7" t="s">
        <v>123</v>
      </c>
      <c r="S318" s="80" t="s">
        <v>28</v>
      </c>
      <c r="T318" s="7"/>
      <c r="U318" s="7"/>
    </row>
    <row r="319" spans="1:21" x14ac:dyDescent="0.3">
      <c r="A319" s="10" t="s">
        <v>117</v>
      </c>
      <c r="B319" s="10" t="s">
        <v>118</v>
      </c>
      <c r="C319" s="37">
        <v>87923432</v>
      </c>
      <c r="D319" s="11">
        <v>2023</v>
      </c>
      <c r="E319" s="10" t="s">
        <v>30</v>
      </c>
      <c r="F319" s="41">
        <f t="shared" si="25"/>
        <v>6.1417074802084609E-5</v>
      </c>
      <c r="G319" s="8">
        <v>6</v>
      </c>
      <c r="H319" s="36">
        <f t="shared" si="26"/>
        <v>13900.320368502449</v>
      </c>
      <c r="I319" s="37">
        <v>54</v>
      </c>
      <c r="J319" s="12">
        <v>0.12</v>
      </c>
      <c r="K319" s="12">
        <v>4</v>
      </c>
      <c r="L319" s="40">
        <f t="shared" si="27"/>
        <v>25.919999999999998</v>
      </c>
      <c r="M319" s="11">
        <v>188</v>
      </c>
      <c r="N319" s="12">
        <v>73.8</v>
      </c>
      <c r="O319" s="9">
        <f t="shared" si="28"/>
        <v>13874.4</v>
      </c>
      <c r="P319" s="75">
        <f t="shared" si="30"/>
        <v>15.809574367504727</v>
      </c>
      <c r="Q319" s="78">
        <f t="shared" si="29"/>
        <v>14.623196483415013</v>
      </c>
      <c r="R319" s="10" t="s">
        <v>124</v>
      </c>
      <c r="S319" s="81" t="s">
        <v>29</v>
      </c>
      <c r="T319" s="10" t="s">
        <v>33</v>
      </c>
      <c r="U319" s="10"/>
    </row>
    <row r="320" spans="1:21" ht="22.8" x14ac:dyDescent="0.3">
      <c r="A320" s="7" t="s">
        <v>117</v>
      </c>
      <c r="B320" s="7" t="s">
        <v>118</v>
      </c>
      <c r="C320" s="36">
        <v>89172767</v>
      </c>
      <c r="D320" s="8">
        <v>2024</v>
      </c>
      <c r="E320" s="7" t="s">
        <v>11</v>
      </c>
      <c r="F320" s="41">
        <f t="shared" si="25"/>
        <v>9.4199162845311289E-5</v>
      </c>
      <c r="G320" s="11">
        <v>9</v>
      </c>
      <c r="H320" s="36">
        <f t="shared" si="26"/>
        <v>3926.9768477924658</v>
      </c>
      <c r="I320" s="36">
        <v>84</v>
      </c>
      <c r="J320" s="9">
        <v>0.13300000000000001</v>
      </c>
      <c r="K320" s="9">
        <v>8</v>
      </c>
      <c r="L320" s="40">
        <f t="shared" si="27"/>
        <v>89.376000000000005</v>
      </c>
      <c r="M320" s="8">
        <v>52</v>
      </c>
      <c r="N320" s="9">
        <v>73.8</v>
      </c>
      <c r="O320" s="9">
        <f t="shared" si="28"/>
        <v>3837.6</v>
      </c>
      <c r="P320" s="75">
        <f t="shared" si="30"/>
        <v>4.4037848997020204</v>
      </c>
      <c r="Q320" s="78">
        <f t="shared" si="29"/>
        <v>4.3082261589006299</v>
      </c>
      <c r="R320" s="7" t="s">
        <v>119</v>
      </c>
      <c r="S320" s="80" t="s">
        <v>19</v>
      </c>
      <c r="T320" s="7" t="s">
        <v>51</v>
      </c>
      <c r="U320" s="7"/>
    </row>
    <row r="321" spans="1:21" x14ac:dyDescent="0.3">
      <c r="A321" s="10" t="s">
        <v>117</v>
      </c>
      <c r="B321" s="10" t="s">
        <v>118</v>
      </c>
      <c r="C321" s="37">
        <v>89172767</v>
      </c>
      <c r="D321" s="11">
        <v>2024</v>
      </c>
      <c r="E321" s="10" t="s">
        <v>17</v>
      </c>
      <c r="F321" s="41">
        <f t="shared" si="25"/>
        <v>9.9806255871817901E-4</v>
      </c>
      <c r="G321" s="8">
        <v>7</v>
      </c>
      <c r="H321" s="36">
        <f t="shared" si="26"/>
        <v>3957.4269864379112</v>
      </c>
      <c r="I321" s="37">
        <v>890</v>
      </c>
      <c r="J321" s="12">
        <v>0.13300000000000001</v>
      </c>
      <c r="K321" s="12">
        <v>6</v>
      </c>
      <c r="L321" s="40">
        <f t="shared" si="27"/>
        <v>710.22</v>
      </c>
      <c r="M321" s="11">
        <v>44</v>
      </c>
      <c r="N321" s="12">
        <v>73.8</v>
      </c>
      <c r="O321" s="9">
        <f t="shared" si="28"/>
        <v>3247.2</v>
      </c>
      <c r="P321" s="75">
        <f t="shared" si="30"/>
        <v>4.4379322517130273</v>
      </c>
      <c r="Q321" s="78">
        <f t="shared" si="29"/>
        <v>4.3408967873650113</v>
      </c>
      <c r="R321" s="10" t="s">
        <v>134</v>
      </c>
      <c r="S321" s="81" t="s">
        <v>19</v>
      </c>
      <c r="T321" s="10" t="s">
        <v>99</v>
      </c>
      <c r="U321" s="10"/>
    </row>
    <row r="322" spans="1:21" x14ac:dyDescent="0.3">
      <c r="A322" s="7" t="s">
        <v>117</v>
      </c>
      <c r="B322" s="7" t="s">
        <v>118</v>
      </c>
      <c r="C322" s="36">
        <v>89172767</v>
      </c>
      <c r="D322" s="8">
        <v>2024</v>
      </c>
      <c r="E322" s="7" t="s">
        <v>20</v>
      </c>
      <c r="F322" s="41">
        <f t="shared" ref="F322:F385" si="31">I322*100/C322</f>
        <v>9.1956325634708636E-5</v>
      </c>
      <c r="G322" s="11">
        <v>7</v>
      </c>
      <c r="H322" s="36">
        <f t="shared" ref="H322:H385" si="32">O322+L322+(G322*F322)</f>
        <v>2574.6366436942794</v>
      </c>
      <c r="I322" s="36">
        <v>82</v>
      </c>
      <c r="J322" s="9">
        <v>0.13300000000000001</v>
      </c>
      <c r="K322" s="9">
        <v>6</v>
      </c>
      <c r="L322" s="40">
        <f t="shared" si="27"/>
        <v>65.436000000000007</v>
      </c>
      <c r="M322" s="8">
        <v>34</v>
      </c>
      <c r="N322" s="9">
        <v>73.8</v>
      </c>
      <c r="O322" s="9">
        <f t="shared" si="28"/>
        <v>2509.1999999999998</v>
      </c>
      <c r="P322" s="75">
        <f t="shared" si="30"/>
        <v>2.8872454341293228</v>
      </c>
      <c r="Q322" s="78">
        <f t="shared" si="29"/>
        <v>2.8459627678769639</v>
      </c>
      <c r="R322" s="7" t="s">
        <v>121</v>
      </c>
      <c r="S322" s="80" t="s">
        <v>19</v>
      </c>
      <c r="T322" s="7"/>
      <c r="U322" s="7"/>
    </row>
    <row r="323" spans="1:21" x14ac:dyDescent="0.3">
      <c r="A323" s="10" t="s">
        <v>117</v>
      </c>
      <c r="B323" s="10" t="s">
        <v>118</v>
      </c>
      <c r="C323" s="37">
        <v>89172767</v>
      </c>
      <c r="D323" s="11">
        <v>2024</v>
      </c>
      <c r="E323" s="10" t="s">
        <v>23</v>
      </c>
      <c r="F323" s="41">
        <f t="shared" si="31"/>
        <v>5.382809305446359E-5</v>
      </c>
      <c r="G323" s="8">
        <v>8</v>
      </c>
      <c r="H323" s="36">
        <f t="shared" si="32"/>
        <v>2111.0884306247444</v>
      </c>
      <c r="I323" s="37">
        <v>48</v>
      </c>
      <c r="J323" s="12">
        <v>0.13300000000000001</v>
      </c>
      <c r="K323" s="12">
        <v>7</v>
      </c>
      <c r="L323" s="40">
        <f t="shared" ref="L323:L386" si="33">I323*J323*K323</f>
        <v>44.688000000000002</v>
      </c>
      <c r="M323" s="11">
        <v>28</v>
      </c>
      <c r="N323" s="12">
        <v>73.8</v>
      </c>
      <c r="O323" s="9">
        <f t="shared" ref="O323:O386" si="34">M323*N323</f>
        <v>2066.4</v>
      </c>
      <c r="P323" s="75">
        <f t="shared" si="30"/>
        <v>2.3674138435389636</v>
      </c>
      <c r="Q323" s="78">
        <f t="shared" ref="Q323:Q386" si="35">100*(1-EXP(-P323/100))</f>
        <v>2.3396104413751839</v>
      </c>
      <c r="R323" s="10" t="s">
        <v>122</v>
      </c>
      <c r="S323" s="81" t="s">
        <v>25</v>
      </c>
      <c r="T323" s="10" t="s">
        <v>15</v>
      </c>
      <c r="U323" s="10"/>
    </row>
    <row r="324" spans="1:21" x14ac:dyDescent="0.3">
      <c r="A324" s="7" t="s">
        <v>117</v>
      </c>
      <c r="B324" s="7" t="s">
        <v>118</v>
      </c>
      <c r="C324" s="36">
        <v>89172767</v>
      </c>
      <c r="D324" s="8">
        <v>2024</v>
      </c>
      <c r="E324" s="7" t="s">
        <v>26</v>
      </c>
      <c r="F324" s="41">
        <f t="shared" si="31"/>
        <v>6.9527953528682143E-2</v>
      </c>
      <c r="G324" s="11">
        <v>6</v>
      </c>
      <c r="H324" s="36">
        <f t="shared" si="32"/>
        <v>39680.417167721171</v>
      </c>
      <c r="I324" s="36">
        <v>62000</v>
      </c>
      <c r="J324" s="9">
        <v>0.128</v>
      </c>
      <c r="K324" s="9">
        <v>5</v>
      </c>
      <c r="L324" s="40">
        <f t="shared" si="33"/>
        <v>39680</v>
      </c>
      <c r="M324" s="8">
        <v>0</v>
      </c>
      <c r="N324" s="9">
        <v>73.8</v>
      </c>
      <c r="O324" s="9">
        <f t="shared" si="34"/>
        <v>0</v>
      </c>
      <c r="P324" s="75">
        <f t="shared" si="30"/>
        <v>44.498358078000621</v>
      </c>
      <c r="Q324" s="78">
        <f t="shared" si="35"/>
        <v>35.916520204653501</v>
      </c>
      <c r="R324" s="7" t="s">
        <v>123</v>
      </c>
      <c r="S324" s="80" t="s">
        <v>28</v>
      </c>
      <c r="T324" s="7"/>
      <c r="U324" s="7"/>
    </row>
    <row r="325" spans="1:21" x14ac:dyDescent="0.3">
      <c r="A325" s="10" t="s">
        <v>117</v>
      </c>
      <c r="B325" s="10" t="s">
        <v>118</v>
      </c>
      <c r="C325" s="37">
        <v>89172767</v>
      </c>
      <c r="D325" s="11">
        <v>2024</v>
      </c>
      <c r="E325" s="10" t="s">
        <v>30</v>
      </c>
      <c r="F325" s="41">
        <f t="shared" si="31"/>
        <v>6.0556604686271542E-5</v>
      </c>
      <c r="G325" s="8">
        <v>6</v>
      </c>
      <c r="H325" s="36">
        <f t="shared" si="32"/>
        <v>13900.320363339628</v>
      </c>
      <c r="I325" s="37">
        <v>54</v>
      </c>
      <c r="J325" s="12">
        <v>0.12</v>
      </c>
      <c r="K325" s="12">
        <v>4</v>
      </c>
      <c r="L325" s="40">
        <f t="shared" si="33"/>
        <v>25.919999999999998</v>
      </c>
      <c r="M325" s="11">
        <v>188</v>
      </c>
      <c r="N325" s="12">
        <v>73.8</v>
      </c>
      <c r="O325" s="9">
        <f t="shared" si="34"/>
        <v>13874.4</v>
      </c>
      <c r="P325" s="75">
        <f t="shared" si="30"/>
        <v>15.588077875097929</v>
      </c>
      <c r="Q325" s="78">
        <f t="shared" si="35"/>
        <v>14.433880271311917</v>
      </c>
      <c r="R325" s="10" t="s">
        <v>124</v>
      </c>
      <c r="S325" s="81" t="s">
        <v>29</v>
      </c>
      <c r="T325" s="10" t="s">
        <v>33</v>
      </c>
      <c r="U325" s="10"/>
    </row>
    <row r="326" spans="1:21" ht="22.8" x14ac:dyDescent="0.3">
      <c r="A326" s="7" t="s">
        <v>117</v>
      </c>
      <c r="B326" s="7" t="s">
        <v>118</v>
      </c>
      <c r="C326" s="36">
        <v>90486988</v>
      </c>
      <c r="D326" s="8">
        <v>2025</v>
      </c>
      <c r="E326" s="7" t="s">
        <v>11</v>
      </c>
      <c r="F326" s="41">
        <f t="shared" si="31"/>
        <v>9.2831026710713373E-5</v>
      </c>
      <c r="G326" s="11">
        <v>9</v>
      </c>
      <c r="H326" s="36">
        <f t="shared" si="32"/>
        <v>3926.9768354792404</v>
      </c>
      <c r="I326" s="36">
        <v>84</v>
      </c>
      <c r="J326" s="9">
        <v>0.13300000000000001</v>
      </c>
      <c r="K326" s="9">
        <v>8</v>
      </c>
      <c r="L326" s="40">
        <f t="shared" si="33"/>
        <v>89.376000000000005</v>
      </c>
      <c r="M326" s="8">
        <v>52</v>
      </c>
      <c r="N326" s="9">
        <v>73.8</v>
      </c>
      <c r="O326" s="9">
        <f t="shared" si="34"/>
        <v>3837.6</v>
      </c>
      <c r="P326" s="75">
        <f t="shared" si="30"/>
        <v>4.3398248988895958</v>
      </c>
      <c r="Q326" s="78">
        <f t="shared" si="35"/>
        <v>4.2470021222144272</v>
      </c>
      <c r="R326" s="7" t="s">
        <v>119</v>
      </c>
      <c r="S326" s="80" t="s">
        <v>19</v>
      </c>
      <c r="T326" s="7" t="s">
        <v>51</v>
      </c>
      <c r="U326" s="7"/>
    </row>
    <row r="327" spans="1:21" x14ac:dyDescent="0.3">
      <c r="A327" s="10" t="s">
        <v>117</v>
      </c>
      <c r="B327" s="10" t="s">
        <v>118</v>
      </c>
      <c r="C327" s="37">
        <v>90486988</v>
      </c>
      <c r="D327" s="11">
        <v>2025</v>
      </c>
      <c r="E327" s="10" t="s">
        <v>17</v>
      </c>
      <c r="F327" s="41">
        <f t="shared" si="31"/>
        <v>8.3989976547788287E-4</v>
      </c>
      <c r="G327" s="8">
        <v>7</v>
      </c>
      <c r="H327" s="36">
        <f t="shared" si="32"/>
        <v>3410.8858792983583</v>
      </c>
      <c r="I327" s="37">
        <v>760</v>
      </c>
      <c r="J327" s="12">
        <v>0.13300000000000001</v>
      </c>
      <c r="K327" s="12">
        <v>6</v>
      </c>
      <c r="L327" s="40">
        <f t="shared" si="33"/>
        <v>606.48</v>
      </c>
      <c r="M327" s="11">
        <v>38</v>
      </c>
      <c r="N327" s="12">
        <v>73.8</v>
      </c>
      <c r="O327" s="9">
        <f t="shared" si="34"/>
        <v>2804.4</v>
      </c>
      <c r="P327" s="75">
        <f t="shared" si="30"/>
        <v>3.7694766448612018</v>
      </c>
      <c r="Q327" s="78">
        <f t="shared" si="35"/>
        <v>3.6993161967532773</v>
      </c>
      <c r="R327" s="10" t="s">
        <v>135</v>
      </c>
      <c r="S327" s="81" t="s">
        <v>19</v>
      </c>
      <c r="T327" s="10" t="s">
        <v>99</v>
      </c>
      <c r="U327" s="10"/>
    </row>
    <row r="328" spans="1:21" x14ac:dyDescent="0.3">
      <c r="A328" s="7" t="s">
        <v>117</v>
      </c>
      <c r="B328" s="7" t="s">
        <v>118</v>
      </c>
      <c r="C328" s="36">
        <v>90486988</v>
      </c>
      <c r="D328" s="8">
        <v>2025</v>
      </c>
      <c r="E328" s="7" t="s">
        <v>20</v>
      </c>
      <c r="F328" s="41">
        <f t="shared" si="31"/>
        <v>9.0620764169982104E-5</v>
      </c>
      <c r="G328" s="11">
        <v>7</v>
      </c>
      <c r="H328" s="36">
        <f t="shared" si="32"/>
        <v>2574.6366343453492</v>
      </c>
      <c r="I328" s="36">
        <v>82</v>
      </c>
      <c r="J328" s="9">
        <v>0.13300000000000001</v>
      </c>
      <c r="K328" s="9">
        <v>6</v>
      </c>
      <c r="L328" s="40">
        <f t="shared" si="33"/>
        <v>65.436000000000007</v>
      </c>
      <c r="M328" s="8">
        <v>34</v>
      </c>
      <c r="N328" s="9">
        <v>73.8</v>
      </c>
      <c r="O328" s="9">
        <f t="shared" si="34"/>
        <v>2509.1999999999998</v>
      </c>
      <c r="P328" s="75">
        <f t="shared" si="30"/>
        <v>2.8453114544439795</v>
      </c>
      <c r="Q328" s="78">
        <f t="shared" si="35"/>
        <v>2.8052136703785591</v>
      </c>
      <c r="R328" s="7" t="s">
        <v>121</v>
      </c>
      <c r="S328" s="80" t="s">
        <v>19</v>
      </c>
      <c r="T328" s="7"/>
      <c r="U328" s="7"/>
    </row>
    <row r="329" spans="1:21" x14ac:dyDescent="0.3">
      <c r="A329" s="10" t="s">
        <v>117</v>
      </c>
      <c r="B329" s="10" t="s">
        <v>118</v>
      </c>
      <c r="C329" s="37">
        <v>90486988</v>
      </c>
      <c r="D329" s="11">
        <v>2025</v>
      </c>
      <c r="E329" s="10" t="s">
        <v>23</v>
      </c>
      <c r="F329" s="41">
        <f t="shared" si="31"/>
        <v>5.3046300977550493E-5</v>
      </c>
      <c r="G329" s="8">
        <v>8</v>
      </c>
      <c r="H329" s="36">
        <f t="shared" si="32"/>
        <v>2111.0884243704081</v>
      </c>
      <c r="I329" s="37">
        <v>48</v>
      </c>
      <c r="J329" s="12">
        <v>0.13300000000000001</v>
      </c>
      <c r="K329" s="12">
        <v>7</v>
      </c>
      <c r="L329" s="40">
        <f t="shared" si="33"/>
        <v>44.688000000000002</v>
      </c>
      <c r="M329" s="11">
        <v>28</v>
      </c>
      <c r="N329" s="12">
        <v>73.8</v>
      </c>
      <c r="O329" s="9">
        <f t="shared" si="34"/>
        <v>2066.4</v>
      </c>
      <c r="P329" s="75">
        <f t="shared" si="30"/>
        <v>2.3330298322786569</v>
      </c>
      <c r="Q329" s="78">
        <f t="shared" si="35"/>
        <v>2.3060251083710348</v>
      </c>
      <c r="R329" s="10" t="s">
        <v>122</v>
      </c>
      <c r="S329" s="81" t="s">
        <v>25</v>
      </c>
      <c r="T329" s="10" t="s">
        <v>15</v>
      </c>
      <c r="U329" s="10"/>
    </row>
    <row r="330" spans="1:21" x14ac:dyDescent="0.3">
      <c r="A330" s="7" t="s">
        <v>117</v>
      </c>
      <c r="B330" s="7" t="s">
        <v>118</v>
      </c>
      <c r="C330" s="36">
        <v>90486988</v>
      </c>
      <c r="D330" s="8">
        <v>2025</v>
      </c>
      <c r="E330" s="7" t="s">
        <v>26</v>
      </c>
      <c r="F330" s="41">
        <f t="shared" si="31"/>
        <v>6.8518138762669392E-2</v>
      </c>
      <c r="G330" s="11">
        <v>6</v>
      </c>
      <c r="H330" s="36">
        <f t="shared" si="32"/>
        <v>39680.411108832574</v>
      </c>
      <c r="I330" s="36">
        <v>62000</v>
      </c>
      <c r="J330" s="9">
        <v>0.128</v>
      </c>
      <c r="K330" s="9">
        <v>5</v>
      </c>
      <c r="L330" s="40">
        <f t="shared" si="33"/>
        <v>39680</v>
      </c>
      <c r="M330" s="8">
        <v>0</v>
      </c>
      <c r="N330" s="9">
        <v>73.8</v>
      </c>
      <c r="O330" s="9">
        <f t="shared" si="34"/>
        <v>0</v>
      </c>
      <c r="P330" s="75">
        <f t="shared" si="30"/>
        <v>43.85206313733481</v>
      </c>
      <c r="Q330" s="78">
        <f t="shared" si="35"/>
        <v>35.50101065464235</v>
      </c>
      <c r="R330" s="7" t="s">
        <v>123</v>
      </c>
      <c r="S330" s="80" t="s">
        <v>28</v>
      </c>
      <c r="T330" s="7"/>
      <c r="U330" s="7"/>
    </row>
    <row r="331" spans="1:21" x14ac:dyDescent="0.3">
      <c r="A331" s="10" t="s">
        <v>117</v>
      </c>
      <c r="B331" s="10" t="s">
        <v>118</v>
      </c>
      <c r="C331" s="37">
        <v>90486988</v>
      </c>
      <c r="D331" s="11">
        <v>2025</v>
      </c>
      <c r="E331" s="10" t="s">
        <v>30</v>
      </c>
      <c r="F331" s="41">
        <f t="shared" si="31"/>
        <v>5.9677088599744306E-5</v>
      </c>
      <c r="G331" s="8">
        <v>6</v>
      </c>
      <c r="H331" s="36">
        <f t="shared" si="32"/>
        <v>13900.32035806253</v>
      </c>
      <c r="I331" s="37">
        <v>54</v>
      </c>
      <c r="J331" s="12">
        <v>0.12</v>
      </c>
      <c r="K331" s="12">
        <v>4</v>
      </c>
      <c r="L331" s="40">
        <f t="shared" si="33"/>
        <v>25.919999999999998</v>
      </c>
      <c r="M331" s="11">
        <v>188</v>
      </c>
      <c r="N331" s="12">
        <v>73.8</v>
      </c>
      <c r="O331" s="9">
        <f t="shared" si="34"/>
        <v>13874.4</v>
      </c>
      <c r="P331" s="75">
        <f t="shared" si="30"/>
        <v>15.361678695794946</v>
      </c>
      <c r="Q331" s="78">
        <f t="shared" si="35"/>
        <v>14.239939821530822</v>
      </c>
      <c r="R331" s="10" t="s">
        <v>124</v>
      </c>
      <c r="S331" s="81" t="s">
        <v>29</v>
      </c>
      <c r="T331" s="10" t="s">
        <v>33</v>
      </c>
      <c r="U331" s="4"/>
    </row>
    <row r="332" spans="1:21" x14ac:dyDescent="0.3">
      <c r="A332" s="7" t="s">
        <v>136</v>
      </c>
      <c r="B332" s="7" t="s">
        <v>137</v>
      </c>
      <c r="C332" s="36">
        <v>1376048943</v>
      </c>
      <c r="D332" s="8">
        <v>2015</v>
      </c>
      <c r="E332" s="7" t="s">
        <v>11</v>
      </c>
      <c r="F332" s="41" t="e">
        <f t="shared" si="31"/>
        <v>#VALUE!</v>
      </c>
      <c r="G332" s="11">
        <v>9</v>
      </c>
      <c r="H332" s="36" t="e">
        <f t="shared" si="32"/>
        <v>#VALUE!</v>
      </c>
      <c r="I332" s="73" t="s">
        <v>12</v>
      </c>
      <c r="J332" s="9">
        <v>0.13300000000000001</v>
      </c>
      <c r="K332" s="9">
        <v>8</v>
      </c>
      <c r="L332" s="40" t="e">
        <f t="shared" si="33"/>
        <v>#VALUE!</v>
      </c>
      <c r="M332" s="18" t="s">
        <v>12</v>
      </c>
      <c r="N332" s="9">
        <v>73.8</v>
      </c>
      <c r="O332" s="9" t="e">
        <f t="shared" si="34"/>
        <v>#VALUE!</v>
      </c>
      <c r="P332" s="75" t="e">
        <f t="shared" si="30"/>
        <v>#VALUE!</v>
      </c>
      <c r="Q332" s="78" t="e">
        <f t="shared" si="35"/>
        <v>#VALUE!</v>
      </c>
      <c r="R332" s="7" t="s">
        <v>138</v>
      </c>
      <c r="S332" s="80" t="s">
        <v>19</v>
      </c>
      <c r="T332" s="7"/>
      <c r="U332" s="3" t="s">
        <v>16</v>
      </c>
    </row>
    <row r="333" spans="1:21" ht="22.8" x14ac:dyDescent="0.3">
      <c r="A333" s="10" t="s">
        <v>136</v>
      </c>
      <c r="B333" s="10" t="s">
        <v>137</v>
      </c>
      <c r="C333" s="37">
        <v>1376048943</v>
      </c>
      <c r="D333" s="11">
        <v>2015</v>
      </c>
      <c r="E333" s="10" t="s">
        <v>17</v>
      </c>
      <c r="F333" s="41">
        <f t="shared" si="31"/>
        <v>2.0348113446427029E-5</v>
      </c>
      <c r="G333" s="8">
        <v>7</v>
      </c>
      <c r="H333" s="36">
        <f t="shared" si="32"/>
        <v>223.44014243679413</v>
      </c>
      <c r="I333" s="37">
        <v>280</v>
      </c>
      <c r="J333" s="12">
        <v>0.13300000000000001</v>
      </c>
      <c r="K333" s="12">
        <v>6</v>
      </c>
      <c r="L333" s="40">
        <f t="shared" si="33"/>
        <v>223.44</v>
      </c>
      <c r="M333" s="11">
        <v>0</v>
      </c>
      <c r="N333" s="12">
        <v>73.8</v>
      </c>
      <c r="O333" s="9">
        <f t="shared" si="34"/>
        <v>0</v>
      </c>
      <c r="P333" s="75">
        <f t="shared" si="30"/>
        <v>1.6237804881391787E-2</v>
      </c>
      <c r="Q333" s="78">
        <f t="shared" si="35"/>
        <v>1.6236486621212798E-2</v>
      </c>
      <c r="R333" s="10" t="s">
        <v>139</v>
      </c>
      <c r="S333" s="81" t="s">
        <v>19</v>
      </c>
      <c r="T333" s="10" t="s">
        <v>99</v>
      </c>
      <c r="U333" s="4"/>
    </row>
    <row r="334" spans="1:21" x14ac:dyDescent="0.3">
      <c r="A334" s="7" t="s">
        <v>136</v>
      </c>
      <c r="B334" s="7" t="s">
        <v>137</v>
      </c>
      <c r="C334" s="36">
        <v>1376048943</v>
      </c>
      <c r="D334" s="8">
        <v>2015</v>
      </c>
      <c r="E334" s="7" t="s">
        <v>20</v>
      </c>
      <c r="F334" s="41">
        <f t="shared" si="31"/>
        <v>9.0113073834176836E-6</v>
      </c>
      <c r="G334" s="11">
        <v>7</v>
      </c>
      <c r="H334" s="36">
        <f t="shared" si="32"/>
        <v>6593.3520630791518</v>
      </c>
      <c r="I334" s="36">
        <v>124</v>
      </c>
      <c r="J334" s="9">
        <v>0.13300000000000001</v>
      </c>
      <c r="K334" s="9">
        <v>6</v>
      </c>
      <c r="L334" s="40">
        <f t="shared" si="33"/>
        <v>98.951999999999998</v>
      </c>
      <c r="M334" s="8">
        <v>88</v>
      </c>
      <c r="N334" s="9">
        <v>73.8</v>
      </c>
      <c r="O334" s="9">
        <f t="shared" si="34"/>
        <v>6494.4</v>
      </c>
      <c r="P334" s="75">
        <f t="shared" si="30"/>
        <v>0.47915098489917241</v>
      </c>
      <c r="Q334" s="78">
        <f t="shared" si="35"/>
        <v>0.47800488781002404</v>
      </c>
      <c r="R334" s="7" t="s">
        <v>140</v>
      </c>
      <c r="S334" s="80" t="s">
        <v>19</v>
      </c>
      <c r="T334" s="7"/>
      <c r="U334" s="7"/>
    </row>
    <row r="335" spans="1:21" x14ac:dyDescent="0.3">
      <c r="A335" s="10" t="s">
        <v>136</v>
      </c>
      <c r="B335" s="10" t="s">
        <v>137</v>
      </c>
      <c r="C335" s="37">
        <v>1376048943</v>
      </c>
      <c r="D335" s="11">
        <v>2015</v>
      </c>
      <c r="E335" s="10" t="s">
        <v>23</v>
      </c>
      <c r="F335" s="41">
        <f t="shared" si="31"/>
        <v>1.3080930072703089E-6</v>
      </c>
      <c r="G335" s="8">
        <v>8</v>
      </c>
      <c r="H335" s="36">
        <f t="shared" si="32"/>
        <v>1787.9580104647439</v>
      </c>
      <c r="I335" s="37">
        <v>18</v>
      </c>
      <c r="J335" s="12">
        <v>0.13300000000000001</v>
      </c>
      <c r="K335" s="12">
        <v>7</v>
      </c>
      <c r="L335" s="40">
        <f t="shared" si="33"/>
        <v>16.758000000000003</v>
      </c>
      <c r="M335" s="11">
        <v>24</v>
      </c>
      <c r="N335" s="12">
        <v>73.8</v>
      </c>
      <c r="O335" s="9">
        <f t="shared" si="34"/>
        <v>1771.1999999999998</v>
      </c>
      <c r="P335" s="75">
        <f t="shared" si="30"/>
        <v>0.1299341872656592</v>
      </c>
      <c r="Q335" s="78">
        <f t="shared" si="35"/>
        <v>0.12984980934976909</v>
      </c>
      <c r="R335" s="10" t="s">
        <v>141</v>
      </c>
      <c r="S335" s="81" t="s">
        <v>25</v>
      </c>
      <c r="T335" s="10" t="s">
        <v>15</v>
      </c>
      <c r="U335" s="4"/>
    </row>
    <row r="336" spans="1:21" x14ac:dyDescent="0.3">
      <c r="A336" s="7" t="s">
        <v>136</v>
      </c>
      <c r="B336" s="7" t="s">
        <v>137</v>
      </c>
      <c r="C336" s="36">
        <v>1376048943</v>
      </c>
      <c r="D336" s="8">
        <v>2015</v>
      </c>
      <c r="E336" s="7" t="s">
        <v>26</v>
      </c>
      <c r="F336" s="41" t="e">
        <f t="shared" si="31"/>
        <v>#VALUE!</v>
      </c>
      <c r="G336" s="11">
        <v>6</v>
      </c>
      <c r="H336" s="36" t="e">
        <f t="shared" si="32"/>
        <v>#VALUE!</v>
      </c>
      <c r="I336" s="73" t="s">
        <v>12</v>
      </c>
      <c r="J336" s="9">
        <v>0.128</v>
      </c>
      <c r="K336" s="9">
        <v>5</v>
      </c>
      <c r="L336" s="40" t="e">
        <f t="shared" si="33"/>
        <v>#VALUE!</v>
      </c>
      <c r="M336" s="18" t="s">
        <v>12</v>
      </c>
      <c r="N336" s="9">
        <v>73.8</v>
      </c>
      <c r="O336" s="9" t="e">
        <f t="shared" si="34"/>
        <v>#VALUE!</v>
      </c>
      <c r="P336" s="75" t="e">
        <f t="shared" si="30"/>
        <v>#VALUE!</v>
      </c>
      <c r="Q336" s="78" t="e">
        <f t="shared" si="35"/>
        <v>#VALUE!</v>
      </c>
      <c r="R336" s="7" t="s">
        <v>142</v>
      </c>
      <c r="S336" s="80" t="s">
        <v>28</v>
      </c>
      <c r="T336" s="7" t="s">
        <v>143</v>
      </c>
      <c r="U336" s="3" t="s">
        <v>16</v>
      </c>
    </row>
    <row r="337" spans="1:21" x14ac:dyDescent="0.3">
      <c r="A337" s="10" t="s">
        <v>136</v>
      </c>
      <c r="B337" s="10" t="s">
        <v>137</v>
      </c>
      <c r="C337" s="37">
        <v>1376048943</v>
      </c>
      <c r="D337" s="11">
        <v>2015</v>
      </c>
      <c r="E337" s="10" t="s">
        <v>30</v>
      </c>
      <c r="F337" s="41">
        <f t="shared" si="31"/>
        <v>1.3226273740177569E-5</v>
      </c>
      <c r="G337" s="8">
        <v>6</v>
      </c>
      <c r="H337" s="36">
        <f t="shared" si="32"/>
        <v>91599.360079357648</v>
      </c>
      <c r="I337" s="37">
        <v>182</v>
      </c>
      <c r="J337" s="12">
        <v>0.12</v>
      </c>
      <c r="K337" s="12">
        <v>4</v>
      </c>
      <c r="L337" s="40">
        <f t="shared" si="33"/>
        <v>87.36</v>
      </c>
      <c r="M337" s="11">
        <v>1240</v>
      </c>
      <c r="N337" s="12">
        <v>73.8</v>
      </c>
      <c r="O337" s="9">
        <f t="shared" si="34"/>
        <v>91512</v>
      </c>
      <c r="P337" s="75">
        <f t="shared" si="30"/>
        <v>6.6566934661246027</v>
      </c>
      <c r="Q337" s="78">
        <f t="shared" si="35"/>
        <v>6.4399710328027933</v>
      </c>
      <c r="R337" s="10" t="s">
        <v>144</v>
      </c>
      <c r="S337" s="81" t="s">
        <v>29</v>
      </c>
      <c r="T337" s="10" t="s">
        <v>33</v>
      </c>
      <c r="U337" s="4"/>
    </row>
    <row r="338" spans="1:21" x14ac:dyDescent="0.3">
      <c r="A338" s="7" t="s">
        <v>136</v>
      </c>
      <c r="B338" s="7" t="s">
        <v>137</v>
      </c>
      <c r="C338" s="36">
        <v>1382710000</v>
      </c>
      <c r="D338" s="8">
        <v>2016</v>
      </c>
      <c r="E338" s="7" t="s">
        <v>11</v>
      </c>
      <c r="F338" s="41" t="e">
        <f t="shared" si="31"/>
        <v>#VALUE!</v>
      </c>
      <c r="G338" s="11">
        <v>9</v>
      </c>
      <c r="H338" s="36" t="e">
        <f t="shared" si="32"/>
        <v>#VALUE!</v>
      </c>
      <c r="I338" s="73" t="s">
        <v>12</v>
      </c>
      <c r="J338" s="9">
        <v>0.13300000000000001</v>
      </c>
      <c r="K338" s="9">
        <v>8</v>
      </c>
      <c r="L338" s="40" t="e">
        <f t="shared" si="33"/>
        <v>#VALUE!</v>
      </c>
      <c r="M338" s="18" t="s">
        <v>12</v>
      </c>
      <c r="N338" s="9">
        <v>73.8</v>
      </c>
      <c r="O338" s="9" t="e">
        <f t="shared" si="34"/>
        <v>#VALUE!</v>
      </c>
      <c r="P338" s="75" t="e">
        <f t="shared" si="30"/>
        <v>#VALUE!</v>
      </c>
      <c r="Q338" s="78" t="e">
        <f t="shared" si="35"/>
        <v>#VALUE!</v>
      </c>
      <c r="R338" s="7" t="s">
        <v>138</v>
      </c>
      <c r="S338" s="80" t="s">
        <v>19</v>
      </c>
      <c r="T338" s="7"/>
      <c r="U338" s="3" t="s">
        <v>16</v>
      </c>
    </row>
    <row r="339" spans="1:21" x14ac:dyDescent="0.3">
      <c r="A339" s="10" t="s">
        <v>136</v>
      </c>
      <c r="B339" s="10" t="s">
        <v>137</v>
      </c>
      <c r="C339" s="37">
        <v>1382710000</v>
      </c>
      <c r="D339" s="11">
        <v>2016</v>
      </c>
      <c r="E339" s="10" t="s">
        <v>17</v>
      </c>
      <c r="F339" s="41">
        <f t="shared" si="31"/>
        <v>2.2419740943509486E-5</v>
      </c>
      <c r="G339" s="8">
        <v>7</v>
      </c>
      <c r="H339" s="36">
        <f t="shared" si="32"/>
        <v>247.38015693818662</v>
      </c>
      <c r="I339" s="37">
        <v>310</v>
      </c>
      <c r="J339" s="12">
        <v>0.13300000000000001</v>
      </c>
      <c r="K339" s="12">
        <v>6</v>
      </c>
      <c r="L339" s="40">
        <f t="shared" si="33"/>
        <v>247.38000000000002</v>
      </c>
      <c r="M339" s="11">
        <v>0</v>
      </c>
      <c r="N339" s="12">
        <v>73.8</v>
      </c>
      <c r="O339" s="9">
        <f t="shared" si="34"/>
        <v>0</v>
      </c>
      <c r="P339" s="75">
        <f t="shared" si="30"/>
        <v>1.7890964622964078E-2</v>
      </c>
      <c r="Q339" s="78">
        <f t="shared" si="35"/>
        <v>1.7889364285328391E-2</v>
      </c>
      <c r="R339" s="10" t="s">
        <v>145</v>
      </c>
      <c r="S339" s="81" t="s">
        <v>19</v>
      </c>
      <c r="T339" s="10" t="s">
        <v>99</v>
      </c>
      <c r="U339" s="4"/>
    </row>
    <row r="340" spans="1:21" x14ac:dyDescent="0.3">
      <c r="A340" s="7" t="s">
        <v>136</v>
      </c>
      <c r="B340" s="7" t="s">
        <v>137</v>
      </c>
      <c r="C340" s="36">
        <v>1382710000</v>
      </c>
      <c r="D340" s="8">
        <v>2016</v>
      </c>
      <c r="E340" s="7" t="s">
        <v>20</v>
      </c>
      <c r="F340" s="41">
        <f t="shared" si="31"/>
        <v>8.9678963774037933E-6</v>
      </c>
      <c r="G340" s="11">
        <v>7</v>
      </c>
      <c r="H340" s="36">
        <f t="shared" si="32"/>
        <v>6593.3520627752741</v>
      </c>
      <c r="I340" s="36">
        <v>124</v>
      </c>
      <c r="J340" s="9">
        <v>0.13300000000000001</v>
      </c>
      <c r="K340" s="9">
        <v>6</v>
      </c>
      <c r="L340" s="40">
        <f t="shared" si="33"/>
        <v>98.951999999999998</v>
      </c>
      <c r="M340" s="8">
        <v>88</v>
      </c>
      <c r="N340" s="9">
        <v>73.8</v>
      </c>
      <c r="O340" s="9">
        <f t="shared" si="34"/>
        <v>6494.4</v>
      </c>
      <c r="P340" s="75">
        <f t="shared" si="30"/>
        <v>0.47684272644121145</v>
      </c>
      <c r="Q340" s="78">
        <f t="shared" si="35"/>
        <v>0.47570763642716951</v>
      </c>
      <c r="R340" s="7" t="s">
        <v>140</v>
      </c>
      <c r="S340" s="80" t="s">
        <v>19</v>
      </c>
      <c r="T340" s="7"/>
      <c r="U340" s="7"/>
    </row>
    <row r="341" spans="1:21" x14ac:dyDescent="0.3">
      <c r="A341" s="10" t="s">
        <v>136</v>
      </c>
      <c r="B341" s="10" t="s">
        <v>137</v>
      </c>
      <c r="C341" s="37">
        <v>1382710000</v>
      </c>
      <c r="D341" s="11">
        <v>2016</v>
      </c>
      <c r="E341" s="10" t="s">
        <v>23</v>
      </c>
      <c r="F341" s="41">
        <f t="shared" si="31"/>
        <v>1.3017914096231315E-6</v>
      </c>
      <c r="G341" s="8">
        <v>8</v>
      </c>
      <c r="H341" s="36">
        <f t="shared" si="32"/>
        <v>1787.9580104143311</v>
      </c>
      <c r="I341" s="37">
        <v>18</v>
      </c>
      <c r="J341" s="12">
        <v>0.13300000000000001</v>
      </c>
      <c r="K341" s="12">
        <v>7</v>
      </c>
      <c r="L341" s="40">
        <f t="shared" si="33"/>
        <v>16.758000000000003</v>
      </c>
      <c r="M341" s="11">
        <v>24</v>
      </c>
      <c r="N341" s="12">
        <v>73.8</v>
      </c>
      <c r="O341" s="9">
        <f t="shared" si="34"/>
        <v>1771.1999999999998</v>
      </c>
      <c r="P341" s="75">
        <f t="shared" si="30"/>
        <v>0.12930824326245785</v>
      </c>
      <c r="Q341" s="78">
        <f t="shared" si="35"/>
        <v>0.12922467617717537</v>
      </c>
      <c r="R341" s="10" t="s">
        <v>141</v>
      </c>
      <c r="S341" s="81" t="s">
        <v>25</v>
      </c>
      <c r="T341" s="10" t="s">
        <v>15</v>
      </c>
      <c r="U341" s="4"/>
    </row>
    <row r="342" spans="1:21" x14ac:dyDescent="0.3">
      <c r="A342" s="7" t="s">
        <v>136</v>
      </c>
      <c r="B342" s="7" t="s">
        <v>137</v>
      </c>
      <c r="C342" s="36">
        <v>1382710000</v>
      </c>
      <c r="D342" s="8">
        <v>2016</v>
      </c>
      <c r="E342" s="7" t="s">
        <v>26</v>
      </c>
      <c r="F342" s="41" t="e">
        <f t="shared" si="31"/>
        <v>#VALUE!</v>
      </c>
      <c r="G342" s="11">
        <v>6</v>
      </c>
      <c r="H342" s="36" t="e">
        <f t="shared" si="32"/>
        <v>#VALUE!</v>
      </c>
      <c r="I342" s="73" t="s">
        <v>12</v>
      </c>
      <c r="J342" s="9">
        <v>0.128</v>
      </c>
      <c r="K342" s="9">
        <v>5</v>
      </c>
      <c r="L342" s="40" t="e">
        <f t="shared" si="33"/>
        <v>#VALUE!</v>
      </c>
      <c r="M342" s="18" t="s">
        <v>12</v>
      </c>
      <c r="N342" s="9">
        <v>73.8</v>
      </c>
      <c r="O342" s="9" t="e">
        <f t="shared" si="34"/>
        <v>#VALUE!</v>
      </c>
      <c r="P342" s="75" t="e">
        <f t="shared" si="30"/>
        <v>#VALUE!</v>
      </c>
      <c r="Q342" s="78" t="e">
        <f t="shared" si="35"/>
        <v>#VALUE!</v>
      </c>
      <c r="R342" s="7" t="s">
        <v>142</v>
      </c>
      <c r="S342" s="80" t="s">
        <v>28</v>
      </c>
      <c r="T342" s="7" t="s">
        <v>143</v>
      </c>
      <c r="U342" s="3" t="s">
        <v>16</v>
      </c>
    </row>
    <row r="343" spans="1:21" x14ac:dyDescent="0.3">
      <c r="A343" s="10" t="s">
        <v>136</v>
      </c>
      <c r="B343" s="10" t="s">
        <v>137</v>
      </c>
      <c r="C343" s="37">
        <v>1382710000</v>
      </c>
      <c r="D343" s="11">
        <v>2016</v>
      </c>
      <c r="E343" s="10" t="s">
        <v>30</v>
      </c>
      <c r="F343" s="41">
        <f t="shared" si="31"/>
        <v>1.316255758618944E-5</v>
      </c>
      <c r="G343" s="8">
        <v>6</v>
      </c>
      <c r="H343" s="36">
        <f t="shared" si="32"/>
        <v>91599.36007897534</v>
      </c>
      <c r="I343" s="37">
        <v>182</v>
      </c>
      <c r="J343" s="12">
        <v>0.12</v>
      </c>
      <c r="K343" s="12">
        <v>4</v>
      </c>
      <c r="L343" s="40">
        <f t="shared" si="33"/>
        <v>87.36</v>
      </c>
      <c r="M343" s="11">
        <v>1240</v>
      </c>
      <c r="N343" s="12">
        <v>73.8</v>
      </c>
      <c r="O343" s="9">
        <f t="shared" si="34"/>
        <v>91512</v>
      </c>
      <c r="P343" s="75">
        <f t="shared" si="30"/>
        <v>6.6246255598770061</v>
      </c>
      <c r="Q343" s="78">
        <f t="shared" si="35"/>
        <v>6.4099634792884608</v>
      </c>
      <c r="R343" s="10" t="s">
        <v>144</v>
      </c>
      <c r="S343" s="81" t="s">
        <v>29</v>
      </c>
      <c r="T343" s="10" t="s">
        <v>33</v>
      </c>
      <c r="U343" s="4"/>
    </row>
    <row r="344" spans="1:21" x14ac:dyDescent="0.3">
      <c r="A344" s="7" t="s">
        <v>136</v>
      </c>
      <c r="B344" s="7" t="s">
        <v>137</v>
      </c>
      <c r="C344" s="36">
        <v>1390080000</v>
      </c>
      <c r="D344" s="8">
        <v>2017</v>
      </c>
      <c r="E344" s="7" t="s">
        <v>11</v>
      </c>
      <c r="F344" s="41" t="e">
        <f t="shared" si="31"/>
        <v>#VALUE!</v>
      </c>
      <c r="G344" s="11">
        <v>9</v>
      </c>
      <c r="H344" s="36" t="e">
        <f t="shared" si="32"/>
        <v>#VALUE!</v>
      </c>
      <c r="I344" s="73" t="s">
        <v>12</v>
      </c>
      <c r="J344" s="9">
        <v>0.13300000000000001</v>
      </c>
      <c r="K344" s="9">
        <v>8</v>
      </c>
      <c r="L344" s="40" t="e">
        <f t="shared" si="33"/>
        <v>#VALUE!</v>
      </c>
      <c r="M344" s="18" t="s">
        <v>12</v>
      </c>
      <c r="N344" s="9">
        <v>73.8</v>
      </c>
      <c r="O344" s="9" t="e">
        <f t="shared" si="34"/>
        <v>#VALUE!</v>
      </c>
      <c r="P344" s="75" t="e">
        <f t="shared" si="30"/>
        <v>#VALUE!</v>
      </c>
      <c r="Q344" s="78" t="e">
        <f t="shared" si="35"/>
        <v>#VALUE!</v>
      </c>
      <c r="R344" s="7" t="s">
        <v>138</v>
      </c>
      <c r="S344" s="80" t="s">
        <v>19</v>
      </c>
      <c r="T344" s="7"/>
      <c r="U344" s="3" t="s">
        <v>16</v>
      </c>
    </row>
    <row r="345" spans="1:21" ht="22.8" x14ac:dyDescent="0.3">
      <c r="A345" s="10" t="s">
        <v>136</v>
      </c>
      <c r="B345" s="10" t="s">
        <v>137</v>
      </c>
      <c r="C345" s="37">
        <v>1390080000</v>
      </c>
      <c r="D345" s="11">
        <v>2017</v>
      </c>
      <c r="E345" s="10" t="s">
        <v>17</v>
      </c>
      <c r="F345" s="41">
        <f t="shared" si="31"/>
        <v>3.0214088397790057E-5</v>
      </c>
      <c r="G345" s="8">
        <v>7</v>
      </c>
      <c r="H345" s="36">
        <f t="shared" si="32"/>
        <v>335.16021149861876</v>
      </c>
      <c r="I345" s="37">
        <v>420</v>
      </c>
      <c r="J345" s="12">
        <v>0.13300000000000001</v>
      </c>
      <c r="K345" s="12">
        <v>6</v>
      </c>
      <c r="L345" s="40">
        <f t="shared" si="33"/>
        <v>335.15999999999997</v>
      </c>
      <c r="M345" s="11">
        <v>0</v>
      </c>
      <c r="N345" s="12">
        <v>73.8</v>
      </c>
      <c r="O345" s="9">
        <f t="shared" si="34"/>
        <v>0</v>
      </c>
      <c r="P345" s="75">
        <f t="shared" si="30"/>
        <v>2.411085775628876E-2</v>
      </c>
      <c r="Q345" s="78">
        <f t="shared" si="35"/>
        <v>2.4107951322571708E-2</v>
      </c>
      <c r="R345" s="10" t="s">
        <v>146</v>
      </c>
      <c r="S345" s="81" t="s">
        <v>19</v>
      </c>
      <c r="T345" s="10" t="s">
        <v>99</v>
      </c>
      <c r="U345" s="4"/>
    </row>
    <row r="346" spans="1:21" x14ac:dyDescent="0.3">
      <c r="A346" s="7" t="s">
        <v>136</v>
      </c>
      <c r="B346" s="7" t="s">
        <v>137</v>
      </c>
      <c r="C346" s="36">
        <v>1390080000</v>
      </c>
      <c r="D346" s="8">
        <v>2017</v>
      </c>
      <c r="E346" s="7" t="s">
        <v>20</v>
      </c>
      <c r="F346" s="41">
        <f t="shared" si="31"/>
        <v>8.9203499079189688E-6</v>
      </c>
      <c r="G346" s="11">
        <v>7</v>
      </c>
      <c r="H346" s="36">
        <f t="shared" si="32"/>
        <v>6593.3520624424491</v>
      </c>
      <c r="I346" s="36">
        <v>124</v>
      </c>
      <c r="J346" s="9">
        <v>0.13300000000000001</v>
      </c>
      <c r="K346" s="9">
        <v>6</v>
      </c>
      <c r="L346" s="40">
        <f t="shared" si="33"/>
        <v>98.951999999999998</v>
      </c>
      <c r="M346" s="8">
        <v>88</v>
      </c>
      <c r="N346" s="9">
        <v>73.8</v>
      </c>
      <c r="O346" s="9">
        <f t="shared" si="34"/>
        <v>6494.4</v>
      </c>
      <c r="P346" s="75">
        <f t="shared" si="30"/>
        <v>0.47431457631520846</v>
      </c>
      <c r="Q346" s="78">
        <f t="shared" si="35"/>
        <v>0.47319148109842279</v>
      </c>
      <c r="R346" s="7" t="s">
        <v>140</v>
      </c>
      <c r="S346" s="80" t="s">
        <v>19</v>
      </c>
      <c r="T346" s="7"/>
      <c r="U346" s="7"/>
    </row>
    <row r="347" spans="1:21" x14ac:dyDescent="0.3">
      <c r="A347" s="10" t="s">
        <v>136</v>
      </c>
      <c r="B347" s="10" t="s">
        <v>137</v>
      </c>
      <c r="C347" s="37">
        <v>1390080000</v>
      </c>
      <c r="D347" s="11">
        <v>2017</v>
      </c>
      <c r="E347" s="10" t="s">
        <v>23</v>
      </c>
      <c r="F347" s="41">
        <f t="shared" si="31"/>
        <v>1.294889502762431E-6</v>
      </c>
      <c r="G347" s="8">
        <v>8</v>
      </c>
      <c r="H347" s="36">
        <f t="shared" si="32"/>
        <v>1787.9580103591159</v>
      </c>
      <c r="I347" s="37">
        <v>18</v>
      </c>
      <c r="J347" s="12">
        <v>0.13300000000000001</v>
      </c>
      <c r="K347" s="12">
        <v>7</v>
      </c>
      <c r="L347" s="40">
        <f t="shared" si="33"/>
        <v>16.758000000000003</v>
      </c>
      <c r="M347" s="11">
        <v>24</v>
      </c>
      <c r="N347" s="12">
        <v>73.8</v>
      </c>
      <c r="O347" s="9">
        <f t="shared" si="34"/>
        <v>1771.1999999999998</v>
      </c>
      <c r="P347" s="75">
        <f t="shared" si="30"/>
        <v>0.12862266994411228</v>
      </c>
      <c r="Q347" s="78">
        <f t="shared" si="35"/>
        <v>0.12853998644170028</v>
      </c>
      <c r="R347" s="10" t="s">
        <v>141</v>
      </c>
      <c r="S347" s="81" t="s">
        <v>25</v>
      </c>
      <c r="T347" s="10" t="s">
        <v>15</v>
      </c>
      <c r="U347" s="4"/>
    </row>
    <row r="348" spans="1:21" x14ac:dyDescent="0.3">
      <c r="A348" s="7" t="s">
        <v>136</v>
      </c>
      <c r="B348" s="7" t="s">
        <v>137</v>
      </c>
      <c r="C348" s="36">
        <v>1390080000</v>
      </c>
      <c r="D348" s="8">
        <v>2017</v>
      </c>
      <c r="E348" s="7" t="s">
        <v>26</v>
      </c>
      <c r="F348" s="41" t="e">
        <f t="shared" si="31"/>
        <v>#VALUE!</v>
      </c>
      <c r="G348" s="11">
        <v>6</v>
      </c>
      <c r="H348" s="36" t="e">
        <f t="shared" si="32"/>
        <v>#VALUE!</v>
      </c>
      <c r="I348" s="73" t="s">
        <v>12</v>
      </c>
      <c r="J348" s="9">
        <v>0.128</v>
      </c>
      <c r="K348" s="9">
        <v>5</v>
      </c>
      <c r="L348" s="40" t="e">
        <f t="shared" si="33"/>
        <v>#VALUE!</v>
      </c>
      <c r="M348" s="18" t="s">
        <v>12</v>
      </c>
      <c r="N348" s="9">
        <v>73.8</v>
      </c>
      <c r="O348" s="9" t="e">
        <f t="shared" si="34"/>
        <v>#VALUE!</v>
      </c>
      <c r="P348" s="75" t="e">
        <f t="shared" si="30"/>
        <v>#VALUE!</v>
      </c>
      <c r="Q348" s="78" t="e">
        <f t="shared" si="35"/>
        <v>#VALUE!</v>
      </c>
      <c r="R348" s="7" t="s">
        <v>142</v>
      </c>
      <c r="S348" s="80" t="s">
        <v>28</v>
      </c>
      <c r="T348" s="7" t="s">
        <v>143</v>
      </c>
      <c r="U348" s="3" t="s">
        <v>16</v>
      </c>
    </row>
    <row r="349" spans="1:21" x14ac:dyDescent="0.3">
      <c r="A349" s="10" t="s">
        <v>136</v>
      </c>
      <c r="B349" s="10" t="s">
        <v>137</v>
      </c>
      <c r="C349" s="37">
        <v>1390080000</v>
      </c>
      <c r="D349" s="11">
        <v>2017</v>
      </c>
      <c r="E349" s="10" t="s">
        <v>30</v>
      </c>
      <c r="F349" s="41">
        <f t="shared" si="31"/>
        <v>1.3092771639042357E-5</v>
      </c>
      <c r="G349" s="8">
        <v>6</v>
      </c>
      <c r="H349" s="36">
        <f t="shared" si="32"/>
        <v>91599.360078556623</v>
      </c>
      <c r="I349" s="37">
        <v>182</v>
      </c>
      <c r="J349" s="12">
        <v>0.12</v>
      </c>
      <c r="K349" s="12">
        <v>4</v>
      </c>
      <c r="L349" s="40">
        <f t="shared" si="33"/>
        <v>87.36</v>
      </c>
      <c r="M349" s="11">
        <v>1240</v>
      </c>
      <c r="N349" s="12">
        <v>73.8</v>
      </c>
      <c r="O349" s="9">
        <f t="shared" si="34"/>
        <v>91512</v>
      </c>
      <c r="P349" s="75">
        <f t="shared" ref="P349:P412" si="36">H349/C349*100000</f>
        <v>6.5895027680821698</v>
      </c>
      <c r="Q349" s="78">
        <f t="shared" si="35"/>
        <v>6.3770862722620674</v>
      </c>
      <c r="R349" s="10" t="s">
        <v>144</v>
      </c>
      <c r="S349" s="81" t="s">
        <v>29</v>
      </c>
      <c r="T349" s="10" t="s">
        <v>33</v>
      </c>
      <c r="U349" s="4"/>
    </row>
    <row r="350" spans="1:21" x14ac:dyDescent="0.3">
      <c r="A350" s="7" t="s">
        <v>136</v>
      </c>
      <c r="B350" s="7" t="s">
        <v>137</v>
      </c>
      <c r="C350" s="36">
        <v>1395380000</v>
      </c>
      <c r="D350" s="8">
        <v>2018</v>
      </c>
      <c r="E350" s="7" t="s">
        <v>11</v>
      </c>
      <c r="F350" s="41" t="e">
        <f t="shared" si="31"/>
        <v>#VALUE!</v>
      </c>
      <c r="G350" s="11">
        <v>9</v>
      </c>
      <c r="H350" s="36" t="e">
        <f t="shared" si="32"/>
        <v>#VALUE!</v>
      </c>
      <c r="I350" s="73" t="s">
        <v>12</v>
      </c>
      <c r="J350" s="9">
        <v>0.13300000000000001</v>
      </c>
      <c r="K350" s="9">
        <v>8</v>
      </c>
      <c r="L350" s="40" t="e">
        <f t="shared" si="33"/>
        <v>#VALUE!</v>
      </c>
      <c r="M350" s="18" t="s">
        <v>12</v>
      </c>
      <c r="N350" s="9">
        <v>73.8</v>
      </c>
      <c r="O350" s="9" t="e">
        <f t="shared" si="34"/>
        <v>#VALUE!</v>
      </c>
      <c r="P350" s="75" t="e">
        <f t="shared" si="36"/>
        <v>#VALUE!</v>
      </c>
      <c r="Q350" s="78" t="e">
        <f t="shared" si="35"/>
        <v>#VALUE!</v>
      </c>
      <c r="R350" s="7" t="s">
        <v>138</v>
      </c>
      <c r="S350" s="80" t="s">
        <v>19</v>
      </c>
      <c r="T350" s="7"/>
      <c r="U350" s="3" t="s">
        <v>16</v>
      </c>
    </row>
    <row r="351" spans="1:21" x14ac:dyDescent="0.3">
      <c r="A351" s="10" t="s">
        <v>136</v>
      </c>
      <c r="B351" s="10" t="s">
        <v>137</v>
      </c>
      <c r="C351" s="37">
        <v>1395380000</v>
      </c>
      <c r="D351" s="11">
        <v>2018</v>
      </c>
      <c r="E351" s="10" t="s">
        <v>17</v>
      </c>
      <c r="F351" s="41">
        <f t="shared" si="31"/>
        <v>4.8732244979862114E-5</v>
      </c>
      <c r="G351" s="8">
        <v>7</v>
      </c>
      <c r="H351" s="36">
        <f t="shared" si="32"/>
        <v>542.64034112571483</v>
      </c>
      <c r="I351" s="37">
        <v>680</v>
      </c>
      <c r="J351" s="12">
        <v>0.13300000000000001</v>
      </c>
      <c r="K351" s="12">
        <v>6</v>
      </c>
      <c r="L351" s="40">
        <f t="shared" si="33"/>
        <v>542.64</v>
      </c>
      <c r="M351" s="11">
        <v>0</v>
      </c>
      <c r="N351" s="12">
        <v>73.8</v>
      </c>
      <c r="O351" s="9">
        <f t="shared" si="34"/>
        <v>0</v>
      </c>
      <c r="P351" s="75">
        <f t="shared" si="36"/>
        <v>3.8888355940726885E-2</v>
      </c>
      <c r="Q351" s="78">
        <f t="shared" si="35"/>
        <v>3.8880795399676149E-2</v>
      </c>
      <c r="R351" s="10" t="s">
        <v>147</v>
      </c>
      <c r="S351" s="81" t="s">
        <v>19</v>
      </c>
      <c r="T351" s="10" t="s">
        <v>148</v>
      </c>
      <c r="U351" s="4"/>
    </row>
    <row r="352" spans="1:21" x14ac:dyDescent="0.3">
      <c r="A352" s="7" t="s">
        <v>136</v>
      </c>
      <c r="B352" s="7" t="s">
        <v>137</v>
      </c>
      <c r="C352" s="36">
        <v>1395380000</v>
      </c>
      <c r="D352" s="8">
        <v>2018</v>
      </c>
      <c r="E352" s="7" t="s">
        <v>20</v>
      </c>
      <c r="F352" s="41">
        <f t="shared" si="31"/>
        <v>8.8864682022101506E-6</v>
      </c>
      <c r="G352" s="11">
        <v>7</v>
      </c>
      <c r="H352" s="36">
        <f t="shared" si="32"/>
        <v>6593.3520622052774</v>
      </c>
      <c r="I352" s="36">
        <v>124</v>
      </c>
      <c r="J352" s="9">
        <v>0.13300000000000001</v>
      </c>
      <c r="K352" s="9">
        <v>6</v>
      </c>
      <c r="L352" s="40">
        <f t="shared" si="33"/>
        <v>98.951999999999998</v>
      </c>
      <c r="M352" s="8">
        <v>88</v>
      </c>
      <c r="N352" s="9">
        <v>73.8</v>
      </c>
      <c r="O352" s="9">
        <f t="shared" si="34"/>
        <v>6494.4</v>
      </c>
      <c r="P352" s="75">
        <f t="shared" si="36"/>
        <v>0.47251301166745097</v>
      </c>
      <c r="Q352" s="78">
        <f t="shared" si="35"/>
        <v>0.47139842514961616</v>
      </c>
      <c r="R352" s="7" t="s">
        <v>140</v>
      </c>
      <c r="S352" s="80" t="s">
        <v>19</v>
      </c>
      <c r="T352" s="7"/>
      <c r="U352" s="7"/>
    </row>
    <row r="353" spans="1:21" x14ac:dyDescent="0.3">
      <c r="A353" s="10" t="s">
        <v>136</v>
      </c>
      <c r="B353" s="10" t="s">
        <v>137</v>
      </c>
      <c r="C353" s="37">
        <v>1395380000</v>
      </c>
      <c r="D353" s="11">
        <v>2018</v>
      </c>
      <c r="E353" s="10" t="s">
        <v>23</v>
      </c>
      <c r="F353" s="41">
        <f t="shared" si="31"/>
        <v>1.289971190643409E-6</v>
      </c>
      <c r="G353" s="8">
        <v>8</v>
      </c>
      <c r="H353" s="36">
        <f t="shared" si="32"/>
        <v>1787.9580103197693</v>
      </c>
      <c r="I353" s="37">
        <v>18</v>
      </c>
      <c r="J353" s="12">
        <v>0.13300000000000001</v>
      </c>
      <c r="K353" s="12">
        <v>7</v>
      </c>
      <c r="L353" s="40">
        <f t="shared" si="33"/>
        <v>16.758000000000003</v>
      </c>
      <c r="M353" s="11">
        <v>24</v>
      </c>
      <c r="N353" s="12">
        <v>73.8</v>
      </c>
      <c r="O353" s="9">
        <f t="shared" si="34"/>
        <v>1771.1999999999998</v>
      </c>
      <c r="P353" s="75">
        <f t="shared" si="36"/>
        <v>0.1281341290773674</v>
      </c>
      <c r="Q353" s="78">
        <f t="shared" si="35"/>
        <v>0.12805207235349059</v>
      </c>
      <c r="R353" s="10" t="s">
        <v>141</v>
      </c>
      <c r="S353" s="81" t="s">
        <v>25</v>
      </c>
      <c r="T353" s="10" t="s">
        <v>15</v>
      </c>
      <c r="U353" s="4"/>
    </row>
    <row r="354" spans="1:21" x14ac:dyDescent="0.3">
      <c r="A354" s="7" t="s">
        <v>136</v>
      </c>
      <c r="B354" s="7" t="s">
        <v>137</v>
      </c>
      <c r="C354" s="36">
        <v>1395380000</v>
      </c>
      <c r="D354" s="8">
        <v>2018</v>
      </c>
      <c r="E354" s="7" t="s">
        <v>26</v>
      </c>
      <c r="F354" s="41" t="e">
        <f t="shared" si="31"/>
        <v>#VALUE!</v>
      </c>
      <c r="G354" s="11">
        <v>6</v>
      </c>
      <c r="H354" s="36" t="e">
        <f t="shared" si="32"/>
        <v>#VALUE!</v>
      </c>
      <c r="I354" s="73" t="s">
        <v>12</v>
      </c>
      <c r="J354" s="9">
        <v>0.128</v>
      </c>
      <c r="K354" s="9">
        <v>5</v>
      </c>
      <c r="L354" s="40" t="e">
        <f t="shared" si="33"/>
        <v>#VALUE!</v>
      </c>
      <c r="M354" s="18" t="s">
        <v>12</v>
      </c>
      <c r="N354" s="9">
        <v>73.8</v>
      </c>
      <c r="O354" s="9" t="e">
        <f t="shared" si="34"/>
        <v>#VALUE!</v>
      </c>
      <c r="P354" s="75" t="e">
        <f t="shared" si="36"/>
        <v>#VALUE!</v>
      </c>
      <c r="Q354" s="78" t="e">
        <f t="shared" si="35"/>
        <v>#VALUE!</v>
      </c>
      <c r="R354" s="7" t="s">
        <v>142</v>
      </c>
      <c r="S354" s="80" t="s">
        <v>28</v>
      </c>
      <c r="T354" s="7" t="s">
        <v>143</v>
      </c>
      <c r="U354" s="3" t="s">
        <v>16</v>
      </c>
    </row>
    <row r="355" spans="1:21" x14ac:dyDescent="0.3">
      <c r="A355" s="10" t="s">
        <v>136</v>
      </c>
      <c r="B355" s="10" t="s">
        <v>137</v>
      </c>
      <c r="C355" s="37">
        <v>1395380000</v>
      </c>
      <c r="D355" s="11">
        <v>2018</v>
      </c>
      <c r="E355" s="10" t="s">
        <v>30</v>
      </c>
      <c r="F355" s="41">
        <f t="shared" si="31"/>
        <v>1.3043042038727802E-5</v>
      </c>
      <c r="G355" s="8">
        <v>6</v>
      </c>
      <c r="H355" s="36">
        <f t="shared" si="32"/>
        <v>91599.360078258251</v>
      </c>
      <c r="I355" s="37">
        <v>182</v>
      </c>
      <c r="J355" s="12">
        <v>0.12</v>
      </c>
      <c r="K355" s="12">
        <v>4</v>
      </c>
      <c r="L355" s="40">
        <f t="shared" si="33"/>
        <v>87.36</v>
      </c>
      <c r="M355" s="11">
        <v>1240</v>
      </c>
      <c r="N355" s="12">
        <v>73.8</v>
      </c>
      <c r="O355" s="9">
        <f t="shared" si="34"/>
        <v>91512</v>
      </c>
      <c r="P355" s="75">
        <f t="shared" si="36"/>
        <v>6.5644741990180639</v>
      </c>
      <c r="Q355" s="78">
        <f t="shared" si="35"/>
        <v>6.3536508639885581</v>
      </c>
      <c r="R355" s="10" t="s">
        <v>144</v>
      </c>
      <c r="S355" s="81" t="s">
        <v>29</v>
      </c>
      <c r="T355" s="10" t="s">
        <v>33</v>
      </c>
      <c r="U355" s="4"/>
    </row>
    <row r="356" spans="1:21" x14ac:dyDescent="0.3">
      <c r="A356" s="7" t="s">
        <v>136</v>
      </c>
      <c r="B356" s="7" t="s">
        <v>137</v>
      </c>
      <c r="C356" s="36">
        <v>1400050000</v>
      </c>
      <c r="D356" s="8">
        <v>2019</v>
      </c>
      <c r="E356" s="7" t="s">
        <v>11</v>
      </c>
      <c r="F356" s="41" t="e">
        <f t="shared" si="31"/>
        <v>#VALUE!</v>
      </c>
      <c r="G356" s="11">
        <v>9</v>
      </c>
      <c r="H356" s="36" t="e">
        <f t="shared" si="32"/>
        <v>#VALUE!</v>
      </c>
      <c r="I356" s="73" t="s">
        <v>12</v>
      </c>
      <c r="J356" s="9">
        <v>0.13300000000000001</v>
      </c>
      <c r="K356" s="9">
        <v>8</v>
      </c>
      <c r="L356" s="40" t="e">
        <f t="shared" si="33"/>
        <v>#VALUE!</v>
      </c>
      <c r="M356" s="18" t="s">
        <v>12</v>
      </c>
      <c r="N356" s="9">
        <v>73.8</v>
      </c>
      <c r="O356" s="9" t="e">
        <f t="shared" si="34"/>
        <v>#VALUE!</v>
      </c>
      <c r="P356" s="75" t="e">
        <f t="shared" si="36"/>
        <v>#VALUE!</v>
      </c>
      <c r="Q356" s="78" t="e">
        <f t="shared" si="35"/>
        <v>#VALUE!</v>
      </c>
      <c r="R356" s="7" t="s">
        <v>138</v>
      </c>
      <c r="S356" s="80" t="s">
        <v>19</v>
      </c>
      <c r="T356" s="7"/>
      <c r="U356" s="3" t="s">
        <v>16</v>
      </c>
    </row>
    <row r="357" spans="1:21" x14ac:dyDescent="0.3">
      <c r="A357" s="10" t="s">
        <v>136</v>
      </c>
      <c r="B357" s="10" t="s">
        <v>137</v>
      </c>
      <c r="C357" s="37">
        <v>1400050000</v>
      </c>
      <c r="D357" s="11">
        <v>2019</v>
      </c>
      <c r="E357" s="10" t="s">
        <v>17</v>
      </c>
      <c r="F357" s="41">
        <f t="shared" si="31"/>
        <v>8.8568265419092178E-5</v>
      </c>
      <c r="G357" s="8">
        <v>7</v>
      </c>
      <c r="H357" s="36">
        <f t="shared" si="32"/>
        <v>1801.3206199778581</v>
      </c>
      <c r="I357" s="37">
        <v>1240</v>
      </c>
      <c r="J357" s="12">
        <v>0.13300000000000001</v>
      </c>
      <c r="K357" s="12">
        <v>6</v>
      </c>
      <c r="L357" s="40">
        <f t="shared" si="33"/>
        <v>989.5200000000001</v>
      </c>
      <c r="M357" s="11">
        <v>11</v>
      </c>
      <c r="N357" s="12">
        <v>73.8</v>
      </c>
      <c r="O357" s="9">
        <f t="shared" si="34"/>
        <v>811.8</v>
      </c>
      <c r="P357" s="75">
        <f t="shared" si="36"/>
        <v>0.12866116352829243</v>
      </c>
      <c r="Q357" s="78">
        <f t="shared" si="35"/>
        <v>0.12857843053883933</v>
      </c>
      <c r="R357" s="10" t="s">
        <v>149</v>
      </c>
      <c r="S357" s="81" t="s">
        <v>19</v>
      </c>
      <c r="T357" s="10" t="s">
        <v>99</v>
      </c>
      <c r="U357" s="4"/>
    </row>
    <row r="358" spans="1:21" x14ac:dyDescent="0.3">
      <c r="A358" s="7" t="s">
        <v>136</v>
      </c>
      <c r="B358" s="7" t="s">
        <v>137</v>
      </c>
      <c r="C358" s="36">
        <v>1400050000</v>
      </c>
      <c r="D358" s="8">
        <v>2019</v>
      </c>
      <c r="E358" s="7" t="s">
        <v>20</v>
      </c>
      <c r="F358" s="41">
        <f t="shared" si="31"/>
        <v>8.8568265419092171E-6</v>
      </c>
      <c r="G358" s="11">
        <v>7</v>
      </c>
      <c r="H358" s="36">
        <f t="shared" si="32"/>
        <v>6593.3520619977853</v>
      </c>
      <c r="I358" s="36">
        <v>124</v>
      </c>
      <c r="J358" s="9">
        <v>0.13300000000000001</v>
      </c>
      <c r="K358" s="9">
        <v>6</v>
      </c>
      <c r="L358" s="40">
        <f t="shared" si="33"/>
        <v>98.951999999999998</v>
      </c>
      <c r="M358" s="8">
        <v>88</v>
      </c>
      <c r="N358" s="9">
        <v>73.8</v>
      </c>
      <c r="O358" s="9">
        <f t="shared" si="34"/>
        <v>6494.4</v>
      </c>
      <c r="P358" s="75">
        <f t="shared" si="36"/>
        <v>0.47093689953914397</v>
      </c>
      <c r="Q358" s="78">
        <f t="shared" si="35"/>
        <v>0.46982973042690723</v>
      </c>
      <c r="R358" s="7" t="s">
        <v>140</v>
      </c>
      <c r="S358" s="80" t="s">
        <v>19</v>
      </c>
      <c r="T358" s="7"/>
      <c r="U358" s="7"/>
    </row>
    <row r="359" spans="1:21" x14ac:dyDescent="0.3">
      <c r="A359" s="10" t="s">
        <v>136</v>
      </c>
      <c r="B359" s="10" t="s">
        <v>137</v>
      </c>
      <c r="C359" s="37">
        <v>1400050000</v>
      </c>
      <c r="D359" s="11">
        <v>2019</v>
      </c>
      <c r="E359" s="10" t="s">
        <v>23</v>
      </c>
      <c r="F359" s="41">
        <f t="shared" si="31"/>
        <v>1.2856683689868218E-6</v>
      </c>
      <c r="G359" s="8">
        <v>8</v>
      </c>
      <c r="H359" s="36">
        <f t="shared" si="32"/>
        <v>1787.9580102853467</v>
      </c>
      <c r="I359" s="37">
        <v>18</v>
      </c>
      <c r="J359" s="12">
        <v>0.13300000000000001</v>
      </c>
      <c r="K359" s="12">
        <v>7</v>
      </c>
      <c r="L359" s="40">
        <f t="shared" si="33"/>
        <v>16.758000000000003</v>
      </c>
      <c r="M359" s="11">
        <v>24</v>
      </c>
      <c r="N359" s="12">
        <v>73.8</v>
      </c>
      <c r="O359" s="9">
        <f t="shared" si="34"/>
        <v>1771.1999999999998</v>
      </c>
      <c r="P359" s="75">
        <f t="shared" si="36"/>
        <v>0.1277067254944714</v>
      </c>
      <c r="Q359" s="78">
        <f t="shared" si="35"/>
        <v>0.12762521515754521</v>
      </c>
      <c r="R359" s="10" t="s">
        <v>141</v>
      </c>
      <c r="S359" s="81" t="s">
        <v>25</v>
      </c>
      <c r="T359" s="10" t="s">
        <v>15</v>
      </c>
      <c r="U359" s="4"/>
    </row>
    <row r="360" spans="1:21" x14ac:dyDescent="0.3">
      <c r="A360" s="7" t="s">
        <v>136</v>
      </c>
      <c r="B360" s="7" t="s">
        <v>137</v>
      </c>
      <c r="C360" s="36">
        <v>1400050000</v>
      </c>
      <c r="D360" s="8">
        <v>2019</v>
      </c>
      <c r="E360" s="7" t="s">
        <v>26</v>
      </c>
      <c r="F360" s="41" t="e">
        <f t="shared" si="31"/>
        <v>#VALUE!</v>
      </c>
      <c r="G360" s="11">
        <v>6</v>
      </c>
      <c r="H360" s="36" t="e">
        <f t="shared" si="32"/>
        <v>#VALUE!</v>
      </c>
      <c r="I360" s="73" t="s">
        <v>12</v>
      </c>
      <c r="J360" s="9">
        <v>0.128</v>
      </c>
      <c r="K360" s="9">
        <v>5</v>
      </c>
      <c r="L360" s="40" t="e">
        <f t="shared" si="33"/>
        <v>#VALUE!</v>
      </c>
      <c r="M360" s="18" t="s">
        <v>12</v>
      </c>
      <c r="N360" s="9">
        <v>73.8</v>
      </c>
      <c r="O360" s="9" t="e">
        <f t="shared" si="34"/>
        <v>#VALUE!</v>
      </c>
      <c r="P360" s="75" t="e">
        <f t="shared" si="36"/>
        <v>#VALUE!</v>
      </c>
      <c r="Q360" s="78" t="e">
        <f t="shared" si="35"/>
        <v>#VALUE!</v>
      </c>
      <c r="R360" s="7" t="s">
        <v>142</v>
      </c>
      <c r="S360" s="80" t="s">
        <v>28</v>
      </c>
      <c r="T360" s="7" t="s">
        <v>143</v>
      </c>
      <c r="U360" s="3" t="s">
        <v>16</v>
      </c>
    </row>
    <row r="361" spans="1:21" x14ac:dyDescent="0.3">
      <c r="A361" s="10" t="s">
        <v>136</v>
      </c>
      <c r="B361" s="10" t="s">
        <v>137</v>
      </c>
      <c r="C361" s="37">
        <v>1400050000</v>
      </c>
      <c r="D361" s="11">
        <v>2019</v>
      </c>
      <c r="E361" s="10" t="s">
        <v>30</v>
      </c>
      <c r="F361" s="41">
        <f t="shared" si="31"/>
        <v>1.2999535730866755E-5</v>
      </c>
      <c r="G361" s="8">
        <v>6</v>
      </c>
      <c r="H361" s="36">
        <f t="shared" si="32"/>
        <v>91599.360077997218</v>
      </c>
      <c r="I361" s="37">
        <v>182</v>
      </c>
      <c r="J361" s="12">
        <v>0.12</v>
      </c>
      <c r="K361" s="12">
        <v>4</v>
      </c>
      <c r="L361" s="40">
        <f t="shared" si="33"/>
        <v>87.36</v>
      </c>
      <c r="M361" s="11">
        <v>1240</v>
      </c>
      <c r="N361" s="12">
        <v>73.8</v>
      </c>
      <c r="O361" s="9">
        <f t="shared" si="34"/>
        <v>91512</v>
      </c>
      <c r="P361" s="75">
        <f t="shared" si="36"/>
        <v>6.5425777706508494</v>
      </c>
      <c r="Q361" s="78">
        <f t="shared" si="35"/>
        <v>6.3331434131137732</v>
      </c>
      <c r="R361" s="10" t="s">
        <v>144</v>
      </c>
      <c r="S361" s="81" t="s">
        <v>29</v>
      </c>
      <c r="T361" s="10" t="s">
        <v>33</v>
      </c>
      <c r="U361" s="4"/>
    </row>
    <row r="362" spans="1:21" x14ac:dyDescent="0.3">
      <c r="A362" s="7" t="s">
        <v>136</v>
      </c>
      <c r="B362" s="7" t="s">
        <v>137</v>
      </c>
      <c r="C362" s="36">
        <v>1411100000</v>
      </c>
      <c r="D362" s="8">
        <v>2020</v>
      </c>
      <c r="E362" s="7" t="s">
        <v>11</v>
      </c>
      <c r="F362" s="41" t="e">
        <f t="shared" si="31"/>
        <v>#VALUE!</v>
      </c>
      <c r="G362" s="11">
        <v>9</v>
      </c>
      <c r="H362" s="36" t="e">
        <f t="shared" si="32"/>
        <v>#VALUE!</v>
      </c>
      <c r="I362" s="73" t="s">
        <v>12</v>
      </c>
      <c r="J362" s="9">
        <v>0.13300000000000001</v>
      </c>
      <c r="K362" s="9">
        <v>8</v>
      </c>
      <c r="L362" s="40" t="e">
        <f t="shared" si="33"/>
        <v>#VALUE!</v>
      </c>
      <c r="M362" s="18" t="s">
        <v>12</v>
      </c>
      <c r="N362" s="9">
        <v>73.8</v>
      </c>
      <c r="O362" s="9" t="e">
        <f t="shared" si="34"/>
        <v>#VALUE!</v>
      </c>
      <c r="P362" s="75" t="e">
        <f t="shared" si="36"/>
        <v>#VALUE!</v>
      </c>
      <c r="Q362" s="78" t="e">
        <f t="shared" si="35"/>
        <v>#VALUE!</v>
      </c>
      <c r="R362" s="7" t="s">
        <v>138</v>
      </c>
      <c r="S362" s="80" t="s">
        <v>19</v>
      </c>
      <c r="T362" s="7"/>
      <c r="U362" s="3" t="s">
        <v>16</v>
      </c>
    </row>
    <row r="363" spans="1:21" x14ac:dyDescent="0.3">
      <c r="A363" s="10" t="s">
        <v>136</v>
      </c>
      <c r="B363" s="10" t="s">
        <v>137</v>
      </c>
      <c r="C363" s="37">
        <v>1411100000</v>
      </c>
      <c r="D363" s="11">
        <v>2020</v>
      </c>
      <c r="E363" s="10" t="s">
        <v>17</v>
      </c>
      <c r="F363" s="41">
        <f t="shared" si="31"/>
        <v>6.3071362766635951E-5</v>
      </c>
      <c r="G363" s="8">
        <v>7</v>
      </c>
      <c r="H363" s="36">
        <f t="shared" si="32"/>
        <v>857.82044149953947</v>
      </c>
      <c r="I363" s="37">
        <v>890</v>
      </c>
      <c r="J363" s="12">
        <v>0.13300000000000001</v>
      </c>
      <c r="K363" s="12">
        <v>6</v>
      </c>
      <c r="L363" s="40">
        <f t="shared" si="33"/>
        <v>710.22</v>
      </c>
      <c r="M363" s="11">
        <v>2</v>
      </c>
      <c r="N363" s="12">
        <v>73.8</v>
      </c>
      <c r="O363" s="9">
        <f t="shared" si="34"/>
        <v>147.6</v>
      </c>
      <c r="P363" s="75">
        <f t="shared" si="36"/>
        <v>6.0790903656689065E-2</v>
      </c>
      <c r="Q363" s="78">
        <f t="shared" si="35"/>
        <v>6.0772429730526767E-2</v>
      </c>
      <c r="R363" s="10" t="s">
        <v>150</v>
      </c>
      <c r="S363" s="81" t="s">
        <v>19</v>
      </c>
      <c r="T363" s="10" t="s">
        <v>99</v>
      </c>
      <c r="U363" s="4"/>
    </row>
    <row r="364" spans="1:21" x14ac:dyDescent="0.3">
      <c r="A364" s="7" t="s">
        <v>136</v>
      </c>
      <c r="B364" s="7" t="s">
        <v>137</v>
      </c>
      <c r="C364" s="36">
        <v>1411100000</v>
      </c>
      <c r="D364" s="8">
        <v>2020</v>
      </c>
      <c r="E364" s="7" t="s">
        <v>20</v>
      </c>
      <c r="F364" s="41">
        <f t="shared" si="31"/>
        <v>8.7874707674863584E-6</v>
      </c>
      <c r="G364" s="11">
        <v>7</v>
      </c>
      <c r="H364" s="36">
        <f t="shared" si="32"/>
        <v>6593.3520615122952</v>
      </c>
      <c r="I364" s="36">
        <v>124</v>
      </c>
      <c r="J364" s="9">
        <v>0.13300000000000001</v>
      </c>
      <c r="K364" s="9">
        <v>6</v>
      </c>
      <c r="L364" s="40">
        <f t="shared" si="33"/>
        <v>98.951999999999998</v>
      </c>
      <c r="M364" s="8">
        <v>88</v>
      </c>
      <c r="N364" s="9">
        <v>73.8</v>
      </c>
      <c r="O364" s="9">
        <f t="shared" si="34"/>
        <v>6494.4</v>
      </c>
      <c r="P364" s="75">
        <f t="shared" si="36"/>
        <v>0.46724910080875171</v>
      </c>
      <c r="Q364" s="78">
        <f t="shared" si="35"/>
        <v>0.46615919039070253</v>
      </c>
      <c r="R364" s="7" t="s">
        <v>140</v>
      </c>
      <c r="S364" s="80" t="s">
        <v>19</v>
      </c>
      <c r="T364" s="7"/>
      <c r="U364" s="7"/>
    </row>
    <row r="365" spans="1:21" x14ac:dyDescent="0.3">
      <c r="A365" s="10" t="s">
        <v>136</v>
      </c>
      <c r="B365" s="10" t="s">
        <v>137</v>
      </c>
      <c r="C365" s="37">
        <v>1411100000</v>
      </c>
      <c r="D365" s="11">
        <v>2020</v>
      </c>
      <c r="E365" s="10" t="s">
        <v>23</v>
      </c>
      <c r="F365" s="41">
        <f t="shared" si="31"/>
        <v>1.2756005952802778E-6</v>
      </c>
      <c r="G365" s="8">
        <v>8</v>
      </c>
      <c r="H365" s="36">
        <f t="shared" si="32"/>
        <v>1787.9580102048046</v>
      </c>
      <c r="I365" s="37">
        <v>18</v>
      </c>
      <c r="J365" s="12">
        <v>0.13300000000000001</v>
      </c>
      <c r="K365" s="12">
        <v>7</v>
      </c>
      <c r="L365" s="40">
        <f t="shared" si="33"/>
        <v>16.758000000000003</v>
      </c>
      <c r="M365" s="11">
        <v>24</v>
      </c>
      <c r="N365" s="12">
        <v>73.8</v>
      </c>
      <c r="O365" s="9">
        <f t="shared" si="34"/>
        <v>1771.1999999999998</v>
      </c>
      <c r="P365" s="75">
        <f t="shared" si="36"/>
        <v>0.1267066834529661</v>
      </c>
      <c r="Q365" s="78">
        <f t="shared" si="35"/>
        <v>0.12662644442779092</v>
      </c>
      <c r="R365" s="10" t="s">
        <v>141</v>
      </c>
      <c r="S365" s="81" t="s">
        <v>25</v>
      </c>
      <c r="T365" s="10" t="s">
        <v>15</v>
      </c>
      <c r="U365" s="4"/>
    </row>
    <row r="366" spans="1:21" x14ac:dyDescent="0.3">
      <c r="A366" s="7" t="s">
        <v>136</v>
      </c>
      <c r="B366" s="7" t="s">
        <v>137</v>
      </c>
      <c r="C366" s="36">
        <v>1411100000</v>
      </c>
      <c r="D366" s="8">
        <v>2020</v>
      </c>
      <c r="E366" s="7" t="s">
        <v>26</v>
      </c>
      <c r="F366" s="41" t="e">
        <f t="shared" si="31"/>
        <v>#VALUE!</v>
      </c>
      <c r="G366" s="11">
        <v>6</v>
      </c>
      <c r="H366" s="36" t="e">
        <f t="shared" si="32"/>
        <v>#VALUE!</v>
      </c>
      <c r="I366" s="73" t="s">
        <v>12</v>
      </c>
      <c r="J366" s="9">
        <v>0.128</v>
      </c>
      <c r="K366" s="9">
        <v>5</v>
      </c>
      <c r="L366" s="40" t="e">
        <f t="shared" si="33"/>
        <v>#VALUE!</v>
      </c>
      <c r="M366" s="18" t="s">
        <v>12</v>
      </c>
      <c r="N366" s="9">
        <v>73.8</v>
      </c>
      <c r="O366" s="9" t="e">
        <f t="shared" si="34"/>
        <v>#VALUE!</v>
      </c>
      <c r="P366" s="75" t="e">
        <f t="shared" si="36"/>
        <v>#VALUE!</v>
      </c>
      <c r="Q366" s="78" t="e">
        <f t="shared" si="35"/>
        <v>#VALUE!</v>
      </c>
      <c r="R366" s="7" t="s">
        <v>142</v>
      </c>
      <c r="S366" s="80" t="s">
        <v>28</v>
      </c>
      <c r="T366" s="7" t="s">
        <v>143</v>
      </c>
      <c r="U366" s="3" t="s">
        <v>16</v>
      </c>
    </row>
    <row r="367" spans="1:21" x14ac:dyDescent="0.3">
      <c r="A367" s="10" t="s">
        <v>136</v>
      </c>
      <c r="B367" s="10" t="s">
        <v>137</v>
      </c>
      <c r="C367" s="37">
        <v>1411100000</v>
      </c>
      <c r="D367" s="11">
        <v>2020</v>
      </c>
      <c r="E367" s="10" t="s">
        <v>30</v>
      </c>
      <c r="F367" s="41">
        <f t="shared" si="31"/>
        <v>1.2897739352278364E-5</v>
      </c>
      <c r="G367" s="8">
        <v>6</v>
      </c>
      <c r="H367" s="36">
        <f t="shared" si="32"/>
        <v>91599.360077386431</v>
      </c>
      <c r="I367" s="37">
        <v>182</v>
      </c>
      <c r="J367" s="12">
        <v>0.12</v>
      </c>
      <c r="K367" s="12">
        <v>4</v>
      </c>
      <c r="L367" s="40">
        <f t="shared" si="33"/>
        <v>87.36</v>
      </c>
      <c r="M367" s="11">
        <v>1240</v>
      </c>
      <c r="N367" s="12">
        <v>73.8</v>
      </c>
      <c r="O367" s="9">
        <f t="shared" si="34"/>
        <v>91512</v>
      </c>
      <c r="P367" s="75">
        <f t="shared" si="36"/>
        <v>6.4913443467781464</v>
      </c>
      <c r="Q367" s="78">
        <f t="shared" si="35"/>
        <v>6.285142380214026</v>
      </c>
      <c r="R367" s="10" t="s">
        <v>144</v>
      </c>
      <c r="S367" s="81" t="s">
        <v>29</v>
      </c>
      <c r="T367" s="10" t="s">
        <v>33</v>
      </c>
      <c r="U367" s="4"/>
    </row>
    <row r="368" spans="1:21" x14ac:dyDescent="0.3">
      <c r="A368" s="7" t="s">
        <v>136</v>
      </c>
      <c r="B368" s="7" t="s">
        <v>137</v>
      </c>
      <c r="C368" s="36">
        <v>1412600000</v>
      </c>
      <c r="D368" s="8">
        <v>2021</v>
      </c>
      <c r="E368" s="7" t="s">
        <v>11</v>
      </c>
      <c r="F368" s="41" t="e">
        <f t="shared" si="31"/>
        <v>#VALUE!</v>
      </c>
      <c r="G368" s="11">
        <v>9</v>
      </c>
      <c r="H368" s="36" t="e">
        <f t="shared" si="32"/>
        <v>#VALUE!</v>
      </c>
      <c r="I368" s="73" t="s">
        <v>12</v>
      </c>
      <c r="J368" s="9">
        <v>0.13300000000000001</v>
      </c>
      <c r="K368" s="9">
        <v>8</v>
      </c>
      <c r="L368" s="40" t="e">
        <f t="shared" si="33"/>
        <v>#VALUE!</v>
      </c>
      <c r="M368" s="18" t="s">
        <v>12</v>
      </c>
      <c r="N368" s="9">
        <v>73.8</v>
      </c>
      <c r="O368" s="9" t="e">
        <f t="shared" si="34"/>
        <v>#VALUE!</v>
      </c>
      <c r="P368" s="75" t="e">
        <f t="shared" si="36"/>
        <v>#VALUE!</v>
      </c>
      <c r="Q368" s="78" t="e">
        <f t="shared" si="35"/>
        <v>#VALUE!</v>
      </c>
      <c r="R368" s="7" t="s">
        <v>138</v>
      </c>
      <c r="S368" s="80" t="s">
        <v>19</v>
      </c>
      <c r="T368" s="7"/>
      <c r="U368" s="3" t="s">
        <v>16</v>
      </c>
    </row>
    <row r="369" spans="1:21" x14ac:dyDescent="0.3">
      <c r="A369" s="10" t="s">
        <v>136</v>
      </c>
      <c r="B369" s="10" t="s">
        <v>137</v>
      </c>
      <c r="C369" s="37">
        <v>1412600000</v>
      </c>
      <c r="D369" s="11">
        <v>2021</v>
      </c>
      <c r="E369" s="10" t="s">
        <v>17</v>
      </c>
      <c r="F369" s="41">
        <f t="shared" si="31"/>
        <v>3.6811553164377744E-5</v>
      </c>
      <c r="G369" s="8">
        <v>7</v>
      </c>
      <c r="H369" s="36">
        <f t="shared" si="32"/>
        <v>414.96025768087213</v>
      </c>
      <c r="I369" s="37">
        <v>520</v>
      </c>
      <c r="J369" s="12">
        <v>0.13300000000000001</v>
      </c>
      <c r="K369" s="12">
        <v>6</v>
      </c>
      <c r="L369" s="40">
        <f t="shared" si="33"/>
        <v>414.96</v>
      </c>
      <c r="M369" s="11">
        <v>0</v>
      </c>
      <c r="N369" s="12">
        <v>73.8</v>
      </c>
      <c r="O369" s="9">
        <f t="shared" si="34"/>
        <v>0</v>
      </c>
      <c r="P369" s="75">
        <f t="shared" si="36"/>
        <v>2.9375637666775603E-2</v>
      </c>
      <c r="Q369" s="78">
        <f t="shared" si="35"/>
        <v>2.9371323448790232E-2</v>
      </c>
      <c r="R369" s="10" t="s">
        <v>151</v>
      </c>
      <c r="S369" s="81" t="s">
        <v>19</v>
      </c>
      <c r="T369" s="10" t="s">
        <v>99</v>
      </c>
      <c r="U369" s="4"/>
    </row>
    <row r="370" spans="1:21" x14ac:dyDescent="0.3">
      <c r="A370" s="7" t="s">
        <v>136</v>
      </c>
      <c r="B370" s="7" t="s">
        <v>137</v>
      </c>
      <c r="C370" s="36">
        <v>1412600000</v>
      </c>
      <c r="D370" s="8">
        <v>2021</v>
      </c>
      <c r="E370" s="7" t="s">
        <v>20</v>
      </c>
      <c r="F370" s="41">
        <f t="shared" si="31"/>
        <v>8.7781396007362304E-6</v>
      </c>
      <c r="G370" s="11">
        <v>7</v>
      </c>
      <c r="H370" s="36">
        <f t="shared" si="32"/>
        <v>6593.3520614469771</v>
      </c>
      <c r="I370" s="36">
        <v>124</v>
      </c>
      <c r="J370" s="9">
        <v>0.13300000000000001</v>
      </c>
      <c r="K370" s="9">
        <v>6</v>
      </c>
      <c r="L370" s="40">
        <f t="shared" si="33"/>
        <v>98.951999999999998</v>
      </c>
      <c r="M370" s="8">
        <v>88</v>
      </c>
      <c r="N370" s="9">
        <v>73.8</v>
      </c>
      <c r="O370" s="9">
        <f t="shared" si="34"/>
        <v>6494.4</v>
      </c>
      <c r="P370" s="75">
        <f t="shared" si="36"/>
        <v>0.46675294219502883</v>
      </c>
      <c r="Q370" s="78">
        <f t="shared" si="35"/>
        <v>0.46566534344082422</v>
      </c>
      <c r="R370" s="7" t="s">
        <v>140</v>
      </c>
      <c r="S370" s="80" t="s">
        <v>19</v>
      </c>
      <c r="T370" s="7"/>
      <c r="U370" s="7"/>
    </row>
    <row r="371" spans="1:21" x14ac:dyDescent="0.3">
      <c r="A371" s="10" t="s">
        <v>136</v>
      </c>
      <c r="B371" s="10" t="s">
        <v>137</v>
      </c>
      <c r="C371" s="37">
        <v>1412600000</v>
      </c>
      <c r="D371" s="11">
        <v>2021</v>
      </c>
      <c r="E371" s="10" t="s">
        <v>23</v>
      </c>
      <c r="F371" s="41">
        <f t="shared" si="31"/>
        <v>1.2742460710746142E-6</v>
      </c>
      <c r="G371" s="8">
        <v>8</v>
      </c>
      <c r="H371" s="36">
        <f t="shared" si="32"/>
        <v>1787.9580101939684</v>
      </c>
      <c r="I371" s="37">
        <v>18</v>
      </c>
      <c r="J371" s="12">
        <v>0.13300000000000001</v>
      </c>
      <c r="K371" s="12">
        <v>7</v>
      </c>
      <c r="L371" s="40">
        <f t="shared" si="33"/>
        <v>16.758000000000003</v>
      </c>
      <c r="M371" s="11">
        <v>24</v>
      </c>
      <c r="N371" s="12">
        <v>73.8</v>
      </c>
      <c r="O371" s="9">
        <f t="shared" si="34"/>
        <v>1771.1999999999998</v>
      </c>
      <c r="P371" s="75">
        <f t="shared" si="36"/>
        <v>0.12657213720755828</v>
      </c>
      <c r="Q371" s="78">
        <f t="shared" si="35"/>
        <v>0.12649206846311323</v>
      </c>
      <c r="R371" s="10" t="s">
        <v>141</v>
      </c>
      <c r="S371" s="81" t="s">
        <v>25</v>
      </c>
      <c r="T371" s="10" t="s">
        <v>15</v>
      </c>
      <c r="U371" s="4"/>
    </row>
    <row r="372" spans="1:21" x14ac:dyDescent="0.3">
      <c r="A372" s="7" t="s">
        <v>136</v>
      </c>
      <c r="B372" s="7" t="s">
        <v>137</v>
      </c>
      <c r="C372" s="36">
        <v>1412600000</v>
      </c>
      <c r="D372" s="8">
        <v>2021</v>
      </c>
      <c r="E372" s="7" t="s">
        <v>26</v>
      </c>
      <c r="F372" s="41" t="e">
        <f t="shared" si="31"/>
        <v>#VALUE!</v>
      </c>
      <c r="G372" s="11">
        <v>6</v>
      </c>
      <c r="H372" s="36" t="e">
        <f t="shared" si="32"/>
        <v>#VALUE!</v>
      </c>
      <c r="I372" s="73" t="s">
        <v>12</v>
      </c>
      <c r="J372" s="9">
        <v>0.128</v>
      </c>
      <c r="K372" s="9">
        <v>5</v>
      </c>
      <c r="L372" s="40" t="e">
        <f t="shared" si="33"/>
        <v>#VALUE!</v>
      </c>
      <c r="M372" s="18" t="s">
        <v>12</v>
      </c>
      <c r="N372" s="9">
        <v>73.8</v>
      </c>
      <c r="O372" s="9" t="e">
        <f t="shared" si="34"/>
        <v>#VALUE!</v>
      </c>
      <c r="P372" s="75" t="e">
        <f t="shared" si="36"/>
        <v>#VALUE!</v>
      </c>
      <c r="Q372" s="78" t="e">
        <f t="shared" si="35"/>
        <v>#VALUE!</v>
      </c>
      <c r="R372" s="7" t="s">
        <v>142</v>
      </c>
      <c r="S372" s="80" t="s">
        <v>28</v>
      </c>
      <c r="T372" s="7" t="s">
        <v>143</v>
      </c>
      <c r="U372" s="3" t="s">
        <v>16</v>
      </c>
    </row>
    <row r="373" spans="1:21" x14ac:dyDescent="0.3">
      <c r="A373" s="10" t="s">
        <v>136</v>
      </c>
      <c r="B373" s="10" t="s">
        <v>137</v>
      </c>
      <c r="C373" s="37">
        <v>1412600000</v>
      </c>
      <c r="D373" s="11">
        <v>2021</v>
      </c>
      <c r="E373" s="10" t="s">
        <v>30</v>
      </c>
      <c r="F373" s="41">
        <f t="shared" si="31"/>
        <v>1.288404360753221E-5</v>
      </c>
      <c r="G373" s="8">
        <v>6</v>
      </c>
      <c r="H373" s="36">
        <f t="shared" si="32"/>
        <v>91599.360077304256</v>
      </c>
      <c r="I373" s="37">
        <v>182</v>
      </c>
      <c r="J373" s="12">
        <v>0.12</v>
      </c>
      <c r="K373" s="12">
        <v>4</v>
      </c>
      <c r="L373" s="40">
        <f t="shared" si="33"/>
        <v>87.36</v>
      </c>
      <c r="M373" s="11">
        <v>1240</v>
      </c>
      <c r="N373" s="12">
        <v>73.8</v>
      </c>
      <c r="O373" s="9">
        <f t="shared" si="34"/>
        <v>91512</v>
      </c>
      <c r="P373" s="75">
        <f t="shared" si="36"/>
        <v>6.4844513717474337</v>
      </c>
      <c r="Q373" s="78">
        <f t="shared" si="35"/>
        <v>6.2786824158389098</v>
      </c>
      <c r="R373" s="10" t="s">
        <v>144</v>
      </c>
      <c r="S373" s="81" t="s">
        <v>29</v>
      </c>
      <c r="T373" s="10" t="s">
        <v>33</v>
      </c>
      <c r="U373" s="4"/>
    </row>
    <row r="374" spans="1:21" x14ac:dyDescent="0.3">
      <c r="A374" s="7" t="s">
        <v>136</v>
      </c>
      <c r="B374" s="7" t="s">
        <v>137</v>
      </c>
      <c r="C374" s="36">
        <v>1411750000</v>
      </c>
      <c r="D374" s="8">
        <v>2022</v>
      </c>
      <c r="E374" s="7" t="s">
        <v>11</v>
      </c>
      <c r="F374" s="41" t="e">
        <f t="shared" si="31"/>
        <v>#VALUE!</v>
      </c>
      <c r="G374" s="11">
        <v>9</v>
      </c>
      <c r="H374" s="36" t="e">
        <f t="shared" si="32"/>
        <v>#VALUE!</v>
      </c>
      <c r="I374" s="73" t="s">
        <v>12</v>
      </c>
      <c r="J374" s="9">
        <v>0.13300000000000001</v>
      </c>
      <c r="K374" s="9">
        <v>8</v>
      </c>
      <c r="L374" s="40" t="e">
        <f t="shared" si="33"/>
        <v>#VALUE!</v>
      </c>
      <c r="M374" s="18" t="s">
        <v>12</v>
      </c>
      <c r="N374" s="9">
        <v>73.8</v>
      </c>
      <c r="O374" s="9" t="e">
        <f t="shared" si="34"/>
        <v>#VALUE!</v>
      </c>
      <c r="P374" s="75" t="e">
        <f t="shared" si="36"/>
        <v>#VALUE!</v>
      </c>
      <c r="Q374" s="78" t="e">
        <f t="shared" si="35"/>
        <v>#VALUE!</v>
      </c>
      <c r="R374" s="7" t="s">
        <v>138</v>
      </c>
      <c r="S374" s="80" t="s">
        <v>19</v>
      </c>
      <c r="T374" s="7"/>
      <c r="U374" s="3" t="s">
        <v>16</v>
      </c>
    </row>
    <row r="375" spans="1:21" x14ac:dyDescent="0.3">
      <c r="A375" s="10" t="s">
        <v>136</v>
      </c>
      <c r="B375" s="10" t="s">
        <v>137</v>
      </c>
      <c r="C375" s="37">
        <v>1411750000</v>
      </c>
      <c r="D375" s="11">
        <v>2022</v>
      </c>
      <c r="E375" s="10" t="s">
        <v>17</v>
      </c>
      <c r="F375" s="41">
        <f t="shared" si="31"/>
        <v>1.3033469098636444E-4</v>
      </c>
      <c r="G375" s="8">
        <v>7</v>
      </c>
      <c r="H375" s="36">
        <f t="shared" si="32"/>
        <v>1468.3209123428371</v>
      </c>
      <c r="I375" s="37">
        <v>1840</v>
      </c>
      <c r="J375" s="12">
        <v>0.13300000000000001</v>
      </c>
      <c r="K375" s="12">
        <v>6</v>
      </c>
      <c r="L375" s="40">
        <f t="shared" si="33"/>
        <v>1468.3200000000002</v>
      </c>
      <c r="M375" s="11">
        <v>0</v>
      </c>
      <c r="N375" s="12">
        <v>73.8</v>
      </c>
      <c r="O375" s="9">
        <f t="shared" si="34"/>
        <v>0</v>
      </c>
      <c r="P375" s="75">
        <f t="shared" si="36"/>
        <v>0.10400714803207629</v>
      </c>
      <c r="Q375" s="78">
        <f t="shared" si="35"/>
        <v>0.10395307934458753</v>
      </c>
      <c r="R375" s="10" t="s">
        <v>152</v>
      </c>
      <c r="S375" s="81" t="s">
        <v>19</v>
      </c>
      <c r="T375" s="10" t="s">
        <v>99</v>
      </c>
      <c r="U375" s="4"/>
    </row>
    <row r="376" spans="1:21" x14ac:dyDescent="0.3">
      <c r="A376" s="7" t="s">
        <v>136</v>
      </c>
      <c r="B376" s="7" t="s">
        <v>137</v>
      </c>
      <c r="C376" s="36">
        <v>1411750000</v>
      </c>
      <c r="D376" s="8">
        <v>2022</v>
      </c>
      <c r="E376" s="7" t="s">
        <v>20</v>
      </c>
      <c r="F376" s="41">
        <f t="shared" si="31"/>
        <v>8.7834248273419523E-6</v>
      </c>
      <c r="G376" s="11">
        <v>7</v>
      </c>
      <c r="H376" s="36">
        <f t="shared" si="32"/>
        <v>6593.3520614839736</v>
      </c>
      <c r="I376" s="36">
        <v>124</v>
      </c>
      <c r="J376" s="9">
        <v>0.13300000000000001</v>
      </c>
      <c r="K376" s="9">
        <v>6</v>
      </c>
      <c r="L376" s="40">
        <f t="shared" si="33"/>
        <v>98.951999999999998</v>
      </c>
      <c r="M376" s="8">
        <v>88</v>
      </c>
      <c r="N376" s="9">
        <v>73.8</v>
      </c>
      <c r="O376" s="9">
        <f t="shared" si="34"/>
        <v>6494.4</v>
      </c>
      <c r="P376" s="75">
        <f t="shared" si="36"/>
        <v>0.46703396929229496</v>
      </c>
      <c r="Q376" s="78">
        <f t="shared" si="35"/>
        <v>0.46594506149925108</v>
      </c>
      <c r="R376" s="7" t="s">
        <v>140</v>
      </c>
      <c r="S376" s="80" t="s">
        <v>19</v>
      </c>
      <c r="T376" s="7"/>
      <c r="U376" s="7"/>
    </row>
    <row r="377" spans="1:21" x14ac:dyDescent="0.3">
      <c r="A377" s="10" t="s">
        <v>136</v>
      </c>
      <c r="B377" s="10" t="s">
        <v>137</v>
      </c>
      <c r="C377" s="37">
        <v>1411750000</v>
      </c>
      <c r="D377" s="11">
        <v>2022</v>
      </c>
      <c r="E377" s="10" t="s">
        <v>23</v>
      </c>
      <c r="F377" s="41">
        <f t="shared" si="31"/>
        <v>1.2750132813883477E-6</v>
      </c>
      <c r="G377" s="8">
        <v>8</v>
      </c>
      <c r="H377" s="36">
        <f t="shared" si="32"/>
        <v>1787.9580102001062</v>
      </c>
      <c r="I377" s="37">
        <v>18</v>
      </c>
      <c r="J377" s="12">
        <v>0.13300000000000001</v>
      </c>
      <c r="K377" s="12">
        <v>7</v>
      </c>
      <c r="L377" s="40">
        <f t="shared" si="33"/>
        <v>16.758000000000003</v>
      </c>
      <c r="M377" s="11">
        <v>24</v>
      </c>
      <c r="N377" s="12">
        <v>73.8</v>
      </c>
      <c r="O377" s="9">
        <f t="shared" si="34"/>
        <v>1771.1999999999998</v>
      </c>
      <c r="P377" s="75">
        <f t="shared" si="36"/>
        <v>0.12664834497610103</v>
      </c>
      <c r="Q377" s="78">
        <f t="shared" si="35"/>
        <v>0.12656817980586377</v>
      </c>
      <c r="R377" s="10" t="s">
        <v>141</v>
      </c>
      <c r="S377" s="81" t="s">
        <v>25</v>
      </c>
      <c r="T377" s="10" t="s">
        <v>15</v>
      </c>
      <c r="U377" s="4"/>
    </row>
    <row r="378" spans="1:21" x14ac:dyDescent="0.3">
      <c r="A378" s="7" t="s">
        <v>136</v>
      </c>
      <c r="B378" s="7" t="s">
        <v>137</v>
      </c>
      <c r="C378" s="36">
        <v>1411750000</v>
      </c>
      <c r="D378" s="8">
        <v>2022</v>
      </c>
      <c r="E378" s="7" t="s">
        <v>26</v>
      </c>
      <c r="F378" s="41" t="e">
        <f t="shared" si="31"/>
        <v>#VALUE!</v>
      </c>
      <c r="G378" s="11">
        <v>6</v>
      </c>
      <c r="H378" s="36" t="e">
        <f t="shared" si="32"/>
        <v>#VALUE!</v>
      </c>
      <c r="I378" s="73" t="s">
        <v>12</v>
      </c>
      <c r="J378" s="9">
        <v>0.128</v>
      </c>
      <c r="K378" s="9">
        <v>5</v>
      </c>
      <c r="L378" s="40" t="e">
        <f t="shared" si="33"/>
        <v>#VALUE!</v>
      </c>
      <c r="M378" s="18" t="s">
        <v>12</v>
      </c>
      <c r="N378" s="9">
        <v>73.8</v>
      </c>
      <c r="O378" s="9" t="e">
        <f t="shared" si="34"/>
        <v>#VALUE!</v>
      </c>
      <c r="P378" s="75" t="e">
        <f t="shared" si="36"/>
        <v>#VALUE!</v>
      </c>
      <c r="Q378" s="78" t="e">
        <f t="shared" si="35"/>
        <v>#VALUE!</v>
      </c>
      <c r="R378" s="7" t="s">
        <v>142</v>
      </c>
      <c r="S378" s="80" t="s">
        <v>28</v>
      </c>
      <c r="T378" s="7" t="s">
        <v>143</v>
      </c>
      <c r="U378" s="3" t="s">
        <v>16</v>
      </c>
    </row>
    <row r="379" spans="1:21" x14ac:dyDescent="0.3">
      <c r="A379" s="10" t="s">
        <v>136</v>
      </c>
      <c r="B379" s="10" t="s">
        <v>137</v>
      </c>
      <c r="C379" s="37">
        <v>1411750000</v>
      </c>
      <c r="D379" s="11">
        <v>2022</v>
      </c>
      <c r="E379" s="10" t="s">
        <v>30</v>
      </c>
      <c r="F379" s="41">
        <f t="shared" si="31"/>
        <v>1.2891800956259961E-5</v>
      </c>
      <c r="G379" s="8">
        <v>6</v>
      </c>
      <c r="H379" s="36">
        <f t="shared" si="32"/>
        <v>91599.360077350808</v>
      </c>
      <c r="I379" s="37">
        <v>182</v>
      </c>
      <c r="J379" s="12">
        <v>0.12</v>
      </c>
      <c r="K379" s="12">
        <v>4</v>
      </c>
      <c r="L379" s="40">
        <f t="shared" si="33"/>
        <v>87.36</v>
      </c>
      <c r="M379" s="11">
        <v>1240</v>
      </c>
      <c r="N379" s="12">
        <v>73.8</v>
      </c>
      <c r="O379" s="9">
        <f t="shared" si="34"/>
        <v>91512</v>
      </c>
      <c r="P379" s="75">
        <f t="shared" si="36"/>
        <v>6.488355592516438</v>
      </c>
      <c r="Q379" s="78">
        <f t="shared" si="35"/>
        <v>6.2823414315565262</v>
      </c>
      <c r="R379" s="10" t="s">
        <v>144</v>
      </c>
      <c r="S379" s="81" t="s">
        <v>29</v>
      </c>
      <c r="T379" s="10" t="s">
        <v>33</v>
      </c>
      <c r="U379" s="4"/>
    </row>
    <row r="380" spans="1:21" x14ac:dyDescent="0.3">
      <c r="A380" s="7" t="s">
        <v>136</v>
      </c>
      <c r="B380" s="7" t="s">
        <v>137</v>
      </c>
      <c r="C380" s="36">
        <v>1409670000</v>
      </c>
      <c r="D380" s="8">
        <v>2023</v>
      </c>
      <c r="E380" s="7" t="s">
        <v>11</v>
      </c>
      <c r="F380" s="41" t="e">
        <f t="shared" si="31"/>
        <v>#VALUE!</v>
      </c>
      <c r="G380" s="11">
        <v>9</v>
      </c>
      <c r="H380" s="36" t="e">
        <f t="shared" si="32"/>
        <v>#VALUE!</v>
      </c>
      <c r="I380" s="73" t="s">
        <v>12</v>
      </c>
      <c r="J380" s="9">
        <v>0.13300000000000001</v>
      </c>
      <c r="K380" s="9">
        <v>8</v>
      </c>
      <c r="L380" s="40" t="e">
        <f t="shared" si="33"/>
        <v>#VALUE!</v>
      </c>
      <c r="M380" s="18" t="s">
        <v>12</v>
      </c>
      <c r="N380" s="9">
        <v>73.8</v>
      </c>
      <c r="O380" s="9" t="e">
        <f t="shared" si="34"/>
        <v>#VALUE!</v>
      </c>
      <c r="P380" s="75" t="e">
        <f t="shared" si="36"/>
        <v>#VALUE!</v>
      </c>
      <c r="Q380" s="78" t="e">
        <f t="shared" si="35"/>
        <v>#VALUE!</v>
      </c>
      <c r="R380" s="7" t="s">
        <v>138</v>
      </c>
      <c r="S380" s="80" t="s">
        <v>19</v>
      </c>
      <c r="T380" s="7"/>
      <c r="U380" s="3" t="s">
        <v>16</v>
      </c>
    </row>
    <row r="381" spans="1:21" x14ac:dyDescent="0.3">
      <c r="A381" s="10" t="s">
        <v>136</v>
      </c>
      <c r="B381" s="10" t="s">
        <v>137</v>
      </c>
      <c r="C381" s="37">
        <v>1409670000</v>
      </c>
      <c r="D381" s="11">
        <v>2023</v>
      </c>
      <c r="E381" s="10" t="s">
        <v>17</v>
      </c>
      <c r="F381" s="41">
        <f t="shared" si="31"/>
        <v>3.4050522462704035E-5</v>
      </c>
      <c r="G381" s="8">
        <v>7</v>
      </c>
      <c r="H381" s="36">
        <f t="shared" si="32"/>
        <v>383.04023835365729</v>
      </c>
      <c r="I381" s="37">
        <v>480</v>
      </c>
      <c r="J381" s="12">
        <v>0.13300000000000001</v>
      </c>
      <c r="K381" s="12">
        <v>6</v>
      </c>
      <c r="L381" s="40">
        <f t="shared" si="33"/>
        <v>383.04</v>
      </c>
      <c r="M381" s="11">
        <v>0</v>
      </c>
      <c r="N381" s="12">
        <v>73.8</v>
      </c>
      <c r="O381" s="9">
        <f t="shared" si="34"/>
        <v>0</v>
      </c>
      <c r="P381" s="75">
        <f t="shared" si="36"/>
        <v>2.7172333833709823E-2</v>
      </c>
      <c r="Q381" s="78">
        <f t="shared" si="35"/>
        <v>2.7168642489427963E-2</v>
      </c>
      <c r="R381" s="10" t="s">
        <v>153</v>
      </c>
      <c r="S381" s="81" t="s">
        <v>19</v>
      </c>
      <c r="T381" s="10" t="s">
        <v>99</v>
      </c>
      <c r="U381" s="4"/>
    </row>
    <row r="382" spans="1:21" x14ac:dyDescent="0.3">
      <c r="A382" s="7" t="s">
        <v>136</v>
      </c>
      <c r="B382" s="7" t="s">
        <v>137</v>
      </c>
      <c r="C382" s="36">
        <v>1409670000</v>
      </c>
      <c r="D382" s="8">
        <v>2023</v>
      </c>
      <c r="E382" s="7" t="s">
        <v>20</v>
      </c>
      <c r="F382" s="41">
        <f t="shared" si="31"/>
        <v>8.7963849695318759E-6</v>
      </c>
      <c r="G382" s="11">
        <v>7</v>
      </c>
      <c r="H382" s="36">
        <f t="shared" si="32"/>
        <v>6593.3520615746947</v>
      </c>
      <c r="I382" s="36">
        <v>124</v>
      </c>
      <c r="J382" s="9">
        <v>0.13300000000000001</v>
      </c>
      <c r="K382" s="9">
        <v>6</v>
      </c>
      <c r="L382" s="40">
        <f t="shared" si="33"/>
        <v>98.951999999999998</v>
      </c>
      <c r="M382" s="8">
        <v>88</v>
      </c>
      <c r="N382" s="9">
        <v>73.8</v>
      </c>
      <c r="O382" s="9">
        <f t="shared" si="34"/>
        <v>6494.4</v>
      </c>
      <c r="P382" s="75">
        <f t="shared" si="36"/>
        <v>0.467723088494094</v>
      </c>
      <c r="Q382" s="78">
        <f t="shared" si="35"/>
        <v>0.46663096742080024</v>
      </c>
      <c r="R382" s="7" t="s">
        <v>140</v>
      </c>
      <c r="S382" s="80" t="s">
        <v>19</v>
      </c>
      <c r="T382" s="7"/>
      <c r="U382" s="7"/>
    </row>
    <row r="383" spans="1:21" x14ac:dyDescent="0.3">
      <c r="A383" s="10" t="s">
        <v>136</v>
      </c>
      <c r="B383" s="10" t="s">
        <v>137</v>
      </c>
      <c r="C383" s="37">
        <v>1409670000</v>
      </c>
      <c r="D383" s="11">
        <v>2023</v>
      </c>
      <c r="E383" s="10" t="s">
        <v>23</v>
      </c>
      <c r="F383" s="41">
        <f t="shared" si="31"/>
        <v>1.2768945923514014E-6</v>
      </c>
      <c r="G383" s="8">
        <v>8</v>
      </c>
      <c r="H383" s="36">
        <f t="shared" si="32"/>
        <v>1787.9580102151565</v>
      </c>
      <c r="I383" s="37">
        <v>18</v>
      </c>
      <c r="J383" s="12">
        <v>0.13300000000000001</v>
      </c>
      <c r="K383" s="12">
        <v>7</v>
      </c>
      <c r="L383" s="40">
        <f t="shared" si="33"/>
        <v>16.758000000000003</v>
      </c>
      <c r="M383" s="11">
        <v>24</v>
      </c>
      <c r="N383" s="12">
        <v>73.8</v>
      </c>
      <c r="O383" s="9">
        <f t="shared" si="34"/>
        <v>1771.1999999999998</v>
      </c>
      <c r="P383" s="75">
        <f t="shared" si="36"/>
        <v>0.12683521747750584</v>
      </c>
      <c r="Q383" s="78">
        <f t="shared" si="35"/>
        <v>0.12675481561176261</v>
      </c>
      <c r="R383" s="10" t="s">
        <v>141</v>
      </c>
      <c r="S383" s="81" t="s">
        <v>25</v>
      </c>
      <c r="T383" s="10" t="s">
        <v>15</v>
      </c>
      <c r="U383" s="4"/>
    </row>
    <row r="384" spans="1:21" x14ac:dyDescent="0.3">
      <c r="A384" s="7" t="s">
        <v>136</v>
      </c>
      <c r="B384" s="7" t="s">
        <v>137</v>
      </c>
      <c r="C384" s="36">
        <v>1409670000</v>
      </c>
      <c r="D384" s="8">
        <v>2023</v>
      </c>
      <c r="E384" s="7" t="s">
        <v>26</v>
      </c>
      <c r="F384" s="41" t="e">
        <f t="shared" si="31"/>
        <v>#VALUE!</v>
      </c>
      <c r="G384" s="11">
        <v>6</v>
      </c>
      <c r="H384" s="36" t="e">
        <f t="shared" si="32"/>
        <v>#VALUE!</v>
      </c>
      <c r="I384" s="73" t="s">
        <v>12</v>
      </c>
      <c r="J384" s="9">
        <v>0.128</v>
      </c>
      <c r="K384" s="9">
        <v>5</v>
      </c>
      <c r="L384" s="40" t="e">
        <f t="shared" si="33"/>
        <v>#VALUE!</v>
      </c>
      <c r="M384" s="18" t="s">
        <v>12</v>
      </c>
      <c r="N384" s="9">
        <v>73.8</v>
      </c>
      <c r="O384" s="9" t="e">
        <f t="shared" si="34"/>
        <v>#VALUE!</v>
      </c>
      <c r="P384" s="75" t="e">
        <f t="shared" si="36"/>
        <v>#VALUE!</v>
      </c>
      <c r="Q384" s="78" t="e">
        <f t="shared" si="35"/>
        <v>#VALUE!</v>
      </c>
      <c r="R384" s="7" t="s">
        <v>142</v>
      </c>
      <c r="S384" s="80" t="s">
        <v>28</v>
      </c>
      <c r="T384" s="7" t="s">
        <v>143</v>
      </c>
      <c r="U384" s="3" t="s">
        <v>16</v>
      </c>
    </row>
    <row r="385" spans="1:21" x14ac:dyDescent="0.3">
      <c r="A385" s="10" t="s">
        <v>136</v>
      </c>
      <c r="B385" s="10" t="s">
        <v>137</v>
      </c>
      <c r="C385" s="37">
        <v>1409670000</v>
      </c>
      <c r="D385" s="11">
        <v>2023</v>
      </c>
      <c r="E385" s="10" t="s">
        <v>30</v>
      </c>
      <c r="F385" s="41">
        <f t="shared" si="31"/>
        <v>1.2910823100441948E-5</v>
      </c>
      <c r="G385" s="8">
        <v>6</v>
      </c>
      <c r="H385" s="36">
        <f t="shared" si="32"/>
        <v>91599.360077464939</v>
      </c>
      <c r="I385" s="37">
        <v>182</v>
      </c>
      <c r="J385" s="12">
        <v>0.12</v>
      </c>
      <c r="K385" s="12">
        <v>4</v>
      </c>
      <c r="L385" s="40">
        <f t="shared" si="33"/>
        <v>87.36</v>
      </c>
      <c r="M385" s="11">
        <v>1240</v>
      </c>
      <c r="N385" s="12">
        <v>73.8</v>
      </c>
      <c r="O385" s="9">
        <f t="shared" si="34"/>
        <v>91512</v>
      </c>
      <c r="P385" s="75">
        <f t="shared" si="36"/>
        <v>6.4979293080979899</v>
      </c>
      <c r="Q385" s="78">
        <f t="shared" si="35"/>
        <v>6.2913132641618352</v>
      </c>
      <c r="R385" s="10" t="s">
        <v>144</v>
      </c>
      <c r="S385" s="81" t="s">
        <v>29</v>
      </c>
      <c r="T385" s="10" t="s">
        <v>33</v>
      </c>
      <c r="U385" s="4"/>
    </row>
    <row r="386" spans="1:21" x14ac:dyDescent="0.3">
      <c r="A386" s="7" t="s">
        <v>136</v>
      </c>
      <c r="B386" s="7" t="s">
        <v>137</v>
      </c>
      <c r="C386" s="36">
        <v>1407450000</v>
      </c>
      <c r="D386" s="8">
        <v>2024</v>
      </c>
      <c r="E386" s="7" t="s">
        <v>11</v>
      </c>
      <c r="F386" s="41" t="e">
        <f t="shared" ref="F386:F449" si="37">I386*100/C386</f>
        <v>#VALUE!</v>
      </c>
      <c r="G386" s="11">
        <v>9</v>
      </c>
      <c r="H386" s="36" t="e">
        <f t="shared" ref="H386:H449" si="38">O386+L386+(G386*F386)</f>
        <v>#VALUE!</v>
      </c>
      <c r="I386" s="73" t="s">
        <v>12</v>
      </c>
      <c r="J386" s="9">
        <v>0.13300000000000001</v>
      </c>
      <c r="K386" s="9">
        <v>8</v>
      </c>
      <c r="L386" s="40" t="e">
        <f t="shared" si="33"/>
        <v>#VALUE!</v>
      </c>
      <c r="M386" s="18" t="s">
        <v>12</v>
      </c>
      <c r="N386" s="9">
        <v>73.8</v>
      </c>
      <c r="O386" s="9" t="e">
        <f t="shared" si="34"/>
        <v>#VALUE!</v>
      </c>
      <c r="P386" s="75" t="e">
        <f t="shared" si="36"/>
        <v>#VALUE!</v>
      </c>
      <c r="Q386" s="78" t="e">
        <f t="shared" si="35"/>
        <v>#VALUE!</v>
      </c>
      <c r="R386" s="7" t="s">
        <v>138</v>
      </c>
      <c r="S386" s="80" t="s">
        <v>19</v>
      </c>
      <c r="T386" s="7"/>
      <c r="U386" s="3" t="s">
        <v>16</v>
      </c>
    </row>
    <row r="387" spans="1:21" x14ac:dyDescent="0.3">
      <c r="A387" s="10" t="s">
        <v>136</v>
      </c>
      <c r="B387" s="10" t="s">
        <v>137</v>
      </c>
      <c r="C387" s="37">
        <v>1407450000</v>
      </c>
      <c r="D387" s="11">
        <v>2024</v>
      </c>
      <c r="E387" s="10" t="s">
        <v>17</v>
      </c>
      <c r="F387" s="41">
        <f t="shared" si="37"/>
        <v>2.9130697360474617E-5</v>
      </c>
      <c r="G387" s="8">
        <v>7</v>
      </c>
      <c r="H387" s="36">
        <f t="shared" si="38"/>
        <v>327.18020391488153</v>
      </c>
      <c r="I387" s="37">
        <v>410</v>
      </c>
      <c r="J387" s="12">
        <v>0.13300000000000001</v>
      </c>
      <c r="K387" s="12">
        <v>6</v>
      </c>
      <c r="L387" s="40">
        <f t="shared" ref="L387:L450" si="39">I387*J387*K387</f>
        <v>327.18</v>
      </c>
      <c r="M387" s="11">
        <v>0</v>
      </c>
      <c r="N387" s="12">
        <v>73.8</v>
      </c>
      <c r="O387" s="9">
        <f t="shared" ref="O387:O450" si="40">M387*N387</f>
        <v>0</v>
      </c>
      <c r="P387" s="75">
        <f t="shared" si="36"/>
        <v>2.3246310981909237E-2</v>
      </c>
      <c r="Q387" s="78">
        <f t="shared" ref="Q387:Q450" si="41">100*(1-EXP(-P387/100))</f>
        <v>2.3243609236389684E-2</v>
      </c>
      <c r="R387" s="10" t="s">
        <v>154</v>
      </c>
      <c r="S387" s="81" t="s">
        <v>19</v>
      </c>
      <c r="T387" s="10" t="s">
        <v>99</v>
      </c>
      <c r="U387" s="4"/>
    </row>
    <row r="388" spans="1:21" x14ac:dyDescent="0.3">
      <c r="A388" s="7" t="s">
        <v>136</v>
      </c>
      <c r="B388" s="7" t="s">
        <v>137</v>
      </c>
      <c r="C388" s="36">
        <v>1407450000</v>
      </c>
      <c r="D388" s="8">
        <v>2024</v>
      </c>
      <c r="E388" s="7" t="s">
        <v>20</v>
      </c>
      <c r="F388" s="41">
        <f t="shared" si="37"/>
        <v>8.8102596895093971E-6</v>
      </c>
      <c r="G388" s="11">
        <v>7</v>
      </c>
      <c r="H388" s="36">
        <f t="shared" si="38"/>
        <v>6593.3520616718179</v>
      </c>
      <c r="I388" s="36">
        <v>124</v>
      </c>
      <c r="J388" s="9">
        <v>0.13300000000000001</v>
      </c>
      <c r="K388" s="9">
        <v>6</v>
      </c>
      <c r="L388" s="40">
        <f t="shared" si="39"/>
        <v>98.951999999999998</v>
      </c>
      <c r="M388" s="8">
        <v>88</v>
      </c>
      <c r="N388" s="9">
        <v>73.8</v>
      </c>
      <c r="O388" s="9">
        <f t="shared" si="40"/>
        <v>6494.4</v>
      </c>
      <c r="P388" s="75">
        <f t="shared" si="36"/>
        <v>0.46846083780395875</v>
      </c>
      <c r="Q388" s="78">
        <f t="shared" si="41"/>
        <v>0.46736527145525564</v>
      </c>
      <c r="R388" s="7" t="s">
        <v>140</v>
      </c>
      <c r="S388" s="80" t="s">
        <v>19</v>
      </c>
      <c r="T388" s="7"/>
      <c r="U388" s="7"/>
    </row>
    <row r="389" spans="1:21" x14ac:dyDescent="0.3">
      <c r="A389" s="10" t="s">
        <v>136</v>
      </c>
      <c r="B389" s="10" t="s">
        <v>137</v>
      </c>
      <c r="C389" s="37">
        <v>1407450000</v>
      </c>
      <c r="D389" s="11">
        <v>2024</v>
      </c>
      <c r="E389" s="10" t="s">
        <v>23</v>
      </c>
      <c r="F389" s="41">
        <f t="shared" si="37"/>
        <v>1.2789086646062027E-6</v>
      </c>
      <c r="G389" s="8">
        <v>8</v>
      </c>
      <c r="H389" s="36">
        <f t="shared" si="38"/>
        <v>1787.9580102312691</v>
      </c>
      <c r="I389" s="37">
        <v>18</v>
      </c>
      <c r="J389" s="12">
        <v>0.13300000000000001</v>
      </c>
      <c r="K389" s="12">
        <v>7</v>
      </c>
      <c r="L389" s="40">
        <f t="shared" si="39"/>
        <v>16.758000000000003</v>
      </c>
      <c r="M389" s="11">
        <v>24</v>
      </c>
      <c r="N389" s="12">
        <v>73.8</v>
      </c>
      <c r="O389" s="9">
        <f t="shared" si="40"/>
        <v>1771.1999999999998</v>
      </c>
      <c r="P389" s="75">
        <f t="shared" si="36"/>
        <v>0.12703527729093531</v>
      </c>
      <c r="Q389" s="78">
        <f t="shared" si="41"/>
        <v>0.12695462163987425</v>
      </c>
      <c r="R389" s="10" t="s">
        <v>141</v>
      </c>
      <c r="S389" s="81" t="s">
        <v>25</v>
      </c>
      <c r="T389" s="10" t="s">
        <v>15</v>
      </c>
      <c r="U389" s="4"/>
    </row>
    <row r="390" spans="1:21" x14ac:dyDescent="0.3">
      <c r="A390" s="7" t="s">
        <v>136</v>
      </c>
      <c r="B390" s="7" t="s">
        <v>137</v>
      </c>
      <c r="C390" s="36">
        <v>1407450000</v>
      </c>
      <c r="D390" s="8">
        <v>2024</v>
      </c>
      <c r="E390" s="7" t="s">
        <v>26</v>
      </c>
      <c r="F390" s="41" t="e">
        <f t="shared" si="37"/>
        <v>#VALUE!</v>
      </c>
      <c r="G390" s="11">
        <v>6</v>
      </c>
      <c r="H390" s="36" t="e">
        <f t="shared" si="38"/>
        <v>#VALUE!</v>
      </c>
      <c r="I390" s="73" t="s">
        <v>12</v>
      </c>
      <c r="J390" s="9">
        <v>0.128</v>
      </c>
      <c r="K390" s="9">
        <v>5</v>
      </c>
      <c r="L390" s="40" t="e">
        <f t="shared" si="39"/>
        <v>#VALUE!</v>
      </c>
      <c r="M390" s="18" t="s">
        <v>12</v>
      </c>
      <c r="N390" s="9">
        <v>73.8</v>
      </c>
      <c r="O390" s="9" t="e">
        <f t="shared" si="40"/>
        <v>#VALUE!</v>
      </c>
      <c r="P390" s="75" t="e">
        <f t="shared" si="36"/>
        <v>#VALUE!</v>
      </c>
      <c r="Q390" s="78" t="e">
        <f t="shared" si="41"/>
        <v>#VALUE!</v>
      </c>
      <c r="R390" s="7" t="s">
        <v>142</v>
      </c>
      <c r="S390" s="80" t="s">
        <v>28</v>
      </c>
      <c r="T390" s="7" t="s">
        <v>143</v>
      </c>
      <c r="U390" s="3" t="s">
        <v>16</v>
      </c>
    </row>
    <row r="391" spans="1:21" x14ac:dyDescent="0.3">
      <c r="A391" s="10" t="s">
        <v>136</v>
      </c>
      <c r="B391" s="10" t="s">
        <v>137</v>
      </c>
      <c r="C391" s="37">
        <v>1407450000</v>
      </c>
      <c r="D391" s="11">
        <v>2024</v>
      </c>
      <c r="E391" s="10" t="s">
        <v>30</v>
      </c>
      <c r="F391" s="41">
        <f t="shared" si="37"/>
        <v>1.2931187608796049E-5</v>
      </c>
      <c r="G391" s="8">
        <v>6</v>
      </c>
      <c r="H391" s="36">
        <f t="shared" si="38"/>
        <v>91599.360077587131</v>
      </c>
      <c r="I391" s="37">
        <v>182</v>
      </c>
      <c r="J391" s="12">
        <v>0.12</v>
      </c>
      <c r="K391" s="12">
        <v>4</v>
      </c>
      <c r="L391" s="40">
        <f t="shared" si="39"/>
        <v>87.36</v>
      </c>
      <c r="M391" s="11">
        <v>1240</v>
      </c>
      <c r="N391" s="12">
        <v>73.8</v>
      </c>
      <c r="O391" s="9">
        <f t="shared" si="40"/>
        <v>91512</v>
      </c>
      <c r="P391" s="75">
        <f t="shared" si="36"/>
        <v>6.508178626422759</v>
      </c>
      <c r="Q391" s="78">
        <f t="shared" si="41"/>
        <v>6.3009172735821961</v>
      </c>
      <c r="R391" s="10" t="s">
        <v>144</v>
      </c>
      <c r="S391" s="81" t="s">
        <v>29</v>
      </c>
      <c r="T391" s="10" t="s">
        <v>33</v>
      </c>
      <c r="U391" s="4"/>
    </row>
    <row r="392" spans="1:21" x14ac:dyDescent="0.3">
      <c r="A392" s="7" t="s">
        <v>136</v>
      </c>
      <c r="B392" s="7" t="s">
        <v>137</v>
      </c>
      <c r="C392" s="36">
        <v>1405000000</v>
      </c>
      <c r="D392" s="8">
        <v>2025</v>
      </c>
      <c r="E392" s="7" t="s">
        <v>11</v>
      </c>
      <c r="F392" s="41" t="e">
        <f t="shared" si="37"/>
        <v>#VALUE!</v>
      </c>
      <c r="G392" s="11">
        <v>9</v>
      </c>
      <c r="H392" s="36" t="e">
        <f t="shared" si="38"/>
        <v>#VALUE!</v>
      </c>
      <c r="I392" s="73" t="s">
        <v>12</v>
      </c>
      <c r="J392" s="9">
        <v>0.13300000000000001</v>
      </c>
      <c r="K392" s="9">
        <v>8</v>
      </c>
      <c r="L392" s="40" t="e">
        <f t="shared" si="39"/>
        <v>#VALUE!</v>
      </c>
      <c r="M392" s="18" t="s">
        <v>12</v>
      </c>
      <c r="N392" s="9">
        <v>73.8</v>
      </c>
      <c r="O392" s="9" t="e">
        <f t="shared" si="40"/>
        <v>#VALUE!</v>
      </c>
      <c r="P392" s="75" t="e">
        <f t="shared" si="36"/>
        <v>#VALUE!</v>
      </c>
      <c r="Q392" s="78" t="e">
        <f t="shared" si="41"/>
        <v>#VALUE!</v>
      </c>
      <c r="R392" s="7" t="s">
        <v>138</v>
      </c>
      <c r="S392" s="80" t="s">
        <v>19</v>
      </c>
      <c r="T392" s="7"/>
      <c r="U392" s="3" t="s">
        <v>16</v>
      </c>
    </row>
    <row r="393" spans="1:21" x14ac:dyDescent="0.3">
      <c r="A393" s="10" t="s">
        <v>136</v>
      </c>
      <c r="B393" s="10" t="s">
        <v>137</v>
      </c>
      <c r="C393" s="37">
        <v>1405000000</v>
      </c>
      <c r="D393" s="11">
        <v>2025</v>
      </c>
      <c r="E393" s="10" t="s">
        <v>17</v>
      </c>
      <c r="F393" s="41">
        <f t="shared" si="37"/>
        <v>2.7758007117437723E-5</v>
      </c>
      <c r="G393" s="8">
        <v>7</v>
      </c>
      <c r="H393" s="36">
        <f t="shared" si="38"/>
        <v>311.22019430604985</v>
      </c>
      <c r="I393" s="37">
        <v>390</v>
      </c>
      <c r="J393" s="12">
        <v>0.13300000000000001</v>
      </c>
      <c r="K393" s="12">
        <v>6</v>
      </c>
      <c r="L393" s="40">
        <f t="shared" si="39"/>
        <v>311.22000000000003</v>
      </c>
      <c r="M393" s="11">
        <v>0</v>
      </c>
      <c r="N393" s="12">
        <v>73.8</v>
      </c>
      <c r="O393" s="9">
        <f t="shared" si="40"/>
        <v>0</v>
      </c>
      <c r="P393" s="75">
        <f t="shared" si="36"/>
        <v>2.2150903509327392E-2</v>
      </c>
      <c r="Q393" s="78">
        <f t="shared" si="41"/>
        <v>2.2148450377834639E-2</v>
      </c>
      <c r="R393" s="10" t="s">
        <v>155</v>
      </c>
      <c r="S393" s="81" t="s">
        <v>19</v>
      </c>
      <c r="T393" s="10" t="s">
        <v>99</v>
      </c>
      <c r="U393" s="4"/>
    </row>
    <row r="394" spans="1:21" x14ac:dyDescent="0.3">
      <c r="A394" s="7" t="s">
        <v>136</v>
      </c>
      <c r="B394" s="7" t="s">
        <v>137</v>
      </c>
      <c r="C394" s="36">
        <v>1405000000</v>
      </c>
      <c r="D394" s="8">
        <v>2025</v>
      </c>
      <c r="E394" s="7" t="s">
        <v>20</v>
      </c>
      <c r="F394" s="41">
        <f t="shared" si="37"/>
        <v>8.8256227758007112E-6</v>
      </c>
      <c r="G394" s="11">
        <v>7</v>
      </c>
      <c r="H394" s="36">
        <f t="shared" si="38"/>
        <v>6593.3520617793592</v>
      </c>
      <c r="I394" s="36">
        <v>124</v>
      </c>
      <c r="J394" s="9">
        <v>0.13300000000000001</v>
      </c>
      <c r="K394" s="9">
        <v>6</v>
      </c>
      <c r="L394" s="40">
        <f t="shared" si="39"/>
        <v>98.951999999999998</v>
      </c>
      <c r="M394" s="8">
        <v>88</v>
      </c>
      <c r="N394" s="9">
        <v>73.8</v>
      </c>
      <c r="O394" s="9">
        <f t="shared" si="40"/>
        <v>6494.4</v>
      </c>
      <c r="P394" s="75">
        <f t="shared" si="36"/>
        <v>0.46927772681703622</v>
      </c>
      <c r="Q394" s="78">
        <f t="shared" si="41"/>
        <v>0.46817833929184705</v>
      </c>
      <c r="R394" s="7" t="s">
        <v>140</v>
      </c>
      <c r="S394" s="80" t="s">
        <v>19</v>
      </c>
      <c r="T394" s="7"/>
      <c r="U394" s="7"/>
    </row>
    <row r="395" spans="1:21" x14ac:dyDescent="0.3">
      <c r="A395" s="10" t="s">
        <v>136</v>
      </c>
      <c r="B395" s="10" t="s">
        <v>137</v>
      </c>
      <c r="C395" s="37">
        <v>1405000000</v>
      </c>
      <c r="D395" s="11">
        <v>2025</v>
      </c>
      <c r="E395" s="10" t="s">
        <v>23</v>
      </c>
      <c r="F395" s="41">
        <f t="shared" si="37"/>
        <v>1.2811387900355872E-6</v>
      </c>
      <c r="G395" s="8">
        <v>8</v>
      </c>
      <c r="H395" s="36">
        <f t="shared" si="38"/>
        <v>1787.9580102491102</v>
      </c>
      <c r="I395" s="37">
        <v>18</v>
      </c>
      <c r="J395" s="12">
        <v>0.13300000000000001</v>
      </c>
      <c r="K395" s="12">
        <v>7</v>
      </c>
      <c r="L395" s="40">
        <f t="shared" si="39"/>
        <v>16.758000000000003</v>
      </c>
      <c r="M395" s="11">
        <v>24</v>
      </c>
      <c r="N395" s="12">
        <v>73.8</v>
      </c>
      <c r="O395" s="9">
        <f t="shared" si="40"/>
        <v>1771.1999999999998</v>
      </c>
      <c r="P395" s="75">
        <f t="shared" si="36"/>
        <v>0.12725679788249897</v>
      </c>
      <c r="Q395" s="78">
        <f t="shared" si="41"/>
        <v>0.12717586075576826</v>
      </c>
      <c r="R395" s="10" t="s">
        <v>141</v>
      </c>
      <c r="S395" s="81" t="s">
        <v>25</v>
      </c>
      <c r="T395" s="10" t="s">
        <v>15</v>
      </c>
      <c r="U395" s="4"/>
    </row>
    <row r="396" spans="1:21" x14ac:dyDescent="0.3">
      <c r="A396" s="7" t="s">
        <v>136</v>
      </c>
      <c r="B396" s="7" t="s">
        <v>137</v>
      </c>
      <c r="C396" s="36">
        <v>1405000000</v>
      </c>
      <c r="D396" s="8">
        <v>2025</v>
      </c>
      <c r="E396" s="7" t="s">
        <v>26</v>
      </c>
      <c r="F396" s="41" t="e">
        <f t="shared" si="37"/>
        <v>#VALUE!</v>
      </c>
      <c r="G396" s="11">
        <v>6</v>
      </c>
      <c r="H396" s="36" t="e">
        <f t="shared" si="38"/>
        <v>#VALUE!</v>
      </c>
      <c r="I396" s="73" t="s">
        <v>12</v>
      </c>
      <c r="J396" s="9">
        <v>0.128</v>
      </c>
      <c r="K396" s="9">
        <v>5</v>
      </c>
      <c r="L396" s="40" t="e">
        <f t="shared" si="39"/>
        <v>#VALUE!</v>
      </c>
      <c r="M396" s="18" t="s">
        <v>12</v>
      </c>
      <c r="N396" s="9">
        <v>73.8</v>
      </c>
      <c r="O396" s="9" t="e">
        <f t="shared" si="40"/>
        <v>#VALUE!</v>
      </c>
      <c r="P396" s="75" t="e">
        <f t="shared" si="36"/>
        <v>#VALUE!</v>
      </c>
      <c r="Q396" s="78" t="e">
        <f t="shared" si="41"/>
        <v>#VALUE!</v>
      </c>
      <c r="R396" s="7" t="s">
        <v>142</v>
      </c>
      <c r="S396" s="80" t="s">
        <v>28</v>
      </c>
      <c r="T396" s="7" t="s">
        <v>143</v>
      </c>
      <c r="U396" s="3" t="s">
        <v>16</v>
      </c>
    </row>
    <row r="397" spans="1:21" x14ac:dyDescent="0.3">
      <c r="A397" s="10" t="s">
        <v>136</v>
      </c>
      <c r="B397" s="10" t="s">
        <v>137</v>
      </c>
      <c r="C397" s="37">
        <v>1405000000</v>
      </c>
      <c r="D397" s="11">
        <v>2025</v>
      </c>
      <c r="E397" s="10" t="s">
        <v>30</v>
      </c>
      <c r="F397" s="41">
        <f t="shared" si="37"/>
        <v>1.2953736654804271E-5</v>
      </c>
      <c r="G397" s="8">
        <v>6</v>
      </c>
      <c r="H397" s="36">
        <f t="shared" si="38"/>
        <v>91599.36007772242</v>
      </c>
      <c r="I397" s="37">
        <v>182</v>
      </c>
      <c r="J397" s="12">
        <v>0.12</v>
      </c>
      <c r="K397" s="12">
        <v>4</v>
      </c>
      <c r="L397" s="40">
        <f t="shared" si="39"/>
        <v>87.36</v>
      </c>
      <c r="M397" s="11">
        <v>1240</v>
      </c>
      <c r="N397" s="12">
        <v>73.8</v>
      </c>
      <c r="O397" s="9">
        <f t="shared" si="40"/>
        <v>91512</v>
      </c>
      <c r="P397" s="75">
        <f t="shared" si="36"/>
        <v>6.5195274076670753</v>
      </c>
      <c r="Q397" s="78">
        <f t="shared" si="41"/>
        <v>6.3115503741336791</v>
      </c>
      <c r="R397" s="10" t="s">
        <v>144</v>
      </c>
      <c r="S397" s="81" t="s">
        <v>29</v>
      </c>
      <c r="T397" s="10" t="s">
        <v>33</v>
      </c>
      <c r="U397" s="4"/>
    </row>
    <row r="398" spans="1:21" ht="22.8" x14ac:dyDescent="0.3">
      <c r="A398" s="7" t="s">
        <v>156</v>
      </c>
      <c r="B398" s="7" t="s">
        <v>157</v>
      </c>
      <c r="C398" s="36">
        <v>1310152403</v>
      </c>
      <c r="D398" s="8">
        <v>2015</v>
      </c>
      <c r="E398" s="7" t="s">
        <v>11</v>
      </c>
      <c r="F398" s="41">
        <f t="shared" si="37"/>
        <v>9.464547766814271E-5</v>
      </c>
      <c r="G398" s="11">
        <v>9</v>
      </c>
      <c r="H398" s="36">
        <f t="shared" si="38"/>
        <v>51503.360851809302</v>
      </c>
      <c r="I398" s="36">
        <v>1240</v>
      </c>
      <c r="J398" s="9">
        <v>0.13300000000000001</v>
      </c>
      <c r="K398" s="9">
        <v>8</v>
      </c>
      <c r="L398" s="40">
        <f t="shared" si="39"/>
        <v>1319.3600000000001</v>
      </c>
      <c r="M398" s="8">
        <v>680</v>
      </c>
      <c r="N398" s="9">
        <v>73.8</v>
      </c>
      <c r="O398" s="9">
        <f t="shared" si="40"/>
        <v>50184</v>
      </c>
      <c r="P398" s="75">
        <f t="shared" si="36"/>
        <v>3.9310969268824296</v>
      </c>
      <c r="Q398" s="78">
        <f t="shared" si="41"/>
        <v>3.854831927171376</v>
      </c>
      <c r="R398" s="7" t="s">
        <v>158</v>
      </c>
      <c r="S398" s="80" t="s">
        <v>19</v>
      </c>
      <c r="T398" s="7" t="s">
        <v>78</v>
      </c>
      <c r="U398" s="7"/>
    </row>
    <row r="399" spans="1:21" ht="22.8" x14ac:dyDescent="0.3">
      <c r="A399" s="10" t="s">
        <v>156</v>
      </c>
      <c r="B399" s="10" t="s">
        <v>157</v>
      </c>
      <c r="C399" s="37">
        <v>1310152403</v>
      </c>
      <c r="D399" s="11">
        <v>2015</v>
      </c>
      <c r="E399" s="10" t="s">
        <v>17</v>
      </c>
      <c r="F399" s="41">
        <f t="shared" si="37"/>
        <v>3.6636959097345563E-5</v>
      </c>
      <c r="G399" s="8">
        <v>7</v>
      </c>
      <c r="H399" s="36">
        <f t="shared" si="38"/>
        <v>2154.2402564587132</v>
      </c>
      <c r="I399" s="37">
        <v>480</v>
      </c>
      <c r="J399" s="12">
        <v>0.13300000000000001</v>
      </c>
      <c r="K399" s="12">
        <v>6</v>
      </c>
      <c r="L399" s="40">
        <f t="shared" si="39"/>
        <v>383.04</v>
      </c>
      <c r="M399" s="11">
        <v>24</v>
      </c>
      <c r="N399" s="12">
        <v>73.8</v>
      </c>
      <c r="O399" s="9">
        <f t="shared" si="40"/>
        <v>1771.1999999999998</v>
      </c>
      <c r="P399" s="75">
        <f t="shared" si="36"/>
        <v>0.16442669200361062</v>
      </c>
      <c r="Q399" s="78">
        <f t="shared" si="41"/>
        <v>0.16429158537899502</v>
      </c>
      <c r="R399" s="10" t="s">
        <v>159</v>
      </c>
      <c r="S399" s="81" t="s">
        <v>19</v>
      </c>
      <c r="T399" s="10" t="s">
        <v>99</v>
      </c>
      <c r="U399" s="4"/>
    </row>
    <row r="400" spans="1:21" ht="22.8" x14ac:dyDescent="0.3">
      <c r="A400" s="7" t="s">
        <v>156</v>
      </c>
      <c r="B400" s="7" t="s">
        <v>157</v>
      </c>
      <c r="C400" s="36">
        <v>1310152403</v>
      </c>
      <c r="D400" s="8">
        <v>2015</v>
      </c>
      <c r="E400" s="7" t="s">
        <v>20</v>
      </c>
      <c r="F400" s="41">
        <f t="shared" si="37"/>
        <v>1.4044167653982467E-4</v>
      </c>
      <c r="G400" s="11">
        <v>7</v>
      </c>
      <c r="H400" s="36">
        <f t="shared" si="38"/>
        <v>92980.320983091748</v>
      </c>
      <c r="I400" s="36">
        <v>1840</v>
      </c>
      <c r="J400" s="9">
        <v>0.13300000000000001</v>
      </c>
      <c r="K400" s="9">
        <v>6</v>
      </c>
      <c r="L400" s="40">
        <f t="shared" si="39"/>
        <v>1468.3200000000002</v>
      </c>
      <c r="M400" s="8">
        <v>1240</v>
      </c>
      <c r="N400" s="9">
        <v>73.8</v>
      </c>
      <c r="O400" s="9">
        <f t="shared" si="40"/>
        <v>91512</v>
      </c>
      <c r="P400" s="75">
        <f t="shared" si="36"/>
        <v>7.0969087848241532</v>
      </c>
      <c r="Q400" s="78">
        <f t="shared" si="41"/>
        <v>6.8509313936002236</v>
      </c>
      <c r="R400" s="7" t="s">
        <v>160</v>
      </c>
      <c r="S400" s="80" t="s">
        <v>19</v>
      </c>
      <c r="T400" s="7" t="s">
        <v>22</v>
      </c>
      <c r="U400" s="7"/>
    </row>
    <row r="401" spans="1:21" x14ac:dyDescent="0.3">
      <c r="A401" s="10" t="s">
        <v>156</v>
      </c>
      <c r="B401" s="10" t="s">
        <v>157</v>
      </c>
      <c r="C401" s="37">
        <v>1310152403</v>
      </c>
      <c r="D401" s="11">
        <v>2015</v>
      </c>
      <c r="E401" s="10" t="s">
        <v>23</v>
      </c>
      <c r="F401" s="41">
        <f t="shared" si="37"/>
        <v>2.900425928539857E-5</v>
      </c>
      <c r="G401" s="8">
        <v>8</v>
      </c>
      <c r="H401" s="36">
        <f t="shared" si="38"/>
        <v>21017.780232034074</v>
      </c>
      <c r="I401" s="37">
        <v>380</v>
      </c>
      <c r="J401" s="12">
        <v>0.13300000000000001</v>
      </c>
      <c r="K401" s="12">
        <v>7</v>
      </c>
      <c r="L401" s="40">
        <f t="shared" si="39"/>
        <v>353.78000000000003</v>
      </c>
      <c r="M401" s="11">
        <v>280</v>
      </c>
      <c r="N401" s="12">
        <v>73.8</v>
      </c>
      <c r="O401" s="9">
        <f t="shared" si="40"/>
        <v>20664</v>
      </c>
      <c r="P401" s="75">
        <f t="shared" si="36"/>
        <v>1.6042240722458967</v>
      </c>
      <c r="Q401" s="78">
        <f t="shared" si="41"/>
        <v>1.5914249315739259</v>
      </c>
      <c r="R401" s="10" t="s">
        <v>161</v>
      </c>
      <c r="S401" s="81" t="s">
        <v>25</v>
      </c>
      <c r="T401" s="10" t="s">
        <v>15</v>
      </c>
      <c r="U401" s="4"/>
    </row>
    <row r="402" spans="1:21" x14ac:dyDescent="0.3">
      <c r="A402" s="7" t="s">
        <v>156</v>
      </c>
      <c r="B402" s="7" t="s">
        <v>157</v>
      </c>
      <c r="C402" s="36">
        <v>1310152403</v>
      </c>
      <c r="D402" s="8">
        <v>2015</v>
      </c>
      <c r="E402" s="7" t="s">
        <v>26</v>
      </c>
      <c r="F402" s="41" t="e">
        <f t="shared" si="37"/>
        <v>#VALUE!</v>
      </c>
      <c r="G402" s="11">
        <v>6</v>
      </c>
      <c r="H402" s="36" t="e">
        <f t="shared" si="38"/>
        <v>#VALUE!</v>
      </c>
      <c r="I402" s="73" t="s">
        <v>12</v>
      </c>
      <c r="J402" s="9">
        <v>0.128</v>
      </c>
      <c r="K402" s="9">
        <v>5</v>
      </c>
      <c r="L402" s="40" t="e">
        <f t="shared" si="39"/>
        <v>#VALUE!</v>
      </c>
      <c r="M402" s="18" t="s">
        <v>12</v>
      </c>
      <c r="N402" s="9">
        <v>73.8</v>
      </c>
      <c r="O402" s="9" t="e">
        <f t="shared" si="40"/>
        <v>#VALUE!</v>
      </c>
      <c r="P402" s="75" t="e">
        <f t="shared" si="36"/>
        <v>#VALUE!</v>
      </c>
      <c r="Q402" s="78" t="e">
        <f t="shared" si="41"/>
        <v>#VALUE!</v>
      </c>
      <c r="R402" s="7" t="s">
        <v>162</v>
      </c>
      <c r="S402" s="80" t="s">
        <v>28</v>
      </c>
      <c r="T402" s="7" t="s">
        <v>163</v>
      </c>
      <c r="U402" s="3" t="s">
        <v>16</v>
      </c>
    </row>
    <row r="403" spans="1:21" x14ac:dyDescent="0.3">
      <c r="A403" s="10" t="s">
        <v>156</v>
      </c>
      <c r="B403" s="10" t="s">
        <v>157</v>
      </c>
      <c r="C403" s="37">
        <v>1310152403</v>
      </c>
      <c r="D403" s="11">
        <v>2015</v>
      </c>
      <c r="E403" s="10" t="s">
        <v>30</v>
      </c>
      <c r="F403" s="41">
        <f t="shared" si="37"/>
        <v>1.7097247578761263E-5</v>
      </c>
      <c r="G403" s="8">
        <v>6</v>
      </c>
      <c r="H403" s="36">
        <f t="shared" si="38"/>
        <v>209699.52010258348</v>
      </c>
      <c r="I403" s="37">
        <v>224</v>
      </c>
      <c r="J403" s="12">
        <v>0.12</v>
      </c>
      <c r="K403" s="12">
        <v>4</v>
      </c>
      <c r="L403" s="40">
        <f t="shared" si="39"/>
        <v>107.52</v>
      </c>
      <c r="M403" s="11">
        <v>2840</v>
      </c>
      <c r="N403" s="12">
        <v>73.8</v>
      </c>
      <c r="O403" s="9">
        <f t="shared" si="40"/>
        <v>209592</v>
      </c>
      <c r="P403" s="75">
        <f t="shared" si="36"/>
        <v>16.005734876523636</v>
      </c>
      <c r="Q403" s="78">
        <f t="shared" si="41"/>
        <v>14.790507902661677</v>
      </c>
      <c r="R403" s="10" t="s">
        <v>164</v>
      </c>
      <c r="S403" s="81" t="s">
        <v>29</v>
      </c>
      <c r="T403" s="10" t="s">
        <v>33</v>
      </c>
      <c r="U403" s="4"/>
    </row>
    <row r="404" spans="1:21" ht="22.8" x14ac:dyDescent="0.3">
      <c r="A404" s="7" t="s">
        <v>156</v>
      </c>
      <c r="B404" s="7" t="s">
        <v>157</v>
      </c>
      <c r="C404" s="36">
        <v>1324171354</v>
      </c>
      <c r="D404" s="8">
        <v>2016</v>
      </c>
      <c r="E404" s="7" t="s">
        <v>11</v>
      </c>
      <c r="F404" s="41">
        <f t="shared" si="37"/>
        <v>9.3643469650227763E-5</v>
      </c>
      <c r="G404" s="11">
        <v>9</v>
      </c>
      <c r="H404" s="36">
        <f t="shared" si="38"/>
        <v>51503.360842791226</v>
      </c>
      <c r="I404" s="36">
        <v>1240</v>
      </c>
      <c r="J404" s="9">
        <v>0.13300000000000001</v>
      </c>
      <c r="K404" s="9">
        <v>8</v>
      </c>
      <c r="L404" s="40">
        <f t="shared" si="39"/>
        <v>1319.3600000000001</v>
      </c>
      <c r="M404" s="8">
        <v>680</v>
      </c>
      <c r="N404" s="9">
        <v>73.8</v>
      </c>
      <c r="O404" s="9">
        <f t="shared" si="40"/>
        <v>50184</v>
      </c>
      <c r="P404" s="75">
        <f t="shared" si="36"/>
        <v>3.8894785548118134</v>
      </c>
      <c r="Q404" s="78">
        <f t="shared" si="41"/>
        <v>3.8148095456407627</v>
      </c>
      <c r="R404" s="7" t="s">
        <v>158</v>
      </c>
      <c r="S404" s="80" t="s">
        <v>19</v>
      </c>
      <c r="T404" s="7" t="s">
        <v>78</v>
      </c>
      <c r="U404" s="7"/>
    </row>
    <row r="405" spans="1:21" ht="22.8" x14ac:dyDescent="0.3">
      <c r="A405" s="10" t="s">
        <v>156</v>
      </c>
      <c r="B405" s="10" t="s">
        <v>157</v>
      </c>
      <c r="C405" s="37">
        <v>1324171354</v>
      </c>
      <c r="D405" s="11">
        <v>2016</v>
      </c>
      <c r="E405" s="10" t="s">
        <v>17</v>
      </c>
      <c r="F405" s="41">
        <f t="shared" si="37"/>
        <v>3.6249085025894614E-5</v>
      </c>
      <c r="G405" s="8">
        <v>7</v>
      </c>
      <c r="H405" s="36">
        <f t="shared" si="38"/>
        <v>2154.2402537435951</v>
      </c>
      <c r="I405" s="37">
        <v>480</v>
      </c>
      <c r="J405" s="12">
        <v>0.13300000000000001</v>
      </c>
      <c r="K405" s="12">
        <v>6</v>
      </c>
      <c r="L405" s="40">
        <f t="shared" si="39"/>
        <v>383.04</v>
      </c>
      <c r="M405" s="11">
        <v>24</v>
      </c>
      <c r="N405" s="12">
        <v>73.8</v>
      </c>
      <c r="O405" s="9">
        <f t="shared" si="40"/>
        <v>1771.1999999999998</v>
      </c>
      <c r="P405" s="75">
        <f t="shared" si="36"/>
        <v>0.16268591275865912</v>
      </c>
      <c r="Q405" s="78">
        <f t="shared" si="41"/>
        <v>0.16255365096110586</v>
      </c>
      <c r="R405" s="10" t="s">
        <v>159</v>
      </c>
      <c r="S405" s="81" t="s">
        <v>19</v>
      </c>
      <c r="T405" s="10" t="s">
        <v>99</v>
      </c>
      <c r="U405" s="4"/>
    </row>
    <row r="406" spans="1:21" ht="22.8" x14ac:dyDescent="0.3">
      <c r="A406" s="7" t="s">
        <v>156</v>
      </c>
      <c r="B406" s="7" t="s">
        <v>157</v>
      </c>
      <c r="C406" s="36">
        <v>1324171354</v>
      </c>
      <c r="D406" s="8">
        <v>2016</v>
      </c>
      <c r="E406" s="7" t="s">
        <v>20</v>
      </c>
      <c r="F406" s="41">
        <f t="shared" si="37"/>
        <v>1.3895482593259602E-4</v>
      </c>
      <c r="G406" s="11">
        <v>7</v>
      </c>
      <c r="H406" s="36">
        <f t="shared" si="38"/>
        <v>92980.320972683781</v>
      </c>
      <c r="I406" s="36">
        <v>1840</v>
      </c>
      <c r="J406" s="9">
        <v>0.13300000000000001</v>
      </c>
      <c r="K406" s="9">
        <v>6</v>
      </c>
      <c r="L406" s="40">
        <f t="shared" si="39"/>
        <v>1468.3200000000002</v>
      </c>
      <c r="M406" s="8">
        <v>1240</v>
      </c>
      <c r="N406" s="9">
        <v>73.8</v>
      </c>
      <c r="O406" s="9">
        <f t="shared" si="40"/>
        <v>91512</v>
      </c>
      <c r="P406" s="75">
        <f t="shared" si="36"/>
        <v>7.0217740847370562</v>
      </c>
      <c r="Q406" s="78">
        <f t="shared" si="41"/>
        <v>6.7809178213187877</v>
      </c>
      <c r="R406" s="7" t="s">
        <v>160</v>
      </c>
      <c r="S406" s="80" t="s">
        <v>19</v>
      </c>
      <c r="T406" s="7" t="s">
        <v>22</v>
      </c>
      <c r="U406" s="7"/>
    </row>
    <row r="407" spans="1:21" x14ac:dyDescent="0.3">
      <c r="A407" s="10" t="s">
        <v>156</v>
      </c>
      <c r="B407" s="10" t="s">
        <v>157</v>
      </c>
      <c r="C407" s="37">
        <v>1324171354</v>
      </c>
      <c r="D407" s="11">
        <v>2016</v>
      </c>
      <c r="E407" s="10" t="s">
        <v>23</v>
      </c>
      <c r="F407" s="41">
        <f t="shared" si="37"/>
        <v>2.8697192312166571E-5</v>
      </c>
      <c r="G407" s="8">
        <v>8</v>
      </c>
      <c r="H407" s="36">
        <f t="shared" si="38"/>
        <v>21017.780229577536</v>
      </c>
      <c r="I407" s="37">
        <v>380</v>
      </c>
      <c r="J407" s="12">
        <v>0.13300000000000001</v>
      </c>
      <c r="K407" s="12">
        <v>7</v>
      </c>
      <c r="L407" s="40">
        <f t="shared" si="39"/>
        <v>353.78000000000003</v>
      </c>
      <c r="M407" s="11">
        <v>280</v>
      </c>
      <c r="N407" s="12">
        <v>73.8</v>
      </c>
      <c r="O407" s="9">
        <f t="shared" si="40"/>
        <v>20664</v>
      </c>
      <c r="P407" s="75">
        <f t="shared" si="36"/>
        <v>1.5872402137448396</v>
      </c>
      <c r="Q407" s="78">
        <f t="shared" si="41"/>
        <v>1.5747099390462371</v>
      </c>
      <c r="R407" s="10" t="s">
        <v>161</v>
      </c>
      <c r="S407" s="81" t="s">
        <v>25</v>
      </c>
      <c r="T407" s="10" t="s">
        <v>15</v>
      </c>
      <c r="U407" s="4"/>
    </row>
    <row r="408" spans="1:21" x14ac:dyDescent="0.3">
      <c r="A408" s="7" t="s">
        <v>156</v>
      </c>
      <c r="B408" s="7" t="s">
        <v>157</v>
      </c>
      <c r="C408" s="36">
        <v>1324171354</v>
      </c>
      <c r="D408" s="8">
        <v>2016</v>
      </c>
      <c r="E408" s="7" t="s">
        <v>26</v>
      </c>
      <c r="F408" s="41" t="e">
        <f t="shared" si="37"/>
        <v>#VALUE!</v>
      </c>
      <c r="G408" s="11">
        <v>6</v>
      </c>
      <c r="H408" s="36" t="e">
        <f t="shared" si="38"/>
        <v>#VALUE!</v>
      </c>
      <c r="I408" s="73" t="s">
        <v>12</v>
      </c>
      <c r="J408" s="9">
        <v>0.128</v>
      </c>
      <c r="K408" s="9">
        <v>5</v>
      </c>
      <c r="L408" s="40" t="e">
        <f t="shared" si="39"/>
        <v>#VALUE!</v>
      </c>
      <c r="M408" s="18" t="s">
        <v>12</v>
      </c>
      <c r="N408" s="9">
        <v>73.8</v>
      </c>
      <c r="O408" s="9" t="e">
        <f t="shared" si="40"/>
        <v>#VALUE!</v>
      </c>
      <c r="P408" s="75" t="e">
        <f t="shared" si="36"/>
        <v>#VALUE!</v>
      </c>
      <c r="Q408" s="78" t="e">
        <f t="shared" si="41"/>
        <v>#VALUE!</v>
      </c>
      <c r="R408" s="7" t="s">
        <v>162</v>
      </c>
      <c r="S408" s="80" t="s">
        <v>28</v>
      </c>
      <c r="T408" s="7" t="s">
        <v>163</v>
      </c>
      <c r="U408" s="3" t="s">
        <v>16</v>
      </c>
    </row>
    <row r="409" spans="1:21" x14ac:dyDescent="0.3">
      <c r="A409" s="10" t="s">
        <v>156</v>
      </c>
      <c r="B409" s="10" t="s">
        <v>157</v>
      </c>
      <c r="C409" s="37">
        <v>1324171354</v>
      </c>
      <c r="D409" s="11">
        <v>2016</v>
      </c>
      <c r="E409" s="10" t="s">
        <v>30</v>
      </c>
      <c r="F409" s="41">
        <f t="shared" si="37"/>
        <v>1.691623967875082E-5</v>
      </c>
      <c r="G409" s="8">
        <v>6</v>
      </c>
      <c r="H409" s="36">
        <f t="shared" si="38"/>
        <v>209699.52010149742</v>
      </c>
      <c r="I409" s="37">
        <v>224</v>
      </c>
      <c r="J409" s="12">
        <v>0.12</v>
      </c>
      <c r="K409" s="12">
        <v>4</v>
      </c>
      <c r="L409" s="40">
        <f t="shared" si="39"/>
        <v>107.52</v>
      </c>
      <c r="M409" s="11">
        <v>2840</v>
      </c>
      <c r="N409" s="12">
        <v>73.8</v>
      </c>
      <c r="O409" s="9">
        <f t="shared" si="40"/>
        <v>209592</v>
      </c>
      <c r="P409" s="75">
        <f t="shared" si="36"/>
        <v>15.836282779267661</v>
      </c>
      <c r="Q409" s="78">
        <f t="shared" si="41"/>
        <v>14.64599622678805</v>
      </c>
      <c r="R409" s="10" t="s">
        <v>164</v>
      </c>
      <c r="S409" s="81" t="s">
        <v>29</v>
      </c>
      <c r="T409" s="10" t="s">
        <v>33</v>
      </c>
      <c r="U409" s="4"/>
    </row>
    <row r="410" spans="1:21" ht="22.8" x14ac:dyDescent="0.3">
      <c r="A410" s="7" t="s">
        <v>156</v>
      </c>
      <c r="B410" s="7" t="s">
        <v>157</v>
      </c>
      <c r="C410" s="36">
        <v>1338676785</v>
      </c>
      <c r="D410" s="8">
        <v>2017</v>
      </c>
      <c r="E410" s="7" t="s">
        <v>11</v>
      </c>
      <c r="F410" s="41">
        <f t="shared" si="37"/>
        <v>9.2628781935588729E-5</v>
      </c>
      <c r="G410" s="11">
        <v>9</v>
      </c>
      <c r="H410" s="36">
        <f t="shared" si="38"/>
        <v>51503.360833659041</v>
      </c>
      <c r="I410" s="36">
        <v>1240</v>
      </c>
      <c r="J410" s="9">
        <v>0.13300000000000001</v>
      </c>
      <c r="K410" s="9">
        <v>8</v>
      </c>
      <c r="L410" s="40">
        <f t="shared" si="39"/>
        <v>1319.3600000000001</v>
      </c>
      <c r="M410" s="8">
        <v>680</v>
      </c>
      <c r="N410" s="9">
        <v>73.8</v>
      </c>
      <c r="O410" s="9">
        <f t="shared" si="40"/>
        <v>50184</v>
      </c>
      <c r="P410" s="75">
        <f t="shared" si="36"/>
        <v>3.8473335319443098</v>
      </c>
      <c r="Q410" s="78">
        <f t="shared" si="41"/>
        <v>3.7742637317074945</v>
      </c>
      <c r="R410" s="7" t="s">
        <v>158</v>
      </c>
      <c r="S410" s="80" t="s">
        <v>19</v>
      </c>
      <c r="T410" s="7" t="s">
        <v>78</v>
      </c>
      <c r="U410" s="7"/>
    </row>
    <row r="411" spans="1:21" ht="22.8" x14ac:dyDescent="0.3">
      <c r="A411" s="10" t="s">
        <v>156</v>
      </c>
      <c r="B411" s="10" t="s">
        <v>157</v>
      </c>
      <c r="C411" s="37">
        <v>1338676785</v>
      </c>
      <c r="D411" s="11">
        <v>2017</v>
      </c>
      <c r="E411" s="10" t="s">
        <v>17</v>
      </c>
      <c r="F411" s="41">
        <f t="shared" si="37"/>
        <v>3.5856302684744026E-5</v>
      </c>
      <c r="G411" s="8">
        <v>7</v>
      </c>
      <c r="H411" s="36">
        <f t="shared" si="38"/>
        <v>2154.2402509941185</v>
      </c>
      <c r="I411" s="37">
        <v>480</v>
      </c>
      <c r="J411" s="12">
        <v>0.13300000000000001</v>
      </c>
      <c r="K411" s="12">
        <v>6</v>
      </c>
      <c r="L411" s="40">
        <f t="shared" si="39"/>
        <v>383.04</v>
      </c>
      <c r="M411" s="11">
        <v>24</v>
      </c>
      <c r="N411" s="12">
        <v>73.8</v>
      </c>
      <c r="O411" s="9">
        <f t="shared" si="40"/>
        <v>1771.1999999999998</v>
      </c>
      <c r="P411" s="75">
        <f t="shared" si="36"/>
        <v>0.1609231051985501</v>
      </c>
      <c r="Q411" s="78">
        <f t="shared" si="41"/>
        <v>0.16079369339675464</v>
      </c>
      <c r="R411" s="10" t="s">
        <v>159</v>
      </c>
      <c r="S411" s="81" t="s">
        <v>19</v>
      </c>
      <c r="T411" s="10" t="s">
        <v>99</v>
      </c>
      <c r="U411" s="4"/>
    </row>
    <row r="412" spans="1:21" ht="22.8" x14ac:dyDescent="0.3">
      <c r="A412" s="7" t="s">
        <v>156</v>
      </c>
      <c r="B412" s="7" t="s">
        <v>157</v>
      </c>
      <c r="C412" s="36">
        <v>1338676785</v>
      </c>
      <c r="D412" s="8">
        <v>2017</v>
      </c>
      <c r="E412" s="7" t="s">
        <v>20</v>
      </c>
      <c r="F412" s="41">
        <f t="shared" si="37"/>
        <v>1.3744916029151876E-4</v>
      </c>
      <c r="G412" s="11">
        <v>7</v>
      </c>
      <c r="H412" s="36">
        <f t="shared" si="38"/>
        <v>92980.320962144135</v>
      </c>
      <c r="I412" s="36">
        <v>1840</v>
      </c>
      <c r="J412" s="9">
        <v>0.13300000000000001</v>
      </c>
      <c r="K412" s="9">
        <v>6</v>
      </c>
      <c r="L412" s="40">
        <f t="shared" si="39"/>
        <v>1468.3200000000002</v>
      </c>
      <c r="M412" s="8">
        <v>1240</v>
      </c>
      <c r="N412" s="9">
        <v>73.8</v>
      </c>
      <c r="O412" s="9">
        <f t="shared" si="40"/>
        <v>91512</v>
      </c>
      <c r="P412" s="75">
        <f t="shared" si="36"/>
        <v>6.9456886086318539</v>
      </c>
      <c r="Q412" s="78">
        <f t="shared" si="41"/>
        <v>6.7099646497159267</v>
      </c>
      <c r="R412" s="7" t="s">
        <v>160</v>
      </c>
      <c r="S412" s="80" t="s">
        <v>19</v>
      </c>
      <c r="T412" s="7" t="s">
        <v>22</v>
      </c>
      <c r="U412" s="7"/>
    </row>
    <row r="413" spans="1:21" x14ac:dyDescent="0.3">
      <c r="A413" s="10" t="s">
        <v>156</v>
      </c>
      <c r="B413" s="10" t="s">
        <v>157</v>
      </c>
      <c r="C413" s="37">
        <v>1338676785</v>
      </c>
      <c r="D413" s="11">
        <v>2017</v>
      </c>
      <c r="E413" s="10" t="s">
        <v>23</v>
      </c>
      <c r="F413" s="41">
        <f t="shared" si="37"/>
        <v>2.8386239625422355E-5</v>
      </c>
      <c r="G413" s="8">
        <v>8</v>
      </c>
      <c r="H413" s="36">
        <f t="shared" si="38"/>
        <v>21017.780227089916</v>
      </c>
      <c r="I413" s="37">
        <v>380</v>
      </c>
      <c r="J413" s="12">
        <v>0.13300000000000001</v>
      </c>
      <c r="K413" s="12">
        <v>7</v>
      </c>
      <c r="L413" s="40">
        <f t="shared" si="39"/>
        <v>353.78000000000003</v>
      </c>
      <c r="M413" s="11">
        <v>280</v>
      </c>
      <c r="N413" s="12">
        <v>73.8</v>
      </c>
      <c r="O413" s="9">
        <f t="shared" si="40"/>
        <v>20664</v>
      </c>
      <c r="P413" s="75">
        <f t="shared" ref="P413:P476" si="42">H413/C413*100000</f>
        <v>1.5700414366332582</v>
      </c>
      <c r="Q413" s="78">
        <f t="shared" si="41"/>
        <v>1.5577805370039055</v>
      </c>
      <c r="R413" s="10" t="s">
        <v>161</v>
      </c>
      <c r="S413" s="81" t="s">
        <v>25</v>
      </c>
      <c r="T413" s="10" t="s">
        <v>15</v>
      </c>
      <c r="U413" s="4"/>
    </row>
    <row r="414" spans="1:21" x14ac:dyDescent="0.3">
      <c r="A414" s="7" t="s">
        <v>156</v>
      </c>
      <c r="B414" s="7" t="s">
        <v>157</v>
      </c>
      <c r="C414" s="36">
        <v>1338676785</v>
      </c>
      <c r="D414" s="8">
        <v>2017</v>
      </c>
      <c r="E414" s="7" t="s">
        <v>26</v>
      </c>
      <c r="F414" s="41" t="e">
        <f t="shared" si="37"/>
        <v>#VALUE!</v>
      </c>
      <c r="G414" s="11">
        <v>6</v>
      </c>
      <c r="H414" s="36" t="e">
        <f t="shared" si="38"/>
        <v>#VALUE!</v>
      </c>
      <c r="I414" s="73" t="s">
        <v>12</v>
      </c>
      <c r="J414" s="9">
        <v>0.128</v>
      </c>
      <c r="K414" s="9">
        <v>5</v>
      </c>
      <c r="L414" s="40" t="e">
        <f t="shared" si="39"/>
        <v>#VALUE!</v>
      </c>
      <c r="M414" s="18" t="s">
        <v>12</v>
      </c>
      <c r="N414" s="9">
        <v>73.8</v>
      </c>
      <c r="O414" s="9" t="e">
        <f t="shared" si="40"/>
        <v>#VALUE!</v>
      </c>
      <c r="P414" s="75" t="e">
        <f t="shared" si="42"/>
        <v>#VALUE!</v>
      </c>
      <c r="Q414" s="78" t="e">
        <f t="shared" si="41"/>
        <v>#VALUE!</v>
      </c>
      <c r="R414" s="7" t="s">
        <v>162</v>
      </c>
      <c r="S414" s="80" t="s">
        <v>28</v>
      </c>
      <c r="T414" s="7" t="s">
        <v>163</v>
      </c>
      <c r="U414" s="3" t="s">
        <v>16</v>
      </c>
    </row>
    <row r="415" spans="1:21" x14ac:dyDescent="0.3">
      <c r="A415" s="10" t="s">
        <v>156</v>
      </c>
      <c r="B415" s="10" t="s">
        <v>157</v>
      </c>
      <c r="C415" s="37">
        <v>1338676785</v>
      </c>
      <c r="D415" s="11">
        <v>2017</v>
      </c>
      <c r="E415" s="10" t="s">
        <v>30</v>
      </c>
      <c r="F415" s="41">
        <f t="shared" si="37"/>
        <v>1.6732941252880544E-5</v>
      </c>
      <c r="G415" s="8">
        <v>6</v>
      </c>
      <c r="H415" s="36">
        <f t="shared" si="38"/>
        <v>209699.52010039764</v>
      </c>
      <c r="I415" s="37">
        <v>224</v>
      </c>
      <c r="J415" s="12">
        <v>0.12</v>
      </c>
      <c r="K415" s="12">
        <v>4</v>
      </c>
      <c r="L415" s="40">
        <f t="shared" si="39"/>
        <v>107.52</v>
      </c>
      <c r="M415" s="11">
        <v>2840</v>
      </c>
      <c r="N415" s="12">
        <v>73.8</v>
      </c>
      <c r="O415" s="9">
        <f t="shared" si="40"/>
        <v>209592</v>
      </c>
      <c r="P415" s="75">
        <f t="shared" si="42"/>
        <v>15.664686386594628</v>
      </c>
      <c r="Q415" s="78">
        <f t="shared" si="41"/>
        <v>14.499406099596024</v>
      </c>
      <c r="R415" s="10" t="s">
        <v>164</v>
      </c>
      <c r="S415" s="81" t="s">
        <v>29</v>
      </c>
      <c r="T415" s="10" t="s">
        <v>33</v>
      </c>
      <c r="U415" s="10"/>
    </row>
    <row r="416" spans="1:21" ht="22.8" x14ac:dyDescent="0.3">
      <c r="A416" s="7" t="s">
        <v>156</v>
      </c>
      <c r="B416" s="7" t="s">
        <v>157</v>
      </c>
      <c r="C416" s="36">
        <v>1352642280</v>
      </c>
      <c r="D416" s="8">
        <v>2018</v>
      </c>
      <c r="E416" s="7" t="s">
        <v>11</v>
      </c>
      <c r="F416" s="41">
        <f t="shared" si="37"/>
        <v>9.167242650436744E-5</v>
      </c>
      <c r="G416" s="11">
        <v>9</v>
      </c>
      <c r="H416" s="36">
        <f t="shared" si="38"/>
        <v>51503.360825051837</v>
      </c>
      <c r="I416" s="36">
        <v>1240</v>
      </c>
      <c r="J416" s="9">
        <v>0.13300000000000001</v>
      </c>
      <c r="K416" s="9">
        <v>8</v>
      </c>
      <c r="L416" s="40">
        <f t="shared" si="39"/>
        <v>1319.3600000000001</v>
      </c>
      <c r="M416" s="8">
        <v>680</v>
      </c>
      <c r="N416" s="9">
        <v>73.8</v>
      </c>
      <c r="O416" s="9">
        <f t="shared" si="40"/>
        <v>50184</v>
      </c>
      <c r="P416" s="75">
        <f t="shared" si="42"/>
        <v>3.807611338679421</v>
      </c>
      <c r="Q416" s="78">
        <f t="shared" si="41"/>
        <v>3.7360331662695812</v>
      </c>
      <c r="R416" s="7" t="s">
        <v>158</v>
      </c>
      <c r="S416" s="80" t="s">
        <v>19</v>
      </c>
      <c r="T416" s="7" t="s">
        <v>78</v>
      </c>
      <c r="U416" s="7"/>
    </row>
    <row r="417" spans="1:21" ht="22.8" x14ac:dyDescent="0.3">
      <c r="A417" s="10" t="s">
        <v>156</v>
      </c>
      <c r="B417" s="10" t="s">
        <v>157</v>
      </c>
      <c r="C417" s="37">
        <v>1352642280</v>
      </c>
      <c r="D417" s="11">
        <v>2018</v>
      </c>
      <c r="E417" s="10" t="s">
        <v>17</v>
      </c>
      <c r="F417" s="41">
        <f t="shared" si="37"/>
        <v>3.548610058233578E-5</v>
      </c>
      <c r="G417" s="8">
        <v>7</v>
      </c>
      <c r="H417" s="36">
        <f t="shared" si="38"/>
        <v>2154.2402484027039</v>
      </c>
      <c r="I417" s="37">
        <v>480</v>
      </c>
      <c r="J417" s="12">
        <v>0.13300000000000001</v>
      </c>
      <c r="K417" s="12">
        <v>6</v>
      </c>
      <c r="L417" s="40">
        <f t="shared" si="39"/>
        <v>383.04</v>
      </c>
      <c r="M417" s="11">
        <v>24</v>
      </c>
      <c r="N417" s="12">
        <v>73.8</v>
      </c>
      <c r="O417" s="9">
        <f t="shared" si="40"/>
        <v>1771.1999999999998</v>
      </c>
      <c r="P417" s="75">
        <f t="shared" si="42"/>
        <v>0.15926163777777994</v>
      </c>
      <c r="Q417" s="78">
        <f t="shared" si="41"/>
        <v>0.15913488373056062</v>
      </c>
      <c r="R417" s="10" t="s">
        <v>159</v>
      </c>
      <c r="S417" s="81" t="s">
        <v>19</v>
      </c>
      <c r="T417" s="10" t="s">
        <v>99</v>
      </c>
      <c r="U417" s="10"/>
    </row>
    <row r="418" spans="1:21" ht="22.8" x14ac:dyDescent="0.3">
      <c r="A418" s="7" t="s">
        <v>156</v>
      </c>
      <c r="B418" s="7" t="s">
        <v>157</v>
      </c>
      <c r="C418" s="36">
        <v>1352642280</v>
      </c>
      <c r="D418" s="8">
        <v>2018</v>
      </c>
      <c r="E418" s="7" t="s">
        <v>20</v>
      </c>
      <c r="F418" s="41">
        <f t="shared" si="37"/>
        <v>1.3603005223228716E-4</v>
      </c>
      <c r="G418" s="11">
        <v>7</v>
      </c>
      <c r="H418" s="36">
        <f t="shared" si="38"/>
        <v>92980.320952210372</v>
      </c>
      <c r="I418" s="36">
        <v>1840</v>
      </c>
      <c r="J418" s="9">
        <v>0.13300000000000001</v>
      </c>
      <c r="K418" s="9">
        <v>6</v>
      </c>
      <c r="L418" s="40">
        <f t="shared" si="39"/>
        <v>1468.3200000000002</v>
      </c>
      <c r="M418" s="8">
        <v>1240</v>
      </c>
      <c r="N418" s="9">
        <v>73.8</v>
      </c>
      <c r="O418" s="9">
        <f t="shared" si="40"/>
        <v>91512</v>
      </c>
      <c r="P418" s="75">
        <f t="shared" si="42"/>
        <v>6.8739771281000008</v>
      </c>
      <c r="Q418" s="78">
        <f t="shared" si="41"/>
        <v>6.6430409910723025</v>
      </c>
      <c r="R418" s="7" t="s">
        <v>160</v>
      </c>
      <c r="S418" s="80" t="s">
        <v>19</v>
      </c>
      <c r="T418" s="7" t="s">
        <v>22</v>
      </c>
      <c r="U418" s="7"/>
    </row>
    <row r="419" spans="1:21" x14ac:dyDescent="0.3">
      <c r="A419" s="10" t="s">
        <v>156</v>
      </c>
      <c r="B419" s="10" t="s">
        <v>157</v>
      </c>
      <c r="C419" s="37">
        <v>1352642280</v>
      </c>
      <c r="D419" s="11">
        <v>2018</v>
      </c>
      <c r="E419" s="10" t="s">
        <v>23</v>
      </c>
      <c r="F419" s="41">
        <f t="shared" si="37"/>
        <v>2.8093162961015826E-5</v>
      </c>
      <c r="G419" s="8">
        <v>8</v>
      </c>
      <c r="H419" s="36">
        <f t="shared" si="38"/>
        <v>21017.780224745304</v>
      </c>
      <c r="I419" s="37">
        <v>380</v>
      </c>
      <c r="J419" s="12">
        <v>0.13300000000000001</v>
      </c>
      <c r="K419" s="12">
        <v>7</v>
      </c>
      <c r="L419" s="40">
        <f t="shared" si="39"/>
        <v>353.78000000000003</v>
      </c>
      <c r="M419" s="11">
        <v>280</v>
      </c>
      <c r="N419" s="12">
        <v>73.8</v>
      </c>
      <c r="O419" s="9">
        <f t="shared" si="40"/>
        <v>20664</v>
      </c>
      <c r="P419" s="75">
        <f t="shared" si="42"/>
        <v>1.5538313814015412</v>
      </c>
      <c r="Q419" s="78">
        <f t="shared" si="41"/>
        <v>1.5418217054248617</v>
      </c>
      <c r="R419" s="10" t="s">
        <v>161</v>
      </c>
      <c r="S419" s="81" t="s">
        <v>25</v>
      </c>
      <c r="T419" s="10" t="s">
        <v>15</v>
      </c>
      <c r="U419" s="10"/>
    </row>
    <row r="420" spans="1:21" x14ac:dyDescent="0.3">
      <c r="A420" s="7" t="s">
        <v>156</v>
      </c>
      <c r="B420" s="7" t="s">
        <v>157</v>
      </c>
      <c r="C420" s="36">
        <v>1352642280</v>
      </c>
      <c r="D420" s="8">
        <v>2018</v>
      </c>
      <c r="E420" s="7" t="s">
        <v>26</v>
      </c>
      <c r="F420" s="41" t="e">
        <f t="shared" si="37"/>
        <v>#VALUE!</v>
      </c>
      <c r="G420" s="11">
        <v>6</v>
      </c>
      <c r="H420" s="36" t="e">
        <f t="shared" si="38"/>
        <v>#VALUE!</v>
      </c>
      <c r="I420" s="73" t="s">
        <v>12</v>
      </c>
      <c r="J420" s="9">
        <v>0.128</v>
      </c>
      <c r="K420" s="9">
        <v>5</v>
      </c>
      <c r="L420" s="40" t="e">
        <f t="shared" si="39"/>
        <v>#VALUE!</v>
      </c>
      <c r="M420" s="18" t="s">
        <v>12</v>
      </c>
      <c r="N420" s="9">
        <v>73.8</v>
      </c>
      <c r="O420" s="9" t="e">
        <f t="shared" si="40"/>
        <v>#VALUE!</v>
      </c>
      <c r="P420" s="75" t="e">
        <f t="shared" si="42"/>
        <v>#VALUE!</v>
      </c>
      <c r="Q420" s="78" t="e">
        <f t="shared" si="41"/>
        <v>#VALUE!</v>
      </c>
      <c r="R420" s="7" t="s">
        <v>162</v>
      </c>
      <c r="S420" s="80" t="s">
        <v>28</v>
      </c>
      <c r="T420" s="7" t="s">
        <v>163</v>
      </c>
      <c r="U420" s="3" t="s">
        <v>16</v>
      </c>
    </row>
    <row r="421" spans="1:21" x14ac:dyDescent="0.3">
      <c r="A421" s="10" t="s">
        <v>156</v>
      </c>
      <c r="B421" s="10" t="s">
        <v>157</v>
      </c>
      <c r="C421" s="37">
        <v>1352642280</v>
      </c>
      <c r="D421" s="11">
        <v>2018</v>
      </c>
      <c r="E421" s="10" t="s">
        <v>30</v>
      </c>
      <c r="F421" s="41">
        <f t="shared" si="37"/>
        <v>1.6560180271756697E-5</v>
      </c>
      <c r="G421" s="8">
        <v>6</v>
      </c>
      <c r="H421" s="36">
        <f t="shared" si="38"/>
        <v>209699.52009936108</v>
      </c>
      <c r="I421" s="37">
        <v>224</v>
      </c>
      <c r="J421" s="12">
        <v>0.12</v>
      </c>
      <c r="K421" s="12">
        <v>4</v>
      </c>
      <c r="L421" s="40">
        <f t="shared" si="39"/>
        <v>107.52</v>
      </c>
      <c r="M421" s="11">
        <v>2840</v>
      </c>
      <c r="N421" s="12">
        <v>73.8</v>
      </c>
      <c r="O421" s="9">
        <f t="shared" si="40"/>
        <v>209592</v>
      </c>
      <c r="P421" s="75">
        <f t="shared" si="42"/>
        <v>15.502954713153065</v>
      </c>
      <c r="Q421" s="78">
        <f t="shared" si="41"/>
        <v>14.361012675444474</v>
      </c>
      <c r="R421" s="10" t="s">
        <v>164</v>
      </c>
      <c r="S421" s="81" t="s">
        <v>29</v>
      </c>
      <c r="T421" s="10" t="s">
        <v>33</v>
      </c>
      <c r="U421" s="10"/>
    </row>
    <row r="422" spans="1:21" ht="22.8" x14ac:dyDescent="0.3">
      <c r="A422" s="7" t="s">
        <v>156</v>
      </c>
      <c r="B422" s="7" t="s">
        <v>157</v>
      </c>
      <c r="C422" s="36">
        <v>1366417754</v>
      </c>
      <c r="D422" s="8">
        <v>2019</v>
      </c>
      <c r="E422" s="7" t="s">
        <v>11</v>
      </c>
      <c r="F422" s="41">
        <f t="shared" si="37"/>
        <v>9.0748235403855852E-5</v>
      </c>
      <c r="G422" s="11">
        <v>9</v>
      </c>
      <c r="H422" s="36">
        <f t="shared" si="38"/>
        <v>51503.360816734123</v>
      </c>
      <c r="I422" s="36">
        <v>1240</v>
      </c>
      <c r="J422" s="9">
        <v>0.13300000000000001</v>
      </c>
      <c r="K422" s="9">
        <v>8</v>
      </c>
      <c r="L422" s="40">
        <f t="shared" si="39"/>
        <v>1319.3600000000001</v>
      </c>
      <c r="M422" s="8">
        <v>680</v>
      </c>
      <c r="N422" s="9">
        <v>73.8</v>
      </c>
      <c r="O422" s="9">
        <f t="shared" si="40"/>
        <v>50184</v>
      </c>
      <c r="P422" s="75">
        <f t="shared" si="42"/>
        <v>3.7692250899086401</v>
      </c>
      <c r="Q422" s="78">
        <f t="shared" si="41"/>
        <v>3.6990739473091283</v>
      </c>
      <c r="R422" s="7" t="s">
        <v>158</v>
      </c>
      <c r="S422" s="80" t="s">
        <v>19</v>
      </c>
      <c r="T422" s="7" t="s">
        <v>78</v>
      </c>
      <c r="U422" s="7"/>
    </row>
    <row r="423" spans="1:21" ht="22.8" x14ac:dyDescent="0.3">
      <c r="A423" s="10" t="s">
        <v>156</v>
      </c>
      <c r="B423" s="10" t="s">
        <v>157</v>
      </c>
      <c r="C423" s="37">
        <v>1366417754</v>
      </c>
      <c r="D423" s="11">
        <v>2019</v>
      </c>
      <c r="E423" s="10" t="s">
        <v>17</v>
      </c>
      <c r="F423" s="41">
        <f t="shared" si="37"/>
        <v>9.0748235403855852E-5</v>
      </c>
      <c r="G423" s="8">
        <v>7</v>
      </c>
      <c r="H423" s="36">
        <f t="shared" si="38"/>
        <v>4089.1206352376475</v>
      </c>
      <c r="I423" s="37">
        <v>1240</v>
      </c>
      <c r="J423" s="12">
        <v>0.13300000000000001</v>
      </c>
      <c r="K423" s="12">
        <v>6</v>
      </c>
      <c r="L423" s="40">
        <f t="shared" si="39"/>
        <v>989.5200000000001</v>
      </c>
      <c r="M423" s="11">
        <v>42</v>
      </c>
      <c r="N423" s="12">
        <v>73.8</v>
      </c>
      <c r="O423" s="9">
        <f t="shared" si="40"/>
        <v>3099.6</v>
      </c>
      <c r="P423" s="75">
        <f t="shared" si="42"/>
        <v>0.2992584532268634</v>
      </c>
      <c r="Q423" s="78">
        <f t="shared" si="41"/>
        <v>0.29881112145503375</v>
      </c>
      <c r="R423" s="10" t="s">
        <v>165</v>
      </c>
      <c r="S423" s="81" t="s">
        <v>19</v>
      </c>
      <c r="T423" s="10" t="s">
        <v>99</v>
      </c>
      <c r="U423" s="10"/>
    </row>
    <row r="424" spans="1:21" ht="22.8" x14ac:dyDescent="0.3">
      <c r="A424" s="7" t="s">
        <v>156</v>
      </c>
      <c r="B424" s="7" t="s">
        <v>157</v>
      </c>
      <c r="C424" s="36">
        <v>1366417754</v>
      </c>
      <c r="D424" s="8">
        <v>2019</v>
      </c>
      <c r="E424" s="7" t="s">
        <v>20</v>
      </c>
      <c r="F424" s="41">
        <f t="shared" si="37"/>
        <v>1.3465867188959256E-4</v>
      </c>
      <c r="G424" s="11">
        <v>7</v>
      </c>
      <c r="H424" s="36">
        <f t="shared" si="38"/>
        <v>92980.320942610706</v>
      </c>
      <c r="I424" s="36">
        <v>1840</v>
      </c>
      <c r="J424" s="9">
        <v>0.13300000000000001</v>
      </c>
      <c r="K424" s="9">
        <v>6</v>
      </c>
      <c r="L424" s="40">
        <f t="shared" si="39"/>
        <v>1468.3200000000002</v>
      </c>
      <c r="M424" s="8">
        <v>1240</v>
      </c>
      <c r="N424" s="9">
        <v>73.8</v>
      </c>
      <c r="O424" s="9">
        <f t="shared" si="40"/>
        <v>91512</v>
      </c>
      <c r="P424" s="75">
        <f t="shared" si="42"/>
        <v>6.8046774619565351</v>
      </c>
      <c r="Q424" s="78">
        <f t="shared" si="41"/>
        <v>6.5783225079011025</v>
      </c>
      <c r="R424" s="7" t="s">
        <v>160</v>
      </c>
      <c r="S424" s="80" t="s">
        <v>19</v>
      </c>
      <c r="T424" s="7" t="s">
        <v>22</v>
      </c>
      <c r="U424" s="7"/>
    </row>
    <row r="425" spans="1:21" x14ac:dyDescent="0.3">
      <c r="A425" s="10" t="s">
        <v>156</v>
      </c>
      <c r="B425" s="10" t="s">
        <v>157</v>
      </c>
      <c r="C425" s="37">
        <v>1366417754</v>
      </c>
      <c r="D425" s="11">
        <v>2019</v>
      </c>
      <c r="E425" s="10" t="s">
        <v>23</v>
      </c>
      <c r="F425" s="41">
        <f t="shared" si="37"/>
        <v>2.7809943107633246E-5</v>
      </c>
      <c r="G425" s="8">
        <v>8</v>
      </c>
      <c r="H425" s="36">
        <f t="shared" si="38"/>
        <v>21017.780222479545</v>
      </c>
      <c r="I425" s="37">
        <v>380</v>
      </c>
      <c r="J425" s="12">
        <v>0.13300000000000001</v>
      </c>
      <c r="K425" s="12">
        <v>7</v>
      </c>
      <c r="L425" s="40">
        <f t="shared" si="39"/>
        <v>353.78000000000003</v>
      </c>
      <c r="M425" s="11">
        <v>280</v>
      </c>
      <c r="N425" s="12">
        <v>73.8</v>
      </c>
      <c r="O425" s="9">
        <f t="shared" si="40"/>
        <v>20664</v>
      </c>
      <c r="P425" s="75">
        <f t="shared" si="42"/>
        <v>1.5381665058839353</v>
      </c>
      <c r="Q425" s="78">
        <f t="shared" si="41"/>
        <v>1.5263971462706527</v>
      </c>
      <c r="R425" s="10" t="s">
        <v>161</v>
      </c>
      <c r="S425" s="81" t="s">
        <v>25</v>
      </c>
      <c r="T425" s="10" t="s">
        <v>15</v>
      </c>
      <c r="U425" s="4"/>
    </row>
    <row r="426" spans="1:21" x14ac:dyDescent="0.3">
      <c r="A426" s="7" t="s">
        <v>156</v>
      </c>
      <c r="B426" s="7" t="s">
        <v>157</v>
      </c>
      <c r="C426" s="36">
        <v>1366417754</v>
      </c>
      <c r="D426" s="8">
        <v>2019</v>
      </c>
      <c r="E426" s="7" t="s">
        <v>26</v>
      </c>
      <c r="F426" s="41" t="e">
        <f t="shared" si="37"/>
        <v>#VALUE!</v>
      </c>
      <c r="G426" s="11">
        <v>6</v>
      </c>
      <c r="H426" s="36" t="e">
        <f t="shared" si="38"/>
        <v>#VALUE!</v>
      </c>
      <c r="I426" s="73" t="s">
        <v>12</v>
      </c>
      <c r="J426" s="9">
        <v>0.128</v>
      </c>
      <c r="K426" s="9">
        <v>5</v>
      </c>
      <c r="L426" s="40" t="e">
        <f t="shared" si="39"/>
        <v>#VALUE!</v>
      </c>
      <c r="M426" s="18" t="s">
        <v>12</v>
      </c>
      <c r="N426" s="9">
        <v>73.8</v>
      </c>
      <c r="O426" s="9" t="e">
        <f t="shared" si="40"/>
        <v>#VALUE!</v>
      </c>
      <c r="P426" s="75" t="e">
        <f t="shared" si="42"/>
        <v>#VALUE!</v>
      </c>
      <c r="Q426" s="78" t="e">
        <f t="shared" si="41"/>
        <v>#VALUE!</v>
      </c>
      <c r="R426" s="7" t="s">
        <v>162</v>
      </c>
      <c r="S426" s="80" t="s">
        <v>28</v>
      </c>
      <c r="T426" s="7" t="s">
        <v>163</v>
      </c>
      <c r="U426" s="3" t="s">
        <v>16</v>
      </c>
    </row>
    <row r="427" spans="1:21" x14ac:dyDescent="0.3">
      <c r="A427" s="10" t="s">
        <v>156</v>
      </c>
      <c r="B427" s="10" t="s">
        <v>157</v>
      </c>
      <c r="C427" s="37">
        <v>1366417754</v>
      </c>
      <c r="D427" s="11">
        <v>2019</v>
      </c>
      <c r="E427" s="10" t="s">
        <v>30</v>
      </c>
      <c r="F427" s="41">
        <f t="shared" si="37"/>
        <v>1.6393229621341703E-5</v>
      </c>
      <c r="G427" s="8">
        <v>6</v>
      </c>
      <c r="H427" s="36">
        <f t="shared" si="38"/>
        <v>209699.52009835935</v>
      </c>
      <c r="I427" s="37">
        <v>224</v>
      </c>
      <c r="J427" s="12">
        <v>0.12</v>
      </c>
      <c r="K427" s="12">
        <v>4</v>
      </c>
      <c r="L427" s="40">
        <f t="shared" si="39"/>
        <v>107.52</v>
      </c>
      <c r="M427" s="11">
        <v>2840</v>
      </c>
      <c r="N427" s="12">
        <v>73.8</v>
      </c>
      <c r="O427" s="9">
        <f t="shared" si="40"/>
        <v>209592</v>
      </c>
      <c r="P427" s="75">
        <f t="shared" si="42"/>
        <v>15.346662430614126</v>
      </c>
      <c r="Q427" s="78">
        <f t="shared" si="41"/>
        <v>14.227060896532617</v>
      </c>
      <c r="R427" s="10" t="s">
        <v>164</v>
      </c>
      <c r="S427" s="81" t="s">
        <v>29</v>
      </c>
      <c r="T427" s="10" t="s">
        <v>33</v>
      </c>
      <c r="U427" s="10"/>
    </row>
    <row r="428" spans="1:21" ht="22.8" x14ac:dyDescent="0.3">
      <c r="A428" s="7" t="s">
        <v>156</v>
      </c>
      <c r="B428" s="7" t="s">
        <v>157</v>
      </c>
      <c r="C428" s="36">
        <v>1380004385</v>
      </c>
      <c r="D428" s="8">
        <v>2020</v>
      </c>
      <c r="E428" s="7" t="s">
        <v>11</v>
      </c>
      <c r="F428" s="41">
        <f t="shared" si="37"/>
        <v>8.9854786946926986E-5</v>
      </c>
      <c r="G428" s="11">
        <v>9</v>
      </c>
      <c r="H428" s="36">
        <f t="shared" si="38"/>
        <v>51503.360808693084</v>
      </c>
      <c r="I428" s="36">
        <v>1240</v>
      </c>
      <c r="J428" s="9">
        <v>0.13300000000000001</v>
      </c>
      <c r="K428" s="9">
        <v>8</v>
      </c>
      <c r="L428" s="40">
        <f t="shared" si="39"/>
        <v>1319.3600000000001</v>
      </c>
      <c r="M428" s="8">
        <v>680</v>
      </c>
      <c r="N428" s="9">
        <v>73.8</v>
      </c>
      <c r="O428" s="9">
        <f t="shared" si="40"/>
        <v>50184</v>
      </c>
      <c r="P428" s="75">
        <f t="shared" si="42"/>
        <v>3.7321157358998596</v>
      </c>
      <c r="Q428" s="78">
        <f t="shared" si="41"/>
        <v>3.6633306641059349</v>
      </c>
      <c r="R428" s="7" t="s">
        <v>158</v>
      </c>
      <c r="S428" s="80" t="s">
        <v>19</v>
      </c>
      <c r="T428" s="7" t="s">
        <v>78</v>
      </c>
      <c r="U428" s="7"/>
    </row>
    <row r="429" spans="1:21" ht="22.8" x14ac:dyDescent="0.3">
      <c r="A429" s="10" t="s">
        <v>156</v>
      </c>
      <c r="B429" s="10" t="s">
        <v>157</v>
      </c>
      <c r="C429" s="37">
        <v>1380004385</v>
      </c>
      <c r="D429" s="11">
        <v>2020</v>
      </c>
      <c r="E429" s="10" t="s">
        <v>17</v>
      </c>
      <c r="F429" s="41">
        <f t="shared" si="37"/>
        <v>1.7970957389385397E-4</v>
      </c>
      <c r="G429" s="8">
        <v>7</v>
      </c>
      <c r="H429" s="36">
        <f t="shared" si="38"/>
        <v>6997.441257967017</v>
      </c>
      <c r="I429" s="37">
        <v>2480</v>
      </c>
      <c r="J429" s="12">
        <v>0.13300000000000001</v>
      </c>
      <c r="K429" s="12">
        <v>6</v>
      </c>
      <c r="L429" s="40">
        <f t="shared" si="39"/>
        <v>1979.0400000000002</v>
      </c>
      <c r="M429" s="11">
        <v>68</v>
      </c>
      <c r="N429" s="12">
        <v>73.8</v>
      </c>
      <c r="O429" s="9">
        <f t="shared" si="40"/>
        <v>5018.3999999999996</v>
      </c>
      <c r="P429" s="75">
        <f t="shared" si="42"/>
        <v>0.50705934952279286</v>
      </c>
      <c r="Q429" s="78">
        <f t="shared" si="41"/>
        <v>0.50577597367843508</v>
      </c>
      <c r="R429" s="10" t="s">
        <v>166</v>
      </c>
      <c r="S429" s="81" t="s">
        <v>19</v>
      </c>
      <c r="T429" s="10" t="s">
        <v>99</v>
      </c>
      <c r="U429" s="10"/>
    </row>
    <row r="430" spans="1:21" ht="22.8" x14ac:dyDescent="0.3">
      <c r="A430" s="7" t="s">
        <v>156</v>
      </c>
      <c r="B430" s="7" t="s">
        <v>157</v>
      </c>
      <c r="C430" s="36">
        <v>1380004385</v>
      </c>
      <c r="D430" s="8">
        <v>2020</v>
      </c>
      <c r="E430" s="7" t="s">
        <v>20</v>
      </c>
      <c r="F430" s="41">
        <f t="shared" si="37"/>
        <v>1.3333290966318197E-4</v>
      </c>
      <c r="G430" s="11">
        <v>7</v>
      </c>
      <c r="H430" s="36">
        <f t="shared" si="38"/>
        <v>92980.320933330368</v>
      </c>
      <c r="I430" s="36">
        <v>1840</v>
      </c>
      <c r="J430" s="9">
        <v>0.13300000000000001</v>
      </c>
      <c r="K430" s="9">
        <v>6</v>
      </c>
      <c r="L430" s="40">
        <f t="shared" si="39"/>
        <v>1468.3200000000002</v>
      </c>
      <c r="M430" s="8">
        <v>1240</v>
      </c>
      <c r="N430" s="9">
        <v>73.8</v>
      </c>
      <c r="O430" s="9">
        <f t="shared" si="40"/>
        <v>91512</v>
      </c>
      <c r="P430" s="75">
        <f t="shared" si="42"/>
        <v>6.7376830062268516</v>
      </c>
      <c r="Q430" s="78">
        <f t="shared" si="41"/>
        <v>6.5157141938237846</v>
      </c>
      <c r="R430" s="7" t="s">
        <v>160</v>
      </c>
      <c r="S430" s="80" t="s">
        <v>19</v>
      </c>
      <c r="T430" s="7" t="s">
        <v>22</v>
      </c>
      <c r="U430" s="7"/>
    </row>
    <row r="431" spans="1:21" x14ac:dyDescent="0.3">
      <c r="A431" s="10" t="s">
        <v>156</v>
      </c>
      <c r="B431" s="10" t="s">
        <v>157</v>
      </c>
      <c r="C431" s="37">
        <v>1380004385</v>
      </c>
      <c r="D431" s="11">
        <v>2020</v>
      </c>
      <c r="E431" s="10" t="s">
        <v>23</v>
      </c>
      <c r="F431" s="41">
        <f t="shared" si="37"/>
        <v>2.7536144386961495E-5</v>
      </c>
      <c r="G431" s="8">
        <v>8</v>
      </c>
      <c r="H431" s="36">
        <f t="shared" si="38"/>
        <v>21017.780220289154</v>
      </c>
      <c r="I431" s="37">
        <v>380</v>
      </c>
      <c r="J431" s="12">
        <v>0.13300000000000001</v>
      </c>
      <c r="K431" s="12">
        <v>7</v>
      </c>
      <c r="L431" s="40">
        <f t="shared" si="39"/>
        <v>353.78000000000003</v>
      </c>
      <c r="M431" s="11">
        <v>280</v>
      </c>
      <c r="N431" s="12">
        <v>73.8</v>
      </c>
      <c r="O431" s="9">
        <f t="shared" si="40"/>
        <v>20664</v>
      </c>
      <c r="P431" s="75">
        <f t="shared" si="42"/>
        <v>1.5230227127350147</v>
      </c>
      <c r="Q431" s="78">
        <f t="shared" si="41"/>
        <v>1.5114833783216208</v>
      </c>
      <c r="R431" s="10" t="s">
        <v>161</v>
      </c>
      <c r="S431" s="81" t="s">
        <v>25</v>
      </c>
      <c r="T431" s="10" t="s">
        <v>15</v>
      </c>
      <c r="U431" s="4"/>
    </row>
    <row r="432" spans="1:21" x14ac:dyDescent="0.3">
      <c r="A432" s="7" t="s">
        <v>156</v>
      </c>
      <c r="B432" s="7" t="s">
        <v>157</v>
      </c>
      <c r="C432" s="36">
        <v>1380004385</v>
      </c>
      <c r="D432" s="8">
        <v>2020</v>
      </c>
      <c r="E432" s="7" t="s">
        <v>26</v>
      </c>
      <c r="F432" s="41" t="e">
        <f t="shared" si="37"/>
        <v>#VALUE!</v>
      </c>
      <c r="G432" s="11">
        <v>6</v>
      </c>
      <c r="H432" s="36" t="e">
        <f t="shared" si="38"/>
        <v>#VALUE!</v>
      </c>
      <c r="I432" s="73" t="s">
        <v>12</v>
      </c>
      <c r="J432" s="9">
        <v>0.128</v>
      </c>
      <c r="K432" s="9">
        <v>5</v>
      </c>
      <c r="L432" s="40" t="e">
        <f t="shared" si="39"/>
        <v>#VALUE!</v>
      </c>
      <c r="M432" s="18" t="s">
        <v>12</v>
      </c>
      <c r="N432" s="9">
        <v>73.8</v>
      </c>
      <c r="O432" s="9" t="e">
        <f t="shared" si="40"/>
        <v>#VALUE!</v>
      </c>
      <c r="P432" s="75" t="e">
        <f t="shared" si="42"/>
        <v>#VALUE!</v>
      </c>
      <c r="Q432" s="78" t="e">
        <f t="shared" si="41"/>
        <v>#VALUE!</v>
      </c>
      <c r="R432" s="7" t="s">
        <v>162</v>
      </c>
      <c r="S432" s="80" t="s">
        <v>28</v>
      </c>
      <c r="T432" s="7" t="s">
        <v>163</v>
      </c>
      <c r="U432" s="3" t="s">
        <v>16</v>
      </c>
    </row>
    <row r="433" spans="1:21" x14ac:dyDescent="0.3">
      <c r="A433" s="10" t="s">
        <v>156</v>
      </c>
      <c r="B433" s="10" t="s">
        <v>157</v>
      </c>
      <c r="C433" s="37">
        <v>1380004385</v>
      </c>
      <c r="D433" s="11">
        <v>2020</v>
      </c>
      <c r="E433" s="10" t="s">
        <v>30</v>
      </c>
      <c r="F433" s="41">
        <f t="shared" si="37"/>
        <v>1.6231832480735196E-5</v>
      </c>
      <c r="G433" s="8">
        <v>6</v>
      </c>
      <c r="H433" s="36">
        <f t="shared" si="38"/>
        <v>209699.52009739098</v>
      </c>
      <c r="I433" s="37">
        <v>224</v>
      </c>
      <c r="J433" s="12">
        <v>0.12</v>
      </c>
      <c r="K433" s="12">
        <v>4</v>
      </c>
      <c r="L433" s="40">
        <f t="shared" si="39"/>
        <v>107.52</v>
      </c>
      <c r="M433" s="11">
        <v>2840</v>
      </c>
      <c r="N433" s="12">
        <v>73.8</v>
      </c>
      <c r="O433" s="9">
        <f t="shared" si="40"/>
        <v>209592</v>
      </c>
      <c r="P433" s="75">
        <f t="shared" si="42"/>
        <v>15.19556911389024</v>
      </c>
      <c r="Q433" s="78">
        <f t="shared" si="41"/>
        <v>14.09736576232331</v>
      </c>
      <c r="R433" s="10" t="s">
        <v>164</v>
      </c>
      <c r="S433" s="81" t="s">
        <v>29</v>
      </c>
      <c r="T433" s="10" t="s">
        <v>33</v>
      </c>
      <c r="U433" s="10"/>
    </row>
    <row r="434" spans="1:21" ht="22.8" x14ac:dyDescent="0.3">
      <c r="A434" s="7" t="s">
        <v>156</v>
      </c>
      <c r="B434" s="7" t="s">
        <v>157</v>
      </c>
      <c r="C434" s="36">
        <v>1393409038</v>
      </c>
      <c r="D434" s="8">
        <v>2021</v>
      </c>
      <c r="E434" s="7" t="s">
        <v>11</v>
      </c>
      <c r="F434" s="41">
        <f t="shared" si="37"/>
        <v>8.8990380152823432E-5</v>
      </c>
      <c r="G434" s="11">
        <v>9</v>
      </c>
      <c r="H434" s="36">
        <f t="shared" si="38"/>
        <v>51503.360800913419</v>
      </c>
      <c r="I434" s="36">
        <v>1240</v>
      </c>
      <c r="J434" s="9">
        <v>0.13300000000000001</v>
      </c>
      <c r="K434" s="9">
        <v>8</v>
      </c>
      <c r="L434" s="40">
        <f t="shared" si="39"/>
        <v>1319.3600000000001</v>
      </c>
      <c r="M434" s="8">
        <v>680</v>
      </c>
      <c r="N434" s="9">
        <v>73.8</v>
      </c>
      <c r="O434" s="9">
        <f t="shared" si="40"/>
        <v>50184</v>
      </c>
      <c r="P434" s="75">
        <f t="shared" si="42"/>
        <v>3.6962126264687987</v>
      </c>
      <c r="Q434" s="78">
        <f t="shared" si="41"/>
        <v>3.6287365944903005</v>
      </c>
      <c r="R434" s="7" t="s">
        <v>158</v>
      </c>
      <c r="S434" s="80" t="s">
        <v>19</v>
      </c>
      <c r="T434" s="7" t="s">
        <v>78</v>
      </c>
      <c r="U434" s="7"/>
    </row>
    <row r="435" spans="1:21" ht="22.8" x14ac:dyDescent="0.3">
      <c r="A435" s="10" t="s">
        <v>156</v>
      </c>
      <c r="B435" s="10" t="s">
        <v>157</v>
      </c>
      <c r="C435" s="37">
        <v>1393409038</v>
      </c>
      <c r="D435" s="11">
        <v>2021</v>
      </c>
      <c r="E435" s="10" t="s">
        <v>17</v>
      </c>
      <c r="F435" s="41">
        <f t="shared" si="37"/>
        <v>3.4447889091415525E-5</v>
      </c>
      <c r="G435" s="8">
        <v>7</v>
      </c>
      <c r="H435" s="36">
        <f t="shared" si="38"/>
        <v>2154.2402411352236</v>
      </c>
      <c r="I435" s="37">
        <v>480</v>
      </c>
      <c r="J435" s="12">
        <v>0.13300000000000001</v>
      </c>
      <c r="K435" s="12">
        <v>6</v>
      </c>
      <c r="L435" s="40">
        <f t="shared" si="39"/>
        <v>383.04</v>
      </c>
      <c r="M435" s="11">
        <v>24</v>
      </c>
      <c r="N435" s="12">
        <v>73.8</v>
      </c>
      <c r="O435" s="9">
        <f t="shared" si="40"/>
        <v>1771.1999999999998</v>
      </c>
      <c r="P435" s="75">
        <f t="shared" si="42"/>
        <v>0.15460214354768839</v>
      </c>
      <c r="Q435" s="78">
        <f t="shared" si="41"/>
        <v>0.15448269599782627</v>
      </c>
      <c r="R435" s="10" t="s">
        <v>159</v>
      </c>
      <c r="S435" s="81" t="s">
        <v>19</v>
      </c>
      <c r="T435" s="10" t="s">
        <v>99</v>
      </c>
      <c r="U435" s="10"/>
    </row>
    <row r="436" spans="1:21" ht="22.8" x14ac:dyDescent="0.3">
      <c r="A436" s="7" t="s">
        <v>156</v>
      </c>
      <c r="B436" s="7" t="s">
        <v>157</v>
      </c>
      <c r="C436" s="36">
        <v>1393409038</v>
      </c>
      <c r="D436" s="8">
        <v>2021</v>
      </c>
      <c r="E436" s="7" t="s">
        <v>20</v>
      </c>
      <c r="F436" s="41">
        <f t="shared" si="37"/>
        <v>1.3205024151709285E-4</v>
      </c>
      <c r="G436" s="11">
        <v>7</v>
      </c>
      <c r="H436" s="36">
        <f t="shared" si="38"/>
        <v>92980.32092435169</v>
      </c>
      <c r="I436" s="36">
        <v>1840</v>
      </c>
      <c r="J436" s="9">
        <v>0.13300000000000001</v>
      </c>
      <c r="K436" s="9">
        <v>6</v>
      </c>
      <c r="L436" s="40">
        <f t="shared" si="39"/>
        <v>1468.3200000000002</v>
      </c>
      <c r="M436" s="8">
        <v>1240</v>
      </c>
      <c r="N436" s="9">
        <v>73.8</v>
      </c>
      <c r="O436" s="9">
        <f t="shared" si="40"/>
        <v>91512</v>
      </c>
      <c r="P436" s="75">
        <f t="shared" si="42"/>
        <v>6.6728662143464357</v>
      </c>
      <c r="Q436" s="78">
        <f t="shared" si="41"/>
        <v>6.4551010372221889</v>
      </c>
      <c r="R436" s="7" t="s">
        <v>160</v>
      </c>
      <c r="S436" s="80" t="s">
        <v>19</v>
      </c>
      <c r="T436" s="7" t="s">
        <v>22</v>
      </c>
      <c r="U436" s="7"/>
    </row>
    <row r="437" spans="1:21" x14ac:dyDescent="0.3">
      <c r="A437" s="10" t="s">
        <v>156</v>
      </c>
      <c r="B437" s="10" t="s">
        <v>157</v>
      </c>
      <c r="C437" s="37">
        <v>1393409038</v>
      </c>
      <c r="D437" s="11">
        <v>2021</v>
      </c>
      <c r="E437" s="10" t="s">
        <v>23</v>
      </c>
      <c r="F437" s="41">
        <f t="shared" si="37"/>
        <v>2.7271245530703957E-5</v>
      </c>
      <c r="G437" s="8">
        <v>8</v>
      </c>
      <c r="H437" s="36">
        <f t="shared" si="38"/>
        <v>21017.780218169963</v>
      </c>
      <c r="I437" s="37">
        <v>380</v>
      </c>
      <c r="J437" s="12">
        <v>0.13300000000000001</v>
      </c>
      <c r="K437" s="12">
        <v>7</v>
      </c>
      <c r="L437" s="40">
        <f t="shared" si="39"/>
        <v>353.78000000000003</v>
      </c>
      <c r="M437" s="11">
        <v>280</v>
      </c>
      <c r="N437" s="12">
        <v>73.8</v>
      </c>
      <c r="O437" s="9">
        <f t="shared" si="40"/>
        <v>20664</v>
      </c>
      <c r="P437" s="75">
        <f t="shared" si="42"/>
        <v>1.5083711706318044</v>
      </c>
      <c r="Q437" s="78">
        <f t="shared" si="41"/>
        <v>1.4970522346752335</v>
      </c>
      <c r="R437" s="10" t="s">
        <v>161</v>
      </c>
      <c r="S437" s="81" t="s">
        <v>25</v>
      </c>
      <c r="T437" s="10" t="s">
        <v>15</v>
      </c>
      <c r="U437" s="4"/>
    </row>
    <row r="438" spans="1:21" x14ac:dyDescent="0.3">
      <c r="A438" s="7" t="s">
        <v>156</v>
      </c>
      <c r="B438" s="7" t="s">
        <v>157</v>
      </c>
      <c r="C438" s="36">
        <v>1393409038</v>
      </c>
      <c r="D438" s="8">
        <v>2021</v>
      </c>
      <c r="E438" s="7" t="s">
        <v>26</v>
      </c>
      <c r="F438" s="41" t="e">
        <f t="shared" si="37"/>
        <v>#VALUE!</v>
      </c>
      <c r="G438" s="11">
        <v>6</v>
      </c>
      <c r="H438" s="36" t="e">
        <f t="shared" si="38"/>
        <v>#VALUE!</v>
      </c>
      <c r="I438" s="73" t="s">
        <v>12</v>
      </c>
      <c r="J438" s="9">
        <v>0.128</v>
      </c>
      <c r="K438" s="9">
        <v>5</v>
      </c>
      <c r="L438" s="40" t="e">
        <f t="shared" si="39"/>
        <v>#VALUE!</v>
      </c>
      <c r="M438" s="18" t="s">
        <v>12</v>
      </c>
      <c r="N438" s="9">
        <v>73.8</v>
      </c>
      <c r="O438" s="9" t="e">
        <f t="shared" si="40"/>
        <v>#VALUE!</v>
      </c>
      <c r="P438" s="75" t="e">
        <f t="shared" si="42"/>
        <v>#VALUE!</v>
      </c>
      <c r="Q438" s="78" t="e">
        <f t="shared" si="41"/>
        <v>#VALUE!</v>
      </c>
      <c r="R438" s="7" t="s">
        <v>162</v>
      </c>
      <c r="S438" s="80" t="s">
        <v>28</v>
      </c>
      <c r="T438" s="7" t="s">
        <v>163</v>
      </c>
      <c r="U438" s="3" t="s">
        <v>16</v>
      </c>
    </row>
    <row r="439" spans="1:21" x14ac:dyDescent="0.3">
      <c r="A439" s="10" t="s">
        <v>156</v>
      </c>
      <c r="B439" s="10" t="s">
        <v>157</v>
      </c>
      <c r="C439" s="37">
        <v>1393409038</v>
      </c>
      <c r="D439" s="11">
        <v>2021</v>
      </c>
      <c r="E439" s="10" t="s">
        <v>30</v>
      </c>
      <c r="F439" s="41">
        <f t="shared" si="37"/>
        <v>1.6075681575993911E-5</v>
      </c>
      <c r="G439" s="8">
        <v>6</v>
      </c>
      <c r="H439" s="36">
        <f t="shared" si="38"/>
        <v>209699.52009645407</v>
      </c>
      <c r="I439" s="37">
        <v>224</v>
      </c>
      <c r="J439" s="12">
        <v>0.12</v>
      </c>
      <c r="K439" s="12">
        <v>4</v>
      </c>
      <c r="L439" s="40">
        <f t="shared" si="39"/>
        <v>107.52</v>
      </c>
      <c r="M439" s="11">
        <v>2840</v>
      </c>
      <c r="N439" s="12">
        <v>73.8</v>
      </c>
      <c r="O439" s="9">
        <f t="shared" si="40"/>
        <v>209592</v>
      </c>
      <c r="P439" s="75">
        <f t="shared" si="42"/>
        <v>15.049387105845231</v>
      </c>
      <c r="Q439" s="78">
        <f t="shared" si="41"/>
        <v>13.971699738450717</v>
      </c>
      <c r="R439" s="10" t="s">
        <v>164</v>
      </c>
      <c r="S439" s="81" t="s">
        <v>29</v>
      </c>
      <c r="T439" s="10" t="s">
        <v>33</v>
      </c>
      <c r="U439" s="10"/>
    </row>
    <row r="440" spans="1:21" ht="22.8" x14ac:dyDescent="0.3">
      <c r="A440" s="7" t="s">
        <v>156</v>
      </c>
      <c r="B440" s="7" t="s">
        <v>157</v>
      </c>
      <c r="C440" s="36">
        <v>1406631776</v>
      </c>
      <c r="D440" s="8">
        <v>2022</v>
      </c>
      <c r="E440" s="7" t="s">
        <v>11</v>
      </c>
      <c r="F440" s="41">
        <f t="shared" si="37"/>
        <v>8.8153845317368967E-5</v>
      </c>
      <c r="G440" s="11">
        <v>9</v>
      </c>
      <c r="H440" s="36">
        <f t="shared" si="38"/>
        <v>51503.360793384607</v>
      </c>
      <c r="I440" s="36">
        <v>1240</v>
      </c>
      <c r="J440" s="9">
        <v>0.13300000000000001</v>
      </c>
      <c r="K440" s="9">
        <v>8</v>
      </c>
      <c r="L440" s="40">
        <f t="shared" si="39"/>
        <v>1319.3600000000001</v>
      </c>
      <c r="M440" s="8">
        <v>680</v>
      </c>
      <c r="N440" s="9">
        <v>73.8</v>
      </c>
      <c r="O440" s="9">
        <f t="shared" si="40"/>
        <v>50184</v>
      </c>
      <c r="P440" s="75">
        <f t="shared" si="42"/>
        <v>3.6614671779876389</v>
      </c>
      <c r="Q440" s="78">
        <f t="shared" si="41"/>
        <v>3.5952461489472731</v>
      </c>
      <c r="R440" s="7" t="s">
        <v>158</v>
      </c>
      <c r="S440" s="80" t="s">
        <v>19</v>
      </c>
      <c r="T440" s="7" t="s">
        <v>78</v>
      </c>
      <c r="U440" s="7"/>
    </row>
    <row r="441" spans="1:21" ht="22.8" x14ac:dyDescent="0.3">
      <c r="A441" s="10" t="s">
        <v>156</v>
      </c>
      <c r="B441" s="10" t="s">
        <v>157</v>
      </c>
      <c r="C441" s="37">
        <v>1406631776</v>
      </c>
      <c r="D441" s="11">
        <v>2022</v>
      </c>
      <c r="E441" s="10" t="s">
        <v>17</v>
      </c>
      <c r="F441" s="41">
        <f t="shared" si="37"/>
        <v>3.4124069155110567E-5</v>
      </c>
      <c r="G441" s="8">
        <v>7</v>
      </c>
      <c r="H441" s="36">
        <f t="shared" si="38"/>
        <v>2154.2402388684841</v>
      </c>
      <c r="I441" s="37">
        <v>480</v>
      </c>
      <c r="J441" s="12">
        <v>0.13300000000000001</v>
      </c>
      <c r="K441" s="12">
        <v>6</v>
      </c>
      <c r="L441" s="40">
        <f t="shared" si="39"/>
        <v>383.04</v>
      </c>
      <c r="M441" s="11">
        <v>24</v>
      </c>
      <c r="N441" s="12">
        <v>73.8</v>
      </c>
      <c r="O441" s="9">
        <f t="shared" si="40"/>
        <v>1771.1999999999998</v>
      </c>
      <c r="P441" s="75">
        <f t="shared" si="42"/>
        <v>0.15314883934972931</v>
      </c>
      <c r="Q441" s="78">
        <f t="shared" si="41"/>
        <v>0.153031626359168</v>
      </c>
      <c r="R441" s="10" t="s">
        <v>159</v>
      </c>
      <c r="S441" s="81" t="s">
        <v>19</v>
      </c>
      <c r="T441" s="10" t="s">
        <v>99</v>
      </c>
      <c r="U441" s="10"/>
    </row>
    <row r="442" spans="1:21" ht="22.8" x14ac:dyDescent="0.3">
      <c r="A442" s="7" t="s">
        <v>156</v>
      </c>
      <c r="B442" s="7" t="s">
        <v>157</v>
      </c>
      <c r="C442" s="36">
        <v>1406631776</v>
      </c>
      <c r="D442" s="8">
        <v>2022</v>
      </c>
      <c r="E442" s="7" t="s">
        <v>20</v>
      </c>
      <c r="F442" s="41">
        <f t="shared" si="37"/>
        <v>1.3080893176125718E-4</v>
      </c>
      <c r="G442" s="11">
        <v>7</v>
      </c>
      <c r="H442" s="36">
        <f t="shared" si="38"/>
        <v>92980.320915662523</v>
      </c>
      <c r="I442" s="36">
        <v>1840</v>
      </c>
      <c r="J442" s="9">
        <v>0.13300000000000001</v>
      </c>
      <c r="K442" s="9">
        <v>6</v>
      </c>
      <c r="L442" s="40">
        <f t="shared" si="39"/>
        <v>1468.3200000000002</v>
      </c>
      <c r="M442" s="8">
        <v>1240</v>
      </c>
      <c r="N442" s="9">
        <v>73.8</v>
      </c>
      <c r="O442" s="9">
        <f t="shared" si="40"/>
        <v>91512</v>
      </c>
      <c r="P442" s="75">
        <f t="shared" si="42"/>
        <v>6.6101393770634207</v>
      </c>
      <c r="Q442" s="78">
        <f t="shared" si="41"/>
        <v>6.396404873464256</v>
      </c>
      <c r="R442" s="7" t="s">
        <v>160</v>
      </c>
      <c r="S442" s="80" t="s">
        <v>19</v>
      </c>
      <c r="T442" s="7" t="s">
        <v>22</v>
      </c>
      <c r="U442" s="7"/>
    </row>
    <row r="443" spans="1:21" x14ac:dyDescent="0.3">
      <c r="A443" s="10" t="s">
        <v>156</v>
      </c>
      <c r="B443" s="10" t="s">
        <v>157</v>
      </c>
      <c r="C443" s="37">
        <v>1406631776</v>
      </c>
      <c r="D443" s="11">
        <v>2022</v>
      </c>
      <c r="E443" s="10" t="s">
        <v>23</v>
      </c>
      <c r="F443" s="41">
        <f t="shared" si="37"/>
        <v>2.70148880811292E-5</v>
      </c>
      <c r="G443" s="8">
        <v>8</v>
      </c>
      <c r="H443" s="36">
        <f t="shared" si="38"/>
        <v>21017.780216119103</v>
      </c>
      <c r="I443" s="37">
        <v>380</v>
      </c>
      <c r="J443" s="12">
        <v>0.13300000000000001</v>
      </c>
      <c r="K443" s="12">
        <v>7</v>
      </c>
      <c r="L443" s="40">
        <f t="shared" si="39"/>
        <v>353.78000000000003</v>
      </c>
      <c r="M443" s="11">
        <v>280</v>
      </c>
      <c r="N443" s="12">
        <v>73.8</v>
      </c>
      <c r="O443" s="9">
        <f t="shared" si="40"/>
        <v>20664</v>
      </c>
      <c r="P443" s="75">
        <f t="shared" si="42"/>
        <v>1.4941920532953397</v>
      </c>
      <c r="Q443" s="78">
        <f t="shared" si="41"/>
        <v>1.4830843958969941</v>
      </c>
      <c r="R443" s="10" t="s">
        <v>161</v>
      </c>
      <c r="S443" s="81" t="s">
        <v>25</v>
      </c>
      <c r="T443" s="10" t="s">
        <v>15</v>
      </c>
      <c r="U443" s="4"/>
    </row>
    <row r="444" spans="1:21" x14ac:dyDescent="0.3">
      <c r="A444" s="7" t="s">
        <v>156</v>
      </c>
      <c r="B444" s="7" t="s">
        <v>157</v>
      </c>
      <c r="C444" s="36">
        <v>1406631776</v>
      </c>
      <c r="D444" s="8">
        <v>2022</v>
      </c>
      <c r="E444" s="7" t="s">
        <v>26</v>
      </c>
      <c r="F444" s="41" t="e">
        <f t="shared" si="37"/>
        <v>#VALUE!</v>
      </c>
      <c r="G444" s="11">
        <v>6</v>
      </c>
      <c r="H444" s="36" t="e">
        <f t="shared" si="38"/>
        <v>#VALUE!</v>
      </c>
      <c r="I444" s="73" t="s">
        <v>12</v>
      </c>
      <c r="J444" s="9">
        <v>0.128</v>
      </c>
      <c r="K444" s="9">
        <v>5</v>
      </c>
      <c r="L444" s="40" t="e">
        <f t="shared" si="39"/>
        <v>#VALUE!</v>
      </c>
      <c r="M444" s="18" t="s">
        <v>12</v>
      </c>
      <c r="N444" s="9">
        <v>73.8</v>
      </c>
      <c r="O444" s="9" t="e">
        <f t="shared" si="40"/>
        <v>#VALUE!</v>
      </c>
      <c r="P444" s="75" t="e">
        <f t="shared" si="42"/>
        <v>#VALUE!</v>
      </c>
      <c r="Q444" s="78" t="e">
        <f t="shared" si="41"/>
        <v>#VALUE!</v>
      </c>
      <c r="R444" s="7" t="s">
        <v>162</v>
      </c>
      <c r="S444" s="80" t="s">
        <v>28</v>
      </c>
      <c r="T444" s="7" t="s">
        <v>163</v>
      </c>
      <c r="U444" s="3" t="s">
        <v>16</v>
      </c>
    </row>
    <row r="445" spans="1:21" x14ac:dyDescent="0.3">
      <c r="A445" s="10" t="s">
        <v>156</v>
      </c>
      <c r="B445" s="10" t="s">
        <v>157</v>
      </c>
      <c r="C445" s="37">
        <v>1406631776</v>
      </c>
      <c r="D445" s="11">
        <v>2022</v>
      </c>
      <c r="E445" s="10" t="s">
        <v>30</v>
      </c>
      <c r="F445" s="41">
        <f t="shared" si="37"/>
        <v>1.5924565605718266E-5</v>
      </c>
      <c r="G445" s="8">
        <v>6</v>
      </c>
      <c r="H445" s="36">
        <f t="shared" si="38"/>
        <v>209699.52009554737</v>
      </c>
      <c r="I445" s="37">
        <v>224</v>
      </c>
      <c r="J445" s="12">
        <v>0.12</v>
      </c>
      <c r="K445" s="12">
        <v>4</v>
      </c>
      <c r="L445" s="40">
        <f t="shared" si="39"/>
        <v>107.52</v>
      </c>
      <c r="M445" s="11">
        <v>2840</v>
      </c>
      <c r="N445" s="12">
        <v>73.8</v>
      </c>
      <c r="O445" s="9">
        <f t="shared" si="40"/>
        <v>209592</v>
      </c>
      <c r="P445" s="75">
        <f t="shared" si="42"/>
        <v>14.90791859486241</v>
      </c>
      <c r="Q445" s="78">
        <f t="shared" si="41"/>
        <v>13.849910656758379</v>
      </c>
      <c r="R445" s="10" t="s">
        <v>164</v>
      </c>
      <c r="S445" s="81" t="s">
        <v>29</v>
      </c>
      <c r="T445" s="10" t="s">
        <v>33</v>
      </c>
      <c r="U445" s="10"/>
    </row>
    <row r="446" spans="1:21" ht="22.8" x14ac:dyDescent="0.3">
      <c r="A446" s="7" t="s">
        <v>156</v>
      </c>
      <c r="B446" s="7" t="s">
        <v>157</v>
      </c>
      <c r="C446" s="36">
        <v>1428627663</v>
      </c>
      <c r="D446" s="8">
        <v>2023</v>
      </c>
      <c r="E446" s="7" t="s">
        <v>11</v>
      </c>
      <c r="F446" s="41">
        <f t="shared" si="37"/>
        <v>8.6796583330614119E-5</v>
      </c>
      <c r="G446" s="11">
        <v>9</v>
      </c>
      <c r="H446" s="36">
        <f t="shared" si="38"/>
        <v>51503.360781169249</v>
      </c>
      <c r="I446" s="36">
        <v>1240</v>
      </c>
      <c r="J446" s="9">
        <v>0.13300000000000001</v>
      </c>
      <c r="K446" s="9">
        <v>8</v>
      </c>
      <c r="L446" s="40">
        <f t="shared" si="39"/>
        <v>1319.3600000000001</v>
      </c>
      <c r="M446" s="8">
        <v>680</v>
      </c>
      <c r="N446" s="9">
        <v>73.8</v>
      </c>
      <c r="O446" s="9">
        <f t="shared" si="40"/>
        <v>50184</v>
      </c>
      <c r="P446" s="75">
        <f t="shared" si="42"/>
        <v>3.6050933434269674</v>
      </c>
      <c r="Q446" s="78">
        <f t="shared" si="41"/>
        <v>3.540883770863823</v>
      </c>
      <c r="R446" s="7" t="s">
        <v>158</v>
      </c>
      <c r="S446" s="80" t="s">
        <v>19</v>
      </c>
      <c r="T446" s="7" t="s">
        <v>78</v>
      </c>
      <c r="U446" s="7"/>
    </row>
    <row r="447" spans="1:21" ht="22.8" x14ac:dyDescent="0.3">
      <c r="A447" s="10" t="s">
        <v>156</v>
      </c>
      <c r="B447" s="10" t="s">
        <v>157</v>
      </c>
      <c r="C447" s="37">
        <v>1428627663</v>
      </c>
      <c r="D447" s="11">
        <v>2023</v>
      </c>
      <c r="E447" s="10" t="s">
        <v>17</v>
      </c>
      <c r="F447" s="41">
        <f t="shared" si="37"/>
        <v>3.3598677418302238E-5</v>
      </c>
      <c r="G447" s="8">
        <v>7</v>
      </c>
      <c r="H447" s="36">
        <f t="shared" si="38"/>
        <v>2154.2402351907417</v>
      </c>
      <c r="I447" s="37">
        <v>480</v>
      </c>
      <c r="J447" s="12">
        <v>0.13300000000000001</v>
      </c>
      <c r="K447" s="12">
        <v>6</v>
      </c>
      <c r="L447" s="40">
        <f t="shared" si="39"/>
        <v>383.04</v>
      </c>
      <c r="M447" s="11">
        <v>24</v>
      </c>
      <c r="N447" s="12">
        <v>73.8</v>
      </c>
      <c r="O447" s="9">
        <f t="shared" si="40"/>
        <v>1771.1999999999998</v>
      </c>
      <c r="P447" s="75">
        <f t="shared" si="42"/>
        <v>0.15079088071604432</v>
      </c>
      <c r="Q447" s="78">
        <f t="shared" si="41"/>
        <v>0.15067724839041841</v>
      </c>
      <c r="R447" s="10" t="s">
        <v>159</v>
      </c>
      <c r="S447" s="81" t="s">
        <v>19</v>
      </c>
      <c r="T447" s="10" t="s">
        <v>99</v>
      </c>
      <c r="U447" s="10"/>
    </row>
    <row r="448" spans="1:21" ht="22.8" x14ac:dyDescent="0.3">
      <c r="A448" s="7" t="s">
        <v>156</v>
      </c>
      <c r="B448" s="7" t="s">
        <v>157</v>
      </c>
      <c r="C448" s="36">
        <v>1428627663</v>
      </c>
      <c r="D448" s="8">
        <v>2023</v>
      </c>
      <c r="E448" s="7" t="s">
        <v>20</v>
      </c>
      <c r="F448" s="41">
        <f t="shared" si="37"/>
        <v>1.2879493010349192E-4</v>
      </c>
      <c r="G448" s="11">
        <v>7</v>
      </c>
      <c r="H448" s="36">
        <f t="shared" si="38"/>
        <v>92980.320901564512</v>
      </c>
      <c r="I448" s="36">
        <v>1840</v>
      </c>
      <c r="J448" s="9">
        <v>0.13300000000000001</v>
      </c>
      <c r="K448" s="9">
        <v>6</v>
      </c>
      <c r="L448" s="40">
        <f t="shared" si="39"/>
        <v>1468.3200000000002</v>
      </c>
      <c r="M448" s="8">
        <v>1240</v>
      </c>
      <c r="N448" s="9">
        <v>73.8</v>
      </c>
      <c r="O448" s="9">
        <f t="shared" si="40"/>
        <v>91512</v>
      </c>
      <c r="P448" s="75">
        <f t="shared" si="42"/>
        <v>6.50836626712894</v>
      </c>
      <c r="Q448" s="78">
        <f t="shared" si="41"/>
        <v>6.3010930910377567</v>
      </c>
      <c r="R448" s="7" t="s">
        <v>160</v>
      </c>
      <c r="S448" s="80" t="s">
        <v>19</v>
      </c>
      <c r="T448" s="7" t="s">
        <v>22</v>
      </c>
      <c r="U448" s="7"/>
    </row>
    <row r="449" spans="1:21" x14ac:dyDescent="0.3">
      <c r="A449" s="10" t="s">
        <v>156</v>
      </c>
      <c r="B449" s="10" t="s">
        <v>157</v>
      </c>
      <c r="C449" s="37">
        <v>1428627663</v>
      </c>
      <c r="D449" s="11">
        <v>2023</v>
      </c>
      <c r="E449" s="10" t="s">
        <v>23</v>
      </c>
      <c r="F449" s="41">
        <f t="shared" si="37"/>
        <v>2.659895295615594E-5</v>
      </c>
      <c r="G449" s="8">
        <v>8</v>
      </c>
      <c r="H449" s="36">
        <f t="shared" si="38"/>
        <v>21017.780212791622</v>
      </c>
      <c r="I449" s="37">
        <v>380</v>
      </c>
      <c r="J449" s="12">
        <v>0.13300000000000001</v>
      </c>
      <c r="K449" s="12">
        <v>7</v>
      </c>
      <c r="L449" s="40">
        <f t="shared" si="39"/>
        <v>353.78000000000003</v>
      </c>
      <c r="M449" s="11">
        <v>280</v>
      </c>
      <c r="N449" s="12">
        <v>73.8</v>
      </c>
      <c r="O449" s="9">
        <f t="shared" si="40"/>
        <v>20664</v>
      </c>
      <c r="P449" s="75">
        <f t="shared" si="42"/>
        <v>1.4711867029549197</v>
      </c>
      <c r="Q449" s="78">
        <f t="shared" si="41"/>
        <v>1.4604176271328817</v>
      </c>
      <c r="R449" s="10" t="s">
        <v>161</v>
      </c>
      <c r="S449" s="81" t="s">
        <v>25</v>
      </c>
      <c r="T449" s="10" t="s">
        <v>15</v>
      </c>
      <c r="U449" s="4"/>
    </row>
    <row r="450" spans="1:21" x14ac:dyDescent="0.3">
      <c r="A450" s="7" t="s">
        <v>156</v>
      </c>
      <c r="B450" s="7" t="s">
        <v>157</v>
      </c>
      <c r="C450" s="36">
        <v>1428627663</v>
      </c>
      <c r="D450" s="8">
        <v>2023</v>
      </c>
      <c r="E450" s="7" t="s">
        <v>26</v>
      </c>
      <c r="F450" s="41" t="e">
        <f t="shared" ref="F450:F513" si="43">I450*100/C450</f>
        <v>#VALUE!</v>
      </c>
      <c r="G450" s="11">
        <v>6</v>
      </c>
      <c r="H450" s="36" t="e">
        <f t="shared" ref="H450:H513" si="44">O450+L450+(G450*F450)</f>
        <v>#VALUE!</v>
      </c>
      <c r="I450" s="73" t="s">
        <v>12</v>
      </c>
      <c r="J450" s="9">
        <v>0.128</v>
      </c>
      <c r="K450" s="9">
        <v>5</v>
      </c>
      <c r="L450" s="40" t="e">
        <f t="shared" si="39"/>
        <v>#VALUE!</v>
      </c>
      <c r="M450" s="18" t="s">
        <v>12</v>
      </c>
      <c r="N450" s="9">
        <v>73.8</v>
      </c>
      <c r="O450" s="9" t="e">
        <f t="shared" si="40"/>
        <v>#VALUE!</v>
      </c>
      <c r="P450" s="75" t="e">
        <f t="shared" si="42"/>
        <v>#VALUE!</v>
      </c>
      <c r="Q450" s="78" t="e">
        <f t="shared" si="41"/>
        <v>#VALUE!</v>
      </c>
      <c r="R450" s="7" t="s">
        <v>162</v>
      </c>
      <c r="S450" s="80" t="s">
        <v>28</v>
      </c>
      <c r="T450" s="7" t="s">
        <v>163</v>
      </c>
      <c r="U450" s="3" t="s">
        <v>16</v>
      </c>
    </row>
    <row r="451" spans="1:21" x14ac:dyDescent="0.3">
      <c r="A451" s="10" t="s">
        <v>156</v>
      </c>
      <c r="B451" s="10" t="s">
        <v>157</v>
      </c>
      <c r="C451" s="37">
        <v>1428627663</v>
      </c>
      <c r="D451" s="11">
        <v>2023</v>
      </c>
      <c r="E451" s="10" t="s">
        <v>30</v>
      </c>
      <c r="F451" s="41">
        <f t="shared" si="43"/>
        <v>1.5679382795207713E-5</v>
      </c>
      <c r="G451" s="8">
        <v>6</v>
      </c>
      <c r="H451" s="36">
        <f t="shared" si="44"/>
        <v>209699.52009407629</v>
      </c>
      <c r="I451" s="37">
        <v>224</v>
      </c>
      <c r="J451" s="12">
        <v>0.12</v>
      </c>
      <c r="K451" s="12">
        <v>4</v>
      </c>
      <c r="L451" s="40">
        <f t="shared" ref="L451:L514" si="45">I451*J451*K451</f>
        <v>107.52</v>
      </c>
      <c r="M451" s="11">
        <v>2840</v>
      </c>
      <c r="N451" s="12">
        <v>73.8</v>
      </c>
      <c r="O451" s="9">
        <f t="shared" ref="O451:O514" si="46">M451*N451</f>
        <v>209592</v>
      </c>
      <c r="P451" s="75">
        <f t="shared" si="42"/>
        <v>14.678388605028454</v>
      </c>
      <c r="Q451" s="78">
        <f t="shared" ref="Q451:Q514" si="47">100*(1-EXP(-P451/100))</f>
        <v>13.651943255082733</v>
      </c>
      <c r="R451" s="10" t="s">
        <v>164</v>
      </c>
      <c r="S451" s="81" t="s">
        <v>29</v>
      </c>
      <c r="T451" s="10" t="s">
        <v>33</v>
      </c>
      <c r="U451" s="10"/>
    </row>
    <row r="452" spans="1:21" ht="22.8" x14ac:dyDescent="0.3">
      <c r="A452" s="7" t="s">
        <v>156</v>
      </c>
      <c r="B452" s="7" t="s">
        <v>157</v>
      </c>
      <c r="C452" s="36">
        <v>1441719852</v>
      </c>
      <c r="D452" s="8">
        <v>2024</v>
      </c>
      <c r="E452" s="7" t="s">
        <v>11</v>
      </c>
      <c r="F452" s="41">
        <f t="shared" si="43"/>
        <v>8.6008387709986248E-5</v>
      </c>
      <c r="G452" s="11">
        <v>9</v>
      </c>
      <c r="H452" s="36">
        <f t="shared" si="44"/>
        <v>51503.360774075489</v>
      </c>
      <c r="I452" s="36">
        <v>1240</v>
      </c>
      <c r="J452" s="9">
        <v>0.13300000000000001</v>
      </c>
      <c r="K452" s="9">
        <v>8</v>
      </c>
      <c r="L452" s="40">
        <f t="shared" si="45"/>
        <v>1319.3600000000001</v>
      </c>
      <c r="M452" s="8">
        <v>680</v>
      </c>
      <c r="N452" s="9">
        <v>73.8</v>
      </c>
      <c r="O452" s="9">
        <f t="shared" si="46"/>
        <v>50184</v>
      </c>
      <c r="P452" s="75">
        <f t="shared" si="42"/>
        <v>3.572355662761276</v>
      </c>
      <c r="Q452" s="78">
        <f t="shared" si="47"/>
        <v>3.5093001238250987</v>
      </c>
      <c r="R452" s="7" t="s">
        <v>158</v>
      </c>
      <c r="S452" s="80" t="s">
        <v>19</v>
      </c>
      <c r="T452" s="7" t="s">
        <v>78</v>
      </c>
      <c r="U452" s="7"/>
    </row>
    <row r="453" spans="1:21" ht="22.8" x14ac:dyDescent="0.3">
      <c r="A453" s="10" t="s">
        <v>156</v>
      </c>
      <c r="B453" s="10" t="s">
        <v>157</v>
      </c>
      <c r="C453" s="37">
        <v>1441719852</v>
      </c>
      <c r="D453" s="11">
        <v>2024</v>
      </c>
      <c r="E453" s="10" t="s">
        <v>17</v>
      </c>
      <c r="F453" s="41">
        <f t="shared" si="43"/>
        <v>3.329356943612371E-5</v>
      </c>
      <c r="G453" s="8">
        <v>7</v>
      </c>
      <c r="H453" s="36">
        <f t="shared" si="44"/>
        <v>2154.2402330549858</v>
      </c>
      <c r="I453" s="37">
        <v>480</v>
      </c>
      <c r="J453" s="12">
        <v>0.13300000000000001</v>
      </c>
      <c r="K453" s="12">
        <v>6</v>
      </c>
      <c r="L453" s="40">
        <f t="shared" si="45"/>
        <v>383.04</v>
      </c>
      <c r="M453" s="11">
        <v>24</v>
      </c>
      <c r="N453" s="12">
        <v>73.8</v>
      </c>
      <c r="O453" s="9">
        <f t="shared" si="46"/>
        <v>1771.1999999999998</v>
      </c>
      <c r="P453" s="75">
        <f t="shared" si="42"/>
        <v>0.14942155579439062</v>
      </c>
      <c r="Q453" s="78">
        <f t="shared" si="47"/>
        <v>0.14930997736870566</v>
      </c>
      <c r="R453" s="10" t="s">
        <v>159</v>
      </c>
      <c r="S453" s="81" t="s">
        <v>19</v>
      </c>
      <c r="T453" s="10" t="s">
        <v>99</v>
      </c>
      <c r="U453" s="10"/>
    </row>
    <row r="454" spans="1:21" ht="22.8" x14ac:dyDescent="0.3">
      <c r="A454" s="7" t="s">
        <v>156</v>
      </c>
      <c r="B454" s="7" t="s">
        <v>157</v>
      </c>
      <c r="C454" s="36">
        <v>1441719852</v>
      </c>
      <c r="D454" s="8">
        <v>2024</v>
      </c>
      <c r="E454" s="7" t="s">
        <v>20</v>
      </c>
      <c r="F454" s="41">
        <f t="shared" si="43"/>
        <v>1.2762534950514089E-4</v>
      </c>
      <c r="G454" s="11">
        <v>7</v>
      </c>
      <c r="H454" s="36">
        <f t="shared" si="44"/>
        <v>92980.320893377459</v>
      </c>
      <c r="I454" s="36">
        <v>1840</v>
      </c>
      <c r="J454" s="9">
        <v>0.13300000000000001</v>
      </c>
      <c r="K454" s="9">
        <v>6</v>
      </c>
      <c r="L454" s="40">
        <f t="shared" si="45"/>
        <v>1468.3200000000002</v>
      </c>
      <c r="M454" s="8">
        <v>1240</v>
      </c>
      <c r="N454" s="9">
        <v>73.8</v>
      </c>
      <c r="O454" s="9">
        <f t="shared" si="46"/>
        <v>91512</v>
      </c>
      <c r="P454" s="75">
        <f t="shared" si="42"/>
        <v>6.4492641038681802</v>
      </c>
      <c r="Q454" s="78">
        <f t="shared" si="47"/>
        <v>6.2456986420565075</v>
      </c>
      <c r="R454" s="7" t="s">
        <v>160</v>
      </c>
      <c r="S454" s="80" t="s">
        <v>19</v>
      </c>
      <c r="T454" s="7" t="s">
        <v>22</v>
      </c>
      <c r="U454" s="7"/>
    </row>
    <row r="455" spans="1:21" x14ac:dyDescent="0.3">
      <c r="A455" s="10" t="s">
        <v>156</v>
      </c>
      <c r="B455" s="10" t="s">
        <v>157</v>
      </c>
      <c r="C455" s="37">
        <v>1441719852</v>
      </c>
      <c r="D455" s="11">
        <v>2024</v>
      </c>
      <c r="E455" s="10" t="s">
        <v>23</v>
      </c>
      <c r="F455" s="41">
        <f t="shared" si="43"/>
        <v>2.6357409136931272E-5</v>
      </c>
      <c r="G455" s="8">
        <v>8</v>
      </c>
      <c r="H455" s="36">
        <f t="shared" si="44"/>
        <v>21017.780210859273</v>
      </c>
      <c r="I455" s="37">
        <v>380</v>
      </c>
      <c r="J455" s="12">
        <v>0.13300000000000001</v>
      </c>
      <c r="K455" s="12">
        <v>7</v>
      </c>
      <c r="L455" s="40">
        <f t="shared" si="45"/>
        <v>353.78000000000003</v>
      </c>
      <c r="M455" s="11">
        <v>280</v>
      </c>
      <c r="N455" s="12">
        <v>73.8</v>
      </c>
      <c r="O455" s="9">
        <f t="shared" si="46"/>
        <v>20664</v>
      </c>
      <c r="P455" s="75">
        <f t="shared" si="42"/>
        <v>1.457826926757146</v>
      </c>
      <c r="Q455" s="78">
        <f t="shared" si="47"/>
        <v>1.4472520800374089</v>
      </c>
      <c r="R455" s="10" t="s">
        <v>161</v>
      </c>
      <c r="S455" s="81" t="s">
        <v>25</v>
      </c>
      <c r="T455" s="10" t="s">
        <v>15</v>
      </c>
      <c r="U455" s="10"/>
    </row>
    <row r="456" spans="1:21" x14ac:dyDescent="0.3">
      <c r="A456" s="7" t="s">
        <v>156</v>
      </c>
      <c r="B456" s="7" t="s">
        <v>157</v>
      </c>
      <c r="C456" s="36">
        <v>1441719852</v>
      </c>
      <c r="D456" s="8">
        <v>2024</v>
      </c>
      <c r="E456" s="7" t="s">
        <v>26</v>
      </c>
      <c r="F456" s="41" t="e">
        <f t="shared" si="43"/>
        <v>#VALUE!</v>
      </c>
      <c r="G456" s="11">
        <v>6</v>
      </c>
      <c r="H456" s="36" t="e">
        <f t="shared" si="44"/>
        <v>#VALUE!</v>
      </c>
      <c r="I456" s="73" t="s">
        <v>12</v>
      </c>
      <c r="J456" s="9">
        <v>0.128</v>
      </c>
      <c r="K456" s="9">
        <v>5</v>
      </c>
      <c r="L456" s="40" t="e">
        <f t="shared" si="45"/>
        <v>#VALUE!</v>
      </c>
      <c r="M456" s="18" t="s">
        <v>12</v>
      </c>
      <c r="N456" s="9">
        <v>73.8</v>
      </c>
      <c r="O456" s="9" t="e">
        <f t="shared" si="46"/>
        <v>#VALUE!</v>
      </c>
      <c r="P456" s="75" t="e">
        <f t="shared" si="42"/>
        <v>#VALUE!</v>
      </c>
      <c r="Q456" s="78" t="e">
        <f t="shared" si="47"/>
        <v>#VALUE!</v>
      </c>
      <c r="R456" s="7" t="s">
        <v>162</v>
      </c>
      <c r="S456" s="80" t="s">
        <v>28</v>
      </c>
      <c r="T456" s="7" t="s">
        <v>163</v>
      </c>
      <c r="U456" s="3" t="s">
        <v>16</v>
      </c>
    </row>
    <row r="457" spans="1:21" x14ac:dyDescent="0.3">
      <c r="A457" s="10" t="s">
        <v>156</v>
      </c>
      <c r="B457" s="10" t="s">
        <v>157</v>
      </c>
      <c r="C457" s="37">
        <v>1441719852</v>
      </c>
      <c r="D457" s="11">
        <v>2024</v>
      </c>
      <c r="E457" s="10" t="s">
        <v>30</v>
      </c>
      <c r="F457" s="41">
        <f t="shared" si="43"/>
        <v>1.5536999070191067E-5</v>
      </c>
      <c r="G457" s="8">
        <v>6</v>
      </c>
      <c r="H457" s="36">
        <f t="shared" si="44"/>
        <v>209699.52009322197</v>
      </c>
      <c r="I457" s="37">
        <v>224</v>
      </c>
      <c r="J457" s="12">
        <v>0.12</v>
      </c>
      <c r="K457" s="12">
        <v>4</v>
      </c>
      <c r="L457" s="40">
        <f t="shared" si="45"/>
        <v>107.52</v>
      </c>
      <c r="M457" s="11">
        <v>2840</v>
      </c>
      <c r="N457" s="12">
        <v>73.8</v>
      </c>
      <c r="O457" s="9">
        <f t="shared" si="46"/>
        <v>209592</v>
      </c>
      <c r="P457" s="75">
        <f t="shared" si="42"/>
        <v>14.545094860303138</v>
      </c>
      <c r="Q457" s="78">
        <f t="shared" si="47"/>
        <v>13.536769954399762</v>
      </c>
      <c r="R457" s="10" t="s">
        <v>164</v>
      </c>
      <c r="S457" s="81" t="s">
        <v>29</v>
      </c>
      <c r="T457" s="10" t="s">
        <v>33</v>
      </c>
      <c r="U457" s="10"/>
    </row>
    <row r="458" spans="1:21" ht="22.8" x14ac:dyDescent="0.3">
      <c r="A458" s="7" t="s">
        <v>156</v>
      </c>
      <c r="B458" s="7" t="s">
        <v>157</v>
      </c>
      <c r="C458" s="36">
        <v>1455000000</v>
      </c>
      <c r="D458" s="8">
        <v>2025</v>
      </c>
      <c r="E458" s="7" t="s">
        <v>11</v>
      </c>
      <c r="F458" s="41">
        <f t="shared" si="43"/>
        <v>8.5223367697594507E-5</v>
      </c>
      <c r="G458" s="11">
        <v>9</v>
      </c>
      <c r="H458" s="36">
        <f t="shared" si="44"/>
        <v>51503.360767010308</v>
      </c>
      <c r="I458" s="36">
        <v>1240</v>
      </c>
      <c r="J458" s="9">
        <v>0.13300000000000001</v>
      </c>
      <c r="K458" s="9">
        <v>8</v>
      </c>
      <c r="L458" s="40">
        <f t="shared" si="45"/>
        <v>1319.3600000000001</v>
      </c>
      <c r="M458" s="8">
        <v>680</v>
      </c>
      <c r="N458" s="9">
        <v>73.8</v>
      </c>
      <c r="O458" s="9">
        <f t="shared" si="46"/>
        <v>50184</v>
      </c>
      <c r="P458" s="75">
        <f t="shared" si="42"/>
        <v>3.539749880894179</v>
      </c>
      <c r="Q458" s="78">
        <f t="shared" si="47"/>
        <v>3.477833447002221</v>
      </c>
      <c r="R458" s="7" t="s">
        <v>158</v>
      </c>
      <c r="S458" s="80" t="s">
        <v>19</v>
      </c>
      <c r="T458" s="7" t="s">
        <v>78</v>
      </c>
      <c r="U458" s="7"/>
    </row>
    <row r="459" spans="1:21" ht="22.8" x14ac:dyDescent="0.3">
      <c r="A459" s="10" t="s">
        <v>156</v>
      </c>
      <c r="B459" s="10" t="s">
        <v>157</v>
      </c>
      <c r="C459" s="37">
        <v>1455000000</v>
      </c>
      <c r="D459" s="11">
        <v>2025</v>
      </c>
      <c r="E459" s="10" t="s">
        <v>17</v>
      </c>
      <c r="F459" s="41">
        <f t="shared" si="43"/>
        <v>3.2989690721649485E-5</v>
      </c>
      <c r="G459" s="8">
        <v>7</v>
      </c>
      <c r="H459" s="36">
        <f t="shared" si="44"/>
        <v>2154.240230927835</v>
      </c>
      <c r="I459" s="37">
        <v>480</v>
      </c>
      <c r="J459" s="12">
        <v>0.13300000000000001</v>
      </c>
      <c r="K459" s="12">
        <v>6</v>
      </c>
      <c r="L459" s="40">
        <f t="shared" si="45"/>
        <v>383.04</v>
      </c>
      <c r="M459" s="11">
        <v>24</v>
      </c>
      <c r="N459" s="12">
        <v>73.8</v>
      </c>
      <c r="O459" s="9">
        <f t="shared" si="46"/>
        <v>1771.1999999999998</v>
      </c>
      <c r="P459" s="75">
        <f t="shared" si="42"/>
        <v>0.14805774783009173</v>
      </c>
      <c r="Q459" s="78">
        <f t="shared" si="47"/>
        <v>0.14794819641974488</v>
      </c>
      <c r="R459" s="10" t="s">
        <v>159</v>
      </c>
      <c r="S459" s="81" t="s">
        <v>19</v>
      </c>
      <c r="T459" s="10" t="s">
        <v>99</v>
      </c>
      <c r="U459" s="10"/>
    </row>
    <row r="460" spans="1:21" ht="22.8" x14ac:dyDescent="0.3">
      <c r="A460" s="7" t="s">
        <v>156</v>
      </c>
      <c r="B460" s="7" t="s">
        <v>157</v>
      </c>
      <c r="C460" s="36">
        <v>1455000000</v>
      </c>
      <c r="D460" s="8">
        <v>2025</v>
      </c>
      <c r="E460" s="7" t="s">
        <v>20</v>
      </c>
      <c r="F460" s="41">
        <f t="shared" si="43"/>
        <v>1.2646048109965635E-4</v>
      </c>
      <c r="G460" s="11">
        <v>7</v>
      </c>
      <c r="H460" s="36">
        <f t="shared" si="44"/>
        <v>92980.32088522338</v>
      </c>
      <c r="I460" s="36">
        <v>1840</v>
      </c>
      <c r="J460" s="9">
        <v>0.13300000000000001</v>
      </c>
      <c r="K460" s="9">
        <v>6</v>
      </c>
      <c r="L460" s="40">
        <f t="shared" si="45"/>
        <v>1468.3200000000002</v>
      </c>
      <c r="M460" s="8">
        <v>1240</v>
      </c>
      <c r="N460" s="9">
        <v>73.8</v>
      </c>
      <c r="O460" s="9">
        <f t="shared" si="46"/>
        <v>91512</v>
      </c>
      <c r="P460" s="75">
        <f t="shared" si="42"/>
        <v>6.3904000608400944</v>
      </c>
      <c r="Q460" s="78">
        <f t="shared" si="47"/>
        <v>6.190494823758808</v>
      </c>
      <c r="R460" s="7" t="s">
        <v>160</v>
      </c>
      <c r="S460" s="80" t="s">
        <v>19</v>
      </c>
      <c r="T460" s="7" t="s">
        <v>22</v>
      </c>
      <c r="U460" s="7"/>
    </row>
    <row r="461" spans="1:21" x14ac:dyDescent="0.3">
      <c r="A461" s="10" t="s">
        <v>156</v>
      </c>
      <c r="B461" s="10" t="s">
        <v>157</v>
      </c>
      <c r="C461" s="37">
        <v>1455000000</v>
      </c>
      <c r="D461" s="11">
        <v>2025</v>
      </c>
      <c r="E461" s="10" t="s">
        <v>23</v>
      </c>
      <c r="F461" s="41">
        <f t="shared" si="43"/>
        <v>2.6116838487972507E-5</v>
      </c>
      <c r="G461" s="8">
        <v>8</v>
      </c>
      <c r="H461" s="36">
        <f t="shared" si="44"/>
        <v>21017.780208934706</v>
      </c>
      <c r="I461" s="37">
        <v>380</v>
      </c>
      <c r="J461" s="12">
        <v>0.13300000000000001</v>
      </c>
      <c r="K461" s="12">
        <v>7</v>
      </c>
      <c r="L461" s="40">
        <f t="shared" si="45"/>
        <v>353.78000000000003</v>
      </c>
      <c r="M461" s="11">
        <v>280</v>
      </c>
      <c r="N461" s="12">
        <v>73.8</v>
      </c>
      <c r="O461" s="9">
        <f t="shared" si="46"/>
        <v>20664</v>
      </c>
      <c r="P461" s="75">
        <f t="shared" si="42"/>
        <v>1.4445209765590863</v>
      </c>
      <c r="Q461" s="78">
        <f t="shared" si="47"/>
        <v>1.4341378280117834</v>
      </c>
      <c r="R461" s="10" t="s">
        <v>161</v>
      </c>
      <c r="S461" s="81" t="s">
        <v>25</v>
      </c>
      <c r="T461" s="10" t="s">
        <v>15</v>
      </c>
      <c r="U461" s="10"/>
    </row>
    <row r="462" spans="1:21" x14ac:dyDescent="0.3">
      <c r="A462" s="7" t="s">
        <v>156</v>
      </c>
      <c r="B462" s="7" t="s">
        <v>157</v>
      </c>
      <c r="C462" s="36">
        <v>1455000000</v>
      </c>
      <c r="D462" s="8">
        <v>2025</v>
      </c>
      <c r="E462" s="7" t="s">
        <v>26</v>
      </c>
      <c r="F462" s="41" t="e">
        <f t="shared" si="43"/>
        <v>#VALUE!</v>
      </c>
      <c r="G462" s="11">
        <v>6</v>
      </c>
      <c r="H462" s="36" t="e">
        <f t="shared" si="44"/>
        <v>#VALUE!</v>
      </c>
      <c r="I462" s="73" t="s">
        <v>12</v>
      </c>
      <c r="J462" s="9">
        <v>0.128</v>
      </c>
      <c r="K462" s="9">
        <v>5</v>
      </c>
      <c r="L462" s="40" t="e">
        <f t="shared" si="45"/>
        <v>#VALUE!</v>
      </c>
      <c r="M462" s="18" t="s">
        <v>12</v>
      </c>
      <c r="N462" s="9">
        <v>73.8</v>
      </c>
      <c r="O462" s="9" t="e">
        <f t="shared" si="46"/>
        <v>#VALUE!</v>
      </c>
      <c r="P462" s="75" t="e">
        <f t="shared" si="42"/>
        <v>#VALUE!</v>
      </c>
      <c r="Q462" s="78" t="e">
        <f t="shared" si="47"/>
        <v>#VALUE!</v>
      </c>
      <c r="R462" s="7" t="s">
        <v>162</v>
      </c>
      <c r="S462" s="80" t="s">
        <v>28</v>
      </c>
      <c r="T462" s="7" t="s">
        <v>163</v>
      </c>
      <c r="U462" s="3" t="s">
        <v>16</v>
      </c>
    </row>
    <row r="463" spans="1:21" x14ac:dyDescent="0.3">
      <c r="A463" s="10" t="s">
        <v>156</v>
      </c>
      <c r="B463" s="10" t="s">
        <v>157</v>
      </c>
      <c r="C463" s="37">
        <v>1455000000</v>
      </c>
      <c r="D463" s="11">
        <v>2025</v>
      </c>
      <c r="E463" s="10" t="s">
        <v>30</v>
      </c>
      <c r="F463" s="41">
        <f t="shared" si="43"/>
        <v>1.5395189003436427E-5</v>
      </c>
      <c r="G463" s="8">
        <v>6</v>
      </c>
      <c r="H463" s="36">
        <f t="shared" si="44"/>
        <v>209699.52009237112</v>
      </c>
      <c r="I463" s="37">
        <v>224</v>
      </c>
      <c r="J463" s="12">
        <v>0.12</v>
      </c>
      <c r="K463" s="12">
        <v>4</v>
      </c>
      <c r="L463" s="40">
        <f t="shared" si="45"/>
        <v>107.52</v>
      </c>
      <c r="M463" s="11">
        <v>2840</v>
      </c>
      <c r="N463" s="12">
        <v>73.8</v>
      </c>
      <c r="O463" s="9">
        <f t="shared" si="46"/>
        <v>209592</v>
      </c>
      <c r="P463" s="75">
        <f t="shared" si="42"/>
        <v>14.412338150678426</v>
      </c>
      <c r="Q463" s="78">
        <f t="shared" si="47"/>
        <v>13.42190798854247</v>
      </c>
      <c r="R463" s="10" t="s">
        <v>164</v>
      </c>
      <c r="S463" s="81" t="s">
        <v>29</v>
      </c>
      <c r="T463" s="10" t="s">
        <v>33</v>
      </c>
      <c r="U463" s="4"/>
    </row>
    <row r="464" spans="1:21" ht="22.8" x14ac:dyDescent="0.3">
      <c r="A464" s="7" t="s">
        <v>167</v>
      </c>
      <c r="B464" s="7" t="s">
        <v>157</v>
      </c>
      <c r="C464" s="36">
        <v>189380513</v>
      </c>
      <c r="D464" s="8">
        <v>2015</v>
      </c>
      <c r="E464" s="7" t="s">
        <v>11</v>
      </c>
      <c r="F464" s="41">
        <f t="shared" si="43"/>
        <v>1.3095328345636068E-3</v>
      </c>
      <c r="G464" s="11">
        <v>9</v>
      </c>
      <c r="H464" s="36">
        <f t="shared" si="44"/>
        <v>241750.73178579551</v>
      </c>
      <c r="I464" s="36">
        <v>2480</v>
      </c>
      <c r="J464" s="9">
        <v>0.13300000000000001</v>
      </c>
      <c r="K464" s="9">
        <v>8</v>
      </c>
      <c r="L464" s="40">
        <f t="shared" si="45"/>
        <v>2638.7200000000003</v>
      </c>
      <c r="M464" s="8">
        <v>3240</v>
      </c>
      <c r="N464" s="9">
        <v>73.8</v>
      </c>
      <c r="O464" s="9">
        <f t="shared" si="46"/>
        <v>239112</v>
      </c>
      <c r="P464" s="75">
        <f t="shared" si="42"/>
        <v>127.65343590858025</v>
      </c>
      <c r="Q464" s="78">
        <f t="shared" si="47"/>
        <v>72.099745046543489</v>
      </c>
      <c r="R464" s="7" t="s">
        <v>168</v>
      </c>
      <c r="S464" s="80" t="s">
        <v>19</v>
      </c>
      <c r="T464" s="7" t="s">
        <v>78</v>
      </c>
      <c r="U464" s="7"/>
    </row>
    <row r="465" spans="1:21" ht="22.8" x14ac:dyDescent="0.3">
      <c r="A465" s="10" t="s">
        <v>167</v>
      </c>
      <c r="B465" s="10" t="s">
        <v>157</v>
      </c>
      <c r="C465" s="37">
        <v>189380513</v>
      </c>
      <c r="D465" s="11">
        <v>2015</v>
      </c>
      <c r="E465" s="10" t="s">
        <v>17</v>
      </c>
      <c r="F465" s="41">
        <f t="shared" si="43"/>
        <v>3.0626171130923065E-4</v>
      </c>
      <c r="G465" s="8">
        <v>7</v>
      </c>
      <c r="H465" s="36">
        <f t="shared" si="44"/>
        <v>2529.2421438319793</v>
      </c>
      <c r="I465" s="37">
        <v>580</v>
      </c>
      <c r="J465" s="12">
        <v>0.13300000000000001</v>
      </c>
      <c r="K465" s="12">
        <v>6</v>
      </c>
      <c r="L465" s="40">
        <f t="shared" si="45"/>
        <v>462.84000000000003</v>
      </c>
      <c r="M465" s="11">
        <v>28</v>
      </c>
      <c r="N465" s="12">
        <v>73.8</v>
      </c>
      <c r="O465" s="9">
        <f t="shared" si="46"/>
        <v>2066.4</v>
      </c>
      <c r="P465" s="75">
        <f t="shared" si="42"/>
        <v>1.3355345298024297</v>
      </c>
      <c r="Q465" s="78">
        <f t="shared" si="47"/>
        <v>1.3266558373531856</v>
      </c>
      <c r="R465" s="10" t="s">
        <v>169</v>
      </c>
      <c r="S465" s="81" t="s">
        <v>19</v>
      </c>
      <c r="T465" s="10" t="s">
        <v>99</v>
      </c>
      <c r="U465" s="10"/>
    </row>
    <row r="466" spans="1:21" ht="22.8" x14ac:dyDescent="0.3">
      <c r="A466" s="7" t="s">
        <v>167</v>
      </c>
      <c r="B466" s="7" t="s">
        <v>157</v>
      </c>
      <c r="C466" s="36">
        <v>189380513</v>
      </c>
      <c r="D466" s="8">
        <v>2015</v>
      </c>
      <c r="E466" s="7" t="s">
        <v>20</v>
      </c>
      <c r="F466" s="41">
        <f t="shared" si="43"/>
        <v>2.2177572198254632E-4</v>
      </c>
      <c r="G466" s="11">
        <v>7</v>
      </c>
      <c r="H466" s="36">
        <f t="shared" si="44"/>
        <v>28379.161552430054</v>
      </c>
      <c r="I466" s="36">
        <v>420</v>
      </c>
      <c r="J466" s="9">
        <v>0.13300000000000001</v>
      </c>
      <c r="K466" s="9">
        <v>6</v>
      </c>
      <c r="L466" s="40">
        <f t="shared" si="45"/>
        <v>335.15999999999997</v>
      </c>
      <c r="M466" s="8">
        <v>380</v>
      </c>
      <c r="N466" s="9">
        <v>73.8</v>
      </c>
      <c r="O466" s="9">
        <f t="shared" si="46"/>
        <v>28044</v>
      </c>
      <c r="P466" s="75">
        <f t="shared" si="42"/>
        <v>14.985259625117846</v>
      </c>
      <c r="Q466" s="78">
        <f t="shared" si="47"/>
        <v>13.916514264144364</v>
      </c>
      <c r="R466" s="7" t="s">
        <v>170</v>
      </c>
      <c r="S466" s="80" t="s">
        <v>19</v>
      </c>
      <c r="T466" s="7" t="s">
        <v>22</v>
      </c>
      <c r="U466" s="7"/>
    </row>
    <row r="467" spans="1:21" ht="22.8" x14ac:dyDescent="0.3">
      <c r="A467" s="10" t="s">
        <v>167</v>
      </c>
      <c r="B467" s="10" t="s">
        <v>157</v>
      </c>
      <c r="C467" s="37">
        <v>189380513</v>
      </c>
      <c r="D467" s="11">
        <v>2015</v>
      </c>
      <c r="E467" s="10" t="s">
        <v>23</v>
      </c>
      <c r="F467" s="41">
        <f t="shared" si="43"/>
        <v>6.5476641728180339E-4</v>
      </c>
      <c r="G467" s="8">
        <v>8</v>
      </c>
      <c r="H467" s="36">
        <f t="shared" si="44"/>
        <v>125138.44523813135</v>
      </c>
      <c r="I467" s="37">
        <v>1240</v>
      </c>
      <c r="J467" s="12">
        <v>0.13300000000000001</v>
      </c>
      <c r="K467" s="12">
        <v>7</v>
      </c>
      <c r="L467" s="40">
        <f t="shared" si="45"/>
        <v>1154.44</v>
      </c>
      <c r="M467" s="11">
        <v>1680</v>
      </c>
      <c r="N467" s="12">
        <v>73.8</v>
      </c>
      <c r="O467" s="9">
        <f t="shared" si="46"/>
        <v>123984</v>
      </c>
      <c r="P467" s="75">
        <f t="shared" si="42"/>
        <v>66.077783429666468</v>
      </c>
      <c r="Q467" s="78">
        <f t="shared" si="47"/>
        <v>48.355053388877899</v>
      </c>
      <c r="R467" s="10" t="s">
        <v>171</v>
      </c>
      <c r="S467" s="81" t="s">
        <v>25</v>
      </c>
      <c r="T467" s="10" t="s">
        <v>15</v>
      </c>
      <c r="U467" s="4"/>
    </row>
    <row r="468" spans="1:21" ht="22.8" x14ac:dyDescent="0.3">
      <c r="A468" s="7" t="s">
        <v>167</v>
      </c>
      <c r="B468" s="7" t="s">
        <v>157</v>
      </c>
      <c r="C468" s="36">
        <v>189380513</v>
      </c>
      <c r="D468" s="8">
        <v>2015</v>
      </c>
      <c r="E468" s="7" t="s">
        <v>26</v>
      </c>
      <c r="F468" s="41" t="e">
        <f t="shared" si="43"/>
        <v>#VALUE!</v>
      </c>
      <c r="G468" s="11">
        <v>6</v>
      </c>
      <c r="H468" s="36" t="e">
        <f t="shared" si="44"/>
        <v>#VALUE!</v>
      </c>
      <c r="I468" s="73" t="s">
        <v>12</v>
      </c>
      <c r="J468" s="9">
        <v>0.128</v>
      </c>
      <c r="K468" s="9">
        <v>5</v>
      </c>
      <c r="L468" s="40" t="e">
        <f t="shared" si="45"/>
        <v>#VALUE!</v>
      </c>
      <c r="M468" s="18" t="s">
        <v>12</v>
      </c>
      <c r="N468" s="9">
        <v>73.8</v>
      </c>
      <c r="O468" s="9" t="e">
        <f t="shared" si="46"/>
        <v>#VALUE!</v>
      </c>
      <c r="P468" s="75" t="e">
        <f t="shared" si="42"/>
        <v>#VALUE!</v>
      </c>
      <c r="Q468" s="78" t="e">
        <f t="shared" si="47"/>
        <v>#VALUE!</v>
      </c>
      <c r="R468" s="7" t="s">
        <v>172</v>
      </c>
      <c r="S468" s="80" t="s">
        <v>28</v>
      </c>
      <c r="T468" s="7"/>
      <c r="U468" s="3" t="s">
        <v>16</v>
      </c>
    </row>
    <row r="469" spans="1:21" ht="22.8" x14ac:dyDescent="0.3">
      <c r="A469" s="10" t="s">
        <v>167</v>
      </c>
      <c r="B469" s="10" t="s">
        <v>157</v>
      </c>
      <c r="C469" s="37">
        <v>189380513</v>
      </c>
      <c r="D469" s="11">
        <v>2015</v>
      </c>
      <c r="E469" s="10" t="s">
        <v>30</v>
      </c>
      <c r="F469" s="41">
        <f t="shared" si="43"/>
        <v>3.5906545463840835E-5</v>
      </c>
      <c r="G469" s="8">
        <v>6</v>
      </c>
      <c r="H469" s="36">
        <f t="shared" si="44"/>
        <v>35456.640215439271</v>
      </c>
      <c r="I469" s="37">
        <v>68</v>
      </c>
      <c r="J469" s="12">
        <v>0.12</v>
      </c>
      <c r="K469" s="12">
        <v>4</v>
      </c>
      <c r="L469" s="40">
        <f t="shared" si="45"/>
        <v>32.64</v>
      </c>
      <c r="M469" s="11">
        <v>480</v>
      </c>
      <c r="N469" s="12">
        <v>73.8</v>
      </c>
      <c r="O469" s="9">
        <f t="shared" si="46"/>
        <v>35424</v>
      </c>
      <c r="P469" s="75">
        <f t="shared" si="42"/>
        <v>18.722433292510551</v>
      </c>
      <c r="Q469" s="78">
        <f t="shared" si="47"/>
        <v>17.074231428476406</v>
      </c>
      <c r="R469" s="10" t="s">
        <v>173</v>
      </c>
      <c r="S469" s="81" t="s">
        <v>29</v>
      </c>
      <c r="T469" s="10" t="s">
        <v>33</v>
      </c>
      <c r="U469" s="10"/>
    </row>
    <row r="470" spans="1:21" ht="22.8" x14ac:dyDescent="0.3">
      <c r="A470" s="7" t="s">
        <v>167</v>
      </c>
      <c r="B470" s="7" t="s">
        <v>157</v>
      </c>
      <c r="C470" s="36">
        <v>193657350</v>
      </c>
      <c r="D470" s="8">
        <v>2016</v>
      </c>
      <c r="E470" s="7" t="s">
        <v>11</v>
      </c>
      <c r="F470" s="41">
        <f t="shared" si="43"/>
        <v>1.2806123805783772E-3</v>
      </c>
      <c r="G470" s="11">
        <v>9</v>
      </c>
      <c r="H470" s="36">
        <f t="shared" si="44"/>
        <v>241750.73152551142</v>
      </c>
      <c r="I470" s="36">
        <v>2480</v>
      </c>
      <c r="J470" s="9">
        <v>0.13300000000000001</v>
      </c>
      <c r="K470" s="9">
        <v>8</v>
      </c>
      <c r="L470" s="40">
        <f t="shared" si="45"/>
        <v>2638.7200000000003</v>
      </c>
      <c r="M470" s="8">
        <v>3240</v>
      </c>
      <c r="N470" s="9">
        <v>73.8</v>
      </c>
      <c r="O470" s="9">
        <f t="shared" si="46"/>
        <v>239112</v>
      </c>
      <c r="P470" s="75">
        <f t="shared" si="42"/>
        <v>124.8342660505844</v>
      </c>
      <c r="Q470" s="78">
        <f t="shared" si="47"/>
        <v>71.301997372524866</v>
      </c>
      <c r="R470" s="7" t="s">
        <v>168</v>
      </c>
      <c r="S470" s="80" t="s">
        <v>19</v>
      </c>
      <c r="T470" s="7" t="s">
        <v>78</v>
      </c>
      <c r="U470" s="7"/>
    </row>
    <row r="471" spans="1:21" ht="22.8" x14ac:dyDescent="0.3">
      <c r="A471" s="10" t="s">
        <v>167</v>
      </c>
      <c r="B471" s="10" t="s">
        <v>157</v>
      </c>
      <c r="C471" s="37">
        <v>193657350</v>
      </c>
      <c r="D471" s="11">
        <v>2016</v>
      </c>
      <c r="E471" s="10" t="s">
        <v>17</v>
      </c>
      <c r="F471" s="41">
        <f t="shared" si="43"/>
        <v>2.9949805674816887E-4</v>
      </c>
      <c r="G471" s="8">
        <v>7</v>
      </c>
      <c r="H471" s="36">
        <f t="shared" si="44"/>
        <v>2529.2420964863973</v>
      </c>
      <c r="I471" s="37">
        <v>580</v>
      </c>
      <c r="J471" s="12">
        <v>0.13300000000000001</v>
      </c>
      <c r="K471" s="12">
        <v>6</v>
      </c>
      <c r="L471" s="40">
        <f t="shared" si="45"/>
        <v>462.84000000000003</v>
      </c>
      <c r="M471" s="11">
        <v>28</v>
      </c>
      <c r="N471" s="12">
        <v>73.8</v>
      </c>
      <c r="O471" s="9">
        <f t="shared" si="46"/>
        <v>2066.4</v>
      </c>
      <c r="P471" s="75">
        <f t="shared" si="42"/>
        <v>1.3060398154195527</v>
      </c>
      <c r="Q471" s="78">
        <f t="shared" si="47"/>
        <v>1.2975481239129172</v>
      </c>
      <c r="R471" s="10" t="s">
        <v>169</v>
      </c>
      <c r="S471" s="81" t="s">
        <v>19</v>
      </c>
      <c r="T471" s="10" t="s">
        <v>99</v>
      </c>
      <c r="U471" s="10"/>
    </row>
    <row r="472" spans="1:21" ht="22.8" x14ac:dyDescent="0.3">
      <c r="A472" s="7" t="s">
        <v>167</v>
      </c>
      <c r="B472" s="7" t="s">
        <v>157</v>
      </c>
      <c r="C472" s="36">
        <v>193657350</v>
      </c>
      <c r="D472" s="8">
        <v>2016</v>
      </c>
      <c r="E472" s="7" t="s">
        <v>20</v>
      </c>
      <c r="F472" s="41">
        <f t="shared" si="43"/>
        <v>2.168779031624671E-4</v>
      </c>
      <c r="G472" s="11">
        <v>7</v>
      </c>
      <c r="H472" s="36">
        <f t="shared" si="44"/>
        <v>28379.161518145323</v>
      </c>
      <c r="I472" s="36">
        <v>420</v>
      </c>
      <c r="J472" s="9">
        <v>0.13300000000000001</v>
      </c>
      <c r="K472" s="9">
        <v>6</v>
      </c>
      <c r="L472" s="40">
        <f t="shared" si="45"/>
        <v>335.15999999999997</v>
      </c>
      <c r="M472" s="8">
        <v>380</v>
      </c>
      <c r="N472" s="9">
        <v>73.8</v>
      </c>
      <c r="O472" s="9">
        <f t="shared" si="46"/>
        <v>28044</v>
      </c>
      <c r="P472" s="75">
        <f t="shared" si="42"/>
        <v>14.654316770391272</v>
      </c>
      <c r="Q472" s="78">
        <f t="shared" si="47"/>
        <v>13.631155191716937</v>
      </c>
      <c r="R472" s="7" t="s">
        <v>170</v>
      </c>
      <c r="S472" s="80" t="s">
        <v>19</v>
      </c>
      <c r="T472" s="7" t="s">
        <v>22</v>
      </c>
      <c r="U472" s="7"/>
    </row>
    <row r="473" spans="1:21" ht="22.8" x14ac:dyDescent="0.3">
      <c r="A473" s="10" t="s">
        <v>167</v>
      </c>
      <c r="B473" s="10" t="s">
        <v>157</v>
      </c>
      <c r="C473" s="37">
        <v>193657350</v>
      </c>
      <c r="D473" s="11">
        <v>2016</v>
      </c>
      <c r="E473" s="10" t="s">
        <v>23</v>
      </c>
      <c r="F473" s="41">
        <f t="shared" si="43"/>
        <v>6.4030619028918859E-4</v>
      </c>
      <c r="G473" s="8">
        <v>8</v>
      </c>
      <c r="H473" s="36">
        <f t="shared" si="44"/>
        <v>125138.44512244953</v>
      </c>
      <c r="I473" s="37">
        <v>1240</v>
      </c>
      <c r="J473" s="12">
        <v>0.13300000000000001</v>
      </c>
      <c r="K473" s="12">
        <v>7</v>
      </c>
      <c r="L473" s="40">
        <f t="shared" si="45"/>
        <v>1154.44</v>
      </c>
      <c r="M473" s="11">
        <v>1680</v>
      </c>
      <c r="N473" s="12">
        <v>73.8</v>
      </c>
      <c r="O473" s="9">
        <f t="shared" si="46"/>
        <v>123984</v>
      </c>
      <c r="P473" s="75">
        <f t="shared" si="42"/>
        <v>64.618484721829319</v>
      </c>
      <c r="Q473" s="78">
        <f t="shared" si="47"/>
        <v>47.595873471522545</v>
      </c>
      <c r="R473" s="10" t="s">
        <v>171</v>
      </c>
      <c r="S473" s="81" t="s">
        <v>25</v>
      </c>
      <c r="T473" s="10" t="s">
        <v>15</v>
      </c>
      <c r="U473" s="10"/>
    </row>
    <row r="474" spans="1:21" ht="22.8" x14ac:dyDescent="0.3">
      <c r="A474" s="7" t="s">
        <v>167</v>
      </c>
      <c r="B474" s="7" t="s">
        <v>157</v>
      </c>
      <c r="C474" s="36">
        <v>193657350</v>
      </c>
      <c r="D474" s="8">
        <v>2016</v>
      </c>
      <c r="E474" s="7" t="s">
        <v>26</v>
      </c>
      <c r="F474" s="41" t="e">
        <f t="shared" si="43"/>
        <v>#VALUE!</v>
      </c>
      <c r="G474" s="11">
        <v>6</v>
      </c>
      <c r="H474" s="36" t="e">
        <f t="shared" si="44"/>
        <v>#VALUE!</v>
      </c>
      <c r="I474" s="73" t="s">
        <v>12</v>
      </c>
      <c r="J474" s="9">
        <v>0.128</v>
      </c>
      <c r="K474" s="9">
        <v>5</v>
      </c>
      <c r="L474" s="40" t="e">
        <f t="shared" si="45"/>
        <v>#VALUE!</v>
      </c>
      <c r="M474" s="18" t="s">
        <v>12</v>
      </c>
      <c r="N474" s="9">
        <v>73.8</v>
      </c>
      <c r="O474" s="9" t="e">
        <f t="shared" si="46"/>
        <v>#VALUE!</v>
      </c>
      <c r="P474" s="75" t="e">
        <f t="shared" si="42"/>
        <v>#VALUE!</v>
      </c>
      <c r="Q474" s="78" t="e">
        <f t="shared" si="47"/>
        <v>#VALUE!</v>
      </c>
      <c r="R474" s="7" t="s">
        <v>172</v>
      </c>
      <c r="S474" s="80" t="s">
        <v>28</v>
      </c>
      <c r="T474" s="7"/>
      <c r="U474" s="3" t="s">
        <v>16</v>
      </c>
    </row>
    <row r="475" spans="1:21" ht="22.8" x14ac:dyDescent="0.3">
      <c r="A475" s="10" t="s">
        <v>167</v>
      </c>
      <c r="B475" s="10" t="s">
        <v>157</v>
      </c>
      <c r="C475" s="37">
        <v>193657350</v>
      </c>
      <c r="D475" s="11">
        <v>2016</v>
      </c>
      <c r="E475" s="10" t="s">
        <v>30</v>
      </c>
      <c r="F475" s="41">
        <f t="shared" si="43"/>
        <v>3.5113565273923245E-5</v>
      </c>
      <c r="G475" s="8">
        <v>6</v>
      </c>
      <c r="H475" s="36">
        <f t="shared" si="44"/>
        <v>35456.640210681391</v>
      </c>
      <c r="I475" s="37">
        <v>68</v>
      </c>
      <c r="J475" s="12">
        <v>0.12</v>
      </c>
      <c r="K475" s="12">
        <v>4</v>
      </c>
      <c r="L475" s="40">
        <f t="shared" si="45"/>
        <v>32.64</v>
      </c>
      <c r="M475" s="11">
        <v>480</v>
      </c>
      <c r="N475" s="12">
        <v>73.8</v>
      </c>
      <c r="O475" s="9">
        <f t="shared" si="46"/>
        <v>35424</v>
      </c>
      <c r="P475" s="75">
        <f t="shared" si="42"/>
        <v>18.308956623996657</v>
      </c>
      <c r="Q475" s="78">
        <f t="shared" si="47"/>
        <v>16.730642883520265</v>
      </c>
      <c r="R475" s="10" t="s">
        <v>173</v>
      </c>
      <c r="S475" s="81" t="s">
        <v>29</v>
      </c>
      <c r="T475" s="10" t="s">
        <v>33</v>
      </c>
      <c r="U475" s="10"/>
    </row>
    <row r="476" spans="1:21" ht="22.8" x14ac:dyDescent="0.3">
      <c r="A476" s="7" t="s">
        <v>167</v>
      </c>
      <c r="B476" s="7" t="s">
        <v>157</v>
      </c>
      <c r="C476" s="36">
        <v>197015955</v>
      </c>
      <c r="D476" s="8">
        <v>2017</v>
      </c>
      <c r="E476" s="7" t="s">
        <v>11</v>
      </c>
      <c r="F476" s="41">
        <f t="shared" si="43"/>
        <v>1.2587813002251519E-3</v>
      </c>
      <c r="G476" s="11">
        <v>9</v>
      </c>
      <c r="H476" s="36">
        <f t="shared" si="44"/>
        <v>241750.7313290317</v>
      </c>
      <c r="I476" s="36">
        <v>2480</v>
      </c>
      <c r="J476" s="9">
        <v>0.13300000000000001</v>
      </c>
      <c r="K476" s="9">
        <v>8</v>
      </c>
      <c r="L476" s="40">
        <f t="shared" si="45"/>
        <v>2638.7200000000003</v>
      </c>
      <c r="M476" s="8">
        <v>3240</v>
      </c>
      <c r="N476" s="9">
        <v>73.8</v>
      </c>
      <c r="O476" s="9">
        <f t="shared" si="46"/>
        <v>239112</v>
      </c>
      <c r="P476" s="75">
        <f t="shared" si="42"/>
        <v>122.70616931965317</v>
      </c>
      <c r="Q476" s="78">
        <f t="shared" si="47"/>
        <v>70.684731403735213</v>
      </c>
      <c r="R476" s="7" t="s">
        <v>168</v>
      </c>
      <c r="S476" s="80" t="s">
        <v>19</v>
      </c>
      <c r="T476" s="7" t="s">
        <v>78</v>
      </c>
      <c r="U476" s="7"/>
    </row>
    <row r="477" spans="1:21" ht="22.8" x14ac:dyDescent="0.3">
      <c r="A477" s="10" t="s">
        <v>167</v>
      </c>
      <c r="B477" s="10" t="s">
        <v>157</v>
      </c>
      <c r="C477" s="37">
        <v>197015955</v>
      </c>
      <c r="D477" s="11">
        <v>2017</v>
      </c>
      <c r="E477" s="10" t="s">
        <v>17</v>
      </c>
      <c r="F477" s="41">
        <f t="shared" si="43"/>
        <v>2.943924008591081E-4</v>
      </c>
      <c r="G477" s="8">
        <v>7</v>
      </c>
      <c r="H477" s="36">
        <f t="shared" si="44"/>
        <v>2529.2420607468061</v>
      </c>
      <c r="I477" s="37">
        <v>580</v>
      </c>
      <c r="J477" s="12">
        <v>0.13300000000000001</v>
      </c>
      <c r="K477" s="12">
        <v>6</v>
      </c>
      <c r="L477" s="40">
        <f t="shared" si="45"/>
        <v>462.84000000000003</v>
      </c>
      <c r="M477" s="11">
        <v>28</v>
      </c>
      <c r="N477" s="12">
        <v>73.8</v>
      </c>
      <c r="O477" s="9">
        <f t="shared" si="46"/>
        <v>2066.4</v>
      </c>
      <c r="P477" s="75">
        <f t="shared" ref="P477:P540" si="48">H477/C477*100000</f>
        <v>1.283775245891535</v>
      </c>
      <c r="Q477" s="78">
        <f t="shared" si="47"/>
        <v>1.2755700013127091</v>
      </c>
      <c r="R477" s="10" t="s">
        <v>169</v>
      </c>
      <c r="S477" s="81" t="s">
        <v>19</v>
      </c>
      <c r="T477" s="10" t="s">
        <v>99</v>
      </c>
      <c r="U477" s="10"/>
    </row>
    <row r="478" spans="1:21" ht="22.8" x14ac:dyDescent="0.3">
      <c r="A478" s="7" t="s">
        <v>167</v>
      </c>
      <c r="B478" s="7" t="s">
        <v>157</v>
      </c>
      <c r="C478" s="36">
        <v>197015955</v>
      </c>
      <c r="D478" s="8">
        <v>2017</v>
      </c>
      <c r="E478" s="7" t="s">
        <v>20</v>
      </c>
      <c r="F478" s="41">
        <f t="shared" si="43"/>
        <v>2.1318070407038862E-4</v>
      </c>
      <c r="G478" s="11">
        <v>7</v>
      </c>
      <c r="H478" s="36">
        <f t="shared" si="44"/>
        <v>28379.161492264928</v>
      </c>
      <c r="I478" s="36">
        <v>420</v>
      </c>
      <c r="J478" s="9">
        <v>0.13300000000000001</v>
      </c>
      <c r="K478" s="9">
        <v>6</v>
      </c>
      <c r="L478" s="40">
        <f t="shared" si="45"/>
        <v>335.15999999999997</v>
      </c>
      <c r="M478" s="8">
        <v>380</v>
      </c>
      <c r="N478" s="9">
        <v>73.8</v>
      </c>
      <c r="O478" s="9">
        <f t="shared" si="46"/>
        <v>28044</v>
      </c>
      <c r="P478" s="75">
        <f t="shared" si="48"/>
        <v>14.404499113924519</v>
      </c>
      <c r="Q478" s="78">
        <f t="shared" si="47"/>
        <v>13.415120834068562</v>
      </c>
      <c r="R478" s="7" t="s">
        <v>170</v>
      </c>
      <c r="S478" s="80" t="s">
        <v>19</v>
      </c>
      <c r="T478" s="7" t="s">
        <v>22</v>
      </c>
      <c r="U478" s="7"/>
    </row>
    <row r="479" spans="1:21" ht="22.8" x14ac:dyDescent="0.3">
      <c r="A479" s="10" t="s">
        <v>167</v>
      </c>
      <c r="B479" s="10" t="s">
        <v>157</v>
      </c>
      <c r="C479" s="37">
        <v>197015955</v>
      </c>
      <c r="D479" s="11">
        <v>2017</v>
      </c>
      <c r="E479" s="10" t="s">
        <v>23</v>
      </c>
      <c r="F479" s="41">
        <f t="shared" si="43"/>
        <v>6.2939065011257593E-4</v>
      </c>
      <c r="G479" s="8">
        <v>8</v>
      </c>
      <c r="H479" s="36">
        <f t="shared" si="44"/>
        <v>125138.4450351252</v>
      </c>
      <c r="I479" s="37">
        <v>1240</v>
      </c>
      <c r="J479" s="12">
        <v>0.13300000000000001</v>
      </c>
      <c r="K479" s="12">
        <v>7</v>
      </c>
      <c r="L479" s="40">
        <f t="shared" si="45"/>
        <v>1154.44</v>
      </c>
      <c r="M479" s="11">
        <v>1680</v>
      </c>
      <c r="N479" s="12">
        <v>73.8</v>
      </c>
      <c r="O479" s="9">
        <f t="shared" si="46"/>
        <v>123984</v>
      </c>
      <c r="P479" s="75">
        <f t="shared" si="48"/>
        <v>63.516909092527662</v>
      </c>
      <c r="Q479" s="78">
        <f t="shared" si="47"/>
        <v>47.015411138902593</v>
      </c>
      <c r="R479" s="10" t="s">
        <v>171</v>
      </c>
      <c r="S479" s="81" t="s">
        <v>25</v>
      </c>
      <c r="T479" s="10" t="s">
        <v>15</v>
      </c>
      <c r="U479" s="4"/>
    </row>
    <row r="480" spans="1:21" ht="22.8" x14ac:dyDescent="0.3">
      <c r="A480" s="7" t="s">
        <v>167</v>
      </c>
      <c r="B480" s="7" t="s">
        <v>157</v>
      </c>
      <c r="C480" s="36">
        <v>197015955</v>
      </c>
      <c r="D480" s="8">
        <v>2017</v>
      </c>
      <c r="E480" s="7" t="s">
        <v>26</v>
      </c>
      <c r="F480" s="41" t="e">
        <f t="shared" si="43"/>
        <v>#VALUE!</v>
      </c>
      <c r="G480" s="11">
        <v>6</v>
      </c>
      <c r="H480" s="36" t="e">
        <f t="shared" si="44"/>
        <v>#VALUE!</v>
      </c>
      <c r="I480" s="73" t="s">
        <v>12</v>
      </c>
      <c r="J480" s="9">
        <v>0.128</v>
      </c>
      <c r="K480" s="9">
        <v>5</v>
      </c>
      <c r="L480" s="40" t="e">
        <f t="shared" si="45"/>
        <v>#VALUE!</v>
      </c>
      <c r="M480" s="18" t="s">
        <v>12</v>
      </c>
      <c r="N480" s="9">
        <v>73.8</v>
      </c>
      <c r="O480" s="9" t="e">
        <f t="shared" si="46"/>
        <v>#VALUE!</v>
      </c>
      <c r="P480" s="75" t="e">
        <f t="shared" si="48"/>
        <v>#VALUE!</v>
      </c>
      <c r="Q480" s="78" t="e">
        <f t="shared" si="47"/>
        <v>#VALUE!</v>
      </c>
      <c r="R480" s="7" t="s">
        <v>172</v>
      </c>
      <c r="S480" s="80" t="s">
        <v>28</v>
      </c>
      <c r="T480" s="7"/>
      <c r="U480" s="3" t="s">
        <v>16</v>
      </c>
    </row>
    <row r="481" spans="1:21" ht="22.8" x14ac:dyDescent="0.3">
      <c r="A481" s="10" t="s">
        <v>167</v>
      </c>
      <c r="B481" s="10" t="s">
        <v>157</v>
      </c>
      <c r="C481" s="37">
        <v>197015955</v>
      </c>
      <c r="D481" s="11">
        <v>2017</v>
      </c>
      <c r="E481" s="10" t="s">
        <v>30</v>
      </c>
      <c r="F481" s="41">
        <f t="shared" si="43"/>
        <v>3.4514971135205776E-5</v>
      </c>
      <c r="G481" s="8">
        <v>6</v>
      </c>
      <c r="H481" s="36">
        <f t="shared" si="44"/>
        <v>35456.640207089826</v>
      </c>
      <c r="I481" s="37">
        <v>68</v>
      </c>
      <c r="J481" s="12">
        <v>0.12</v>
      </c>
      <c r="K481" s="12">
        <v>4</v>
      </c>
      <c r="L481" s="40">
        <f t="shared" si="45"/>
        <v>32.64</v>
      </c>
      <c r="M481" s="11">
        <v>480</v>
      </c>
      <c r="N481" s="12">
        <v>73.8</v>
      </c>
      <c r="O481" s="9">
        <f t="shared" si="46"/>
        <v>35424</v>
      </c>
      <c r="P481" s="75">
        <f t="shared" si="48"/>
        <v>17.996836960280614</v>
      </c>
      <c r="Q481" s="78">
        <f t="shared" si="47"/>
        <v>16.470336824233598</v>
      </c>
      <c r="R481" s="10" t="s">
        <v>173</v>
      </c>
      <c r="S481" s="81" t="s">
        <v>29</v>
      </c>
      <c r="T481" s="10" t="s">
        <v>33</v>
      </c>
      <c r="U481" s="4"/>
    </row>
    <row r="482" spans="1:21" ht="22.8" x14ac:dyDescent="0.3">
      <c r="A482" s="7" t="s">
        <v>167</v>
      </c>
      <c r="B482" s="7" t="s">
        <v>157</v>
      </c>
      <c r="C482" s="36">
        <v>212228286</v>
      </c>
      <c r="D482" s="8">
        <v>2018</v>
      </c>
      <c r="E482" s="7" t="s">
        <v>11</v>
      </c>
      <c r="F482" s="41">
        <f t="shared" si="43"/>
        <v>1.1685529986328023E-3</v>
      </c>
      <c r="G482" s="11">
        <v>9</v>
      </c>
      <c r="H482" s="36">
        <f t="shared" si="44"/>
        <v>241750.730516977</v>
      </c>
      <c r="I482" s="36">
        <v>2480</v>
      </c>
      <c r="J482" s="9">
        <v>0.13300000000000001</v>
      </c>
      <c r="K482" s="9">
        <v>8</v>
      </c>
      <c r="L482" s="40">
        <f t="shared" si="45"/>
        <v>2638.7200000000003</v>
      </c>
      <c r="M482" s="8">
        <v>3240</v>
      </c>
      <c r="N482" s="9">
        <v>73.8</v>
      </c>
      <c r="O482" s="9">
        <f t="shared" si="46"/>
        <v>239112</v>
      </c>
      <c r="P482" s="75">
        <f t="shared" si="48"/>
        <v>113.91070204325969</v>
      </c>
      <c r="Q482" s="78">
        <f t="shared" si="47"/>
        <v>67.989525878013907</v>
      </c>
      <c r="R482" s="7" t="s">
        <v>168</v>
      </c>
      <c r="S482" s="80" t="s">
        <v>19</v>
      </c>
      <c r="T482" s="7" t="s">
        <v>78</v>
      </c>
      <c r="U482" s="7"/>
    </row>
    <row r="483" spans="1:21" ht="22.8" x14ac:dyDescent="0.3">
      <c r="A483" s="10" t="s">
        <v>167</v>
      </c>
      <c r="B483" s="10" t="s">
        <v>157</v>
      </c>
      <c r="C483" s="37">
        <v>212228286</v>
      </c>
      <c r="D483" s="11">
        <v>2018</v>
      </c>
      <c r="E483" s="10" t="s">
        <v>17</v>
      </c>
      <c r="F483" s="41">
        <f t="shared" si="43"/>
        <v>2.7329062064799413E-4</v>
      </c>
      <c r="G483" s="8">
        <v>7</v>
      </c>
      <c r="H483" s="36">
        <f t="shared" si="44"/>
        <v>2529.2419130343446</v>
      </c>
      <c r="I483" s="37">
        <v>580</v>
      </c>
      <c r="J483" s="12">
        <v>0.13300000000000001</v>
      </c>
      <c r="K483" s="12">
        <v>6</v>
      </c>
      <c r="L483" s="40">
        <f t="shared" si="45"/>
        <v>462.84000000000003</v>
      </c>
      <c r="M483" s="11">
        <v>28</v>
      </c>
      <c r="N483" s="12">
        <v>73.8</v>
      </c>
      <c r="O483" s="9">
        <f t="shared" si="46"/>
        <v>2066.4</v>
      </c>
      <c r="P483" s="75">
        <f t="shared" si="48"/>
        <v>1.1917553313484068</v>
      </c>
      <c r="Q483" s="78">
        <f t="shared" si="47"/>
        <v>1.1846820541024483</v>
      </c>
      <c r="R483" s="10" t="s">
        <v>169</v>
      </c>
      <c r="S483" s="81" t="s">
        <v>19</v>
      </c>
      <c r="T483" s="10" t="s">
        <v>99</v>
      </c>
      <c r="U483" s="10"/>
    </row>
    <row r="484" spans="1:21" ht="22.8" x14ac:dyDescent="0.3">
      <c r="A484" s="7" t="s">
        <v>167</v>
      </c>
      <c r="B484" s="7" t="s">
        <v>157</v>
      </c>
      <c r="C484" s="36">
        <v>212228286</v>
      </c>
      <c r="D484" s="8">
        <v>2018</v>
      </c>
      <c r="E484" s="7" t="s">
        <v>20</v>
      </c>
      <c r="F484" s="41">
        <f t="shared" si="43"/>
        <v>1.9790010460716816E-4</v>
      </c>
      <c r="G484" s="11">
        <v>7</v>
      </c>
      <c r="H484" s="36">
        <f t="shared" si="44"/>
        <v>28379.161385300733</v>
      </c>
      <c r="I484" s="36">
        <v>420</v>
      </c>
      <c r="J484" s="9">
        <v>0.13300000000000001</v>
      </c>
      <c r="K484" s="9">
        <v>6</v>
      </c>
      <c r="L484" s="40">
        <f t="shared" si="45"/>
        <v>335.15999999999997</v>
      </c>
      <c r="M484" s="8">
        <v>380</v>
      </c>
      <c r="N484" s="9">
        <v>73.8</v>
      </c>
      <c r="O484" s="9">
        <f t="shared" si="46"/>
        <v>28044</v>
      </c>
      <c r="P484" s="75">
        <f t="shared" si="48"/>
        <v>13.371997635273148</v>
      </c>
      <c r="Q484" s="78">
        <f t="shared" si="47"/>
        <v>12.516499520398838</v>
      </c>
      <c r="R484" s="7" t="s">
        <v>170</v>
      </c>
      <c r="S484" s="80" t="s">
        <v>19</v>
      </c>
      <c r="T484" s="7" t="s">
        <v>22</v>
      </c>
      <c r="U484" s="7"/>
    </row>
    <row r="485" spans="1:21" ht="22.8" x14ac:dyDescent="0.3">
      <c r="A485" s="10" t="s">
        <v>167</v>
      </c>
      <c r="B485" s="10" t="s">
        <v>157</v>
      </c>
      <c r="C485" s="37">
        <v>212228286</v>
      </c>
      <c r="D485" s="11">
        <v>2018</v>
      </c>
      <c r="E485" s="10" t="s">
        <v>23</v>
      </c>
      <c r="F485" s="41">
        <f t="shared" si="43"/>
        <v>5.8427649931640116E-4</v>
      </c>
      <c r="G485" s="8">
        <v>8</v>
      </c>
      <c r="H485" s="36">
        <f t="shared" si="44"/>
        <v>125138.44467421199</v>
      </c>
      <c r="I485" s="37">
        <v>1240</v>
      </c>
      <c r="J485" s="12">
        <v>0.13300000000000001</v>
      </c>
      <c r="K485" s="12">
        <v>7</v>
      </c>
      <c r="L485" s="40">
        <f t="shared" si="45"/>
        <v>1154.44</v>
      </c>
      <c r="M485" s="11">
        <v>1680</v>
      </c>
      <c r="N485" s="12">
        <v>73.8</v>
      </c>
      <c r="O485" s="9">
        <f t="shared" si="46"/>
        <v>123984</v>
      </c>
      <c r="P485" s="75">
        <f t="shared" si="48"/>
        <v>58.964074503344946</v>
      </c>
      <c r="Q485" s="78">
        <f t="shared" si="47"/>
        <v>44.547353465918881</v>
      </c>
      <c r="R485" s="10" t="s">
        <v>171</v>
      </c>
      <c r="S485" s="81" t="s">
        <v>25</v>
      </c>
      <c r="T485" s="10" t="s">
        <v>15</v>
      </c>
      <c r="U485" s="10"/>
    </row>
    <row r="486" spans="1:21" ht="22.8" x14ac:dyDescent="0.3">
      <c r="A486" s="7" t="s">
        <v>167</v>
      </c>
      <c r="B486" s="7" t="s">
        <v>157</v>
      </c>
      <c r="C486" s="36">
        <v>212228286</v>
      </c>
      <c r="D486" s="8">
        <v>2018</v>
      </c>
      <c r="E486" s="7" t="s">
        <v>26</v>
      </c>
      <c r="F486" s="41" t="e">
        <f t="shared" si="43"/>
        <v>#VALUE!</v>
      </c>
      <c r="G486" s="11">
        <v>6</v>
      </c>
      <c r="H486" s="36" t="e">
        <f t="shared" si="44"/>
        <v>#VALUE!</v>
      </c>
      <c r="I486" s="73" t="s">
        <v>12</v>
      </c>
      <c r="J486" s="9">
        <v>0.128</v>
      </c>
      <c r="K486" s="9">
        <v>5</v>
      </c>
      <c r="L486" s="40" t="e">
        <f t="shared" si="45"/>
        <v>#VALUE!</v>
      </c>
      <c r="M486" s="18" t="s">
        <v>12</v>
      </c>
      <c r="N486" s="9">
        <v>73.8</v>
      </c>
      <c r="O486" s="9" t="e">
        <f t="shared" si="46"/>
        <v>#VALUE!</v>
      </c>
      <c r="P486" s="75" t="e">
        <f t="shared" si="48"/>
        <v>#VALUE!</v>
      </c>
      <c r="Q486" s="78" t="e">
        <f t="shared" si="47"/>
        <v>#VALUE!</v>
      </c>
      <c r="R486" s="7" t="s">
        <v>172</v>
      </c>
      <c r="S486" s="80" t="s">
        <v>28</v>
      </c>
      <c r="T486" s="7"/>
      <c r="U486" s="3" t="s">
        <v>16</v>
      </c>
    </row>
    <row r="487" spans="1:21" ht="22.8" x14ac:dyDescent="0.3">
      <c r="A487" s="10" t="s">
        <v>167</v>
      </c>
      <c r="B487" s="10" t="s">
        <v>157</v>
      </c>
      <c r="C487" s="37">
        <v>212228286</v>
      </c>
      <c r="D487" s="11">
        <v>2018</v>
      </c>
      <c r="E487" s="10" t="s">
        <v>30</v>
      </c>
      <c r="F487" s="41">
        <f t="shared" si="43"/>
        <v>3.2040969317351033E-5</v>
      </c>
      <c r="G487" s="8">
        <v>6</v>
      </c>
      <c r="H487" s="36">
        <f t="shared" si="44"/>
        <v>35456.640192245817</v>
      </c>
      <c r="I487" s="37">
        <v>68</v>
      </c>
      <c r="J487" s="12">
        <v>0.12</v>
      </c>
      <c r="K487" s="12">
        <v>4</v>
      </c>
      <c r="L487" s="40">
        <f t="shared" si="45"/>
        <v>32.64</v>
      </c>
      <c r="M487" s="11">
        <v>480</v>
      </c>
      <c r="N487" s="12">
        <v>73.8</v>
      </c>
      <c r="O487" s="9">
        <f t="shared" si="46"/>
        <v>35424</v>
      </c>
      <c r="P487" s="75">
        <f t="shared" si="48"/>
        <v>16.706840007295643</v>
      </c>
      <c r="Q487" s="78">
        <f t="shared" si="47"/>
        <v>15.3858266798506</v>
      </c>
      <c r="R487" s="10" t="s">
        <v>173</v>
      </c>
      <c r="S487" s="81" t="s">
        <v>29</v>
      </c>
      <c r="T487" s="10" t="s">
        <v>33</v>
      </c>
      <c r="U487" s="4"/>
    </row>
    <row r="488" spans="1:21" ht="22.8" x14ac:dyDescent="0.3">
      <c r="A488" s="7" t="s">
        <v>167</v>
      </c>
      <c r="B488" s="7" t="s">
        <v>157</v>
      </c>
      <c r="C488" s="36">
        <v>216565318</v>
      </c>
      <c r="D488" s="8">
        <v>2019</v>
      </c>
      <c r="E488" s="7" t="s">
        <v>11</v>
      </c>
      <c r="F488" s="41">
        <f t="shared" si="43"/>
        <v>1.1451510439912636E-3</v>
      </c>
      <c r="G488" s="11">
        <v>9</v>
      </c>
      <c r="H488" s="36">
        <f t="shared" si="44"/>
        <v>241750.73030635939</v>
      </c>
      <c r="I488" s="36">
        <v>2480</v>
      </c>
      <c r="J488" s="9">
        <v>0.13300000000000001</v>
      </c>
      <c r="K488" s="9">
        <v>8</v>
      </c>
      <c r="L488" s="40">
        <f t="shared" si="45"/>
        <v>2638.7200000000003</v>
      </c>
      <c r="M488" s="8">
        <v>3240</v>
      </c>
      <c r="N488" s="9">
        <v>73.8</v>
      </c>
      <c r="O488" s="9">
        <f t="shared" si="46"/>
        <v>239112</v>
      </c>
      <c r="P488" s="75">
        <f t="shared" si="48"/>
        <v>111.62947628870076</v>
      </c>
      <c r="Q488" s="78">
        <f t="shared" si="47"/>
        <v>67.250901889182188</v>
      </c>
      <c r="R488" s="7" t="s">
        <v>168</v>
      </c>
      <c r="S488" s="80" t="s">
        <v>19</v>
      </c>
      <c r="T488" s="7" t="s">
        <v>78</v>
      </c>
      <c r="U488" s="7"/>
    </row>
    <row r="489" spans="1:21" ht="22.8" x14ac:dyDescent="0.3">
      <c r="A489" s="10" t="s">
        <v>167</v>
      </c>
      <c r="B489" s="10" t="s">
        <v>157</v>
      </c>
      <c r="C489" s="37">
        <v>216565318</v>
      </c>
      <c r="D489" s="11">
        <v>2019</v>
      </c>
      <c r="E489" s="10" t="s">
        <v>17</v>
      </c>
      <c r="F489" s="41">
        <f t="shared" si="43"/>
        <v>2.6781758286892457E-4</v>
      </c>
      <c r="G489" s="8">
        <v>7</v>
      </c>
      <c r="H489" s="36">
        <f t="shared" si="44"/>
        <v>2529.2418747230804</v>
      </c>
      <c r="I489" s="37">
        <v>580</v>
      </c>
      <c r="J489" s="12">
        <v>0.13300000000000001</v>
      </c>
      <c r="K489" s="12">
        <v>6</v>
      </c>
      <c r="L489" s="40">
        <f t="shared" si="45"/>
        <v>462.84000000000003</v>
      </c>
      <c r="M489" s="11">
        <v>28</v>
      </c>
      <c r="N489" s="12">
        <v>73.8</v>
      </c>
      <c r="O489" s="9">
        <f t="shared" si="46"/>
        <v>2066.4</v>
      </c>
      <c r="P489" s="75">
        <f t="shared" si="48"/>
        <v>1.16788869892966</v>
      </c>
      <c r="Q489" s="78">
        <f t="shared" si="47"/>
        <v>1.1610953508309652</v>
      </c>
      <c r="R489" s="10" t="s">
        <v>169</v>
      </c>
      <c r="S489" s="81" t="s">
        <v>19</v>
      </c>
      <c r="T489" s="10" t="s">
        <v>99</v>
      </c>
      <c r="U489" s="10"/>
    </row>
    <row r="490" spans="1:21" ht="22.8" x14ac:dyDescent="0.3">
      <c r="A490" s="7" t="s">
        <v>167</v>
      </c>
      <c r="B490" s="7" t="s">
        <v>157</v>
      </c>
      <c r="C490" s="36">
        <v>216565318</v>
      </c>
      <c r="D490" s="8">
        <v>2019</v>
      </c>
      <c r="E490" s="7" t="s">
        <v>20</v>
      </c>
      <c r="F490" s="41">
        <f t="shared" si="43"/>
        <v>1.9393687035335918E-4</v>
      </c>
      <c r="G490" s="11">
        <v>7</v>
      </c>
      <c r="H490" s="36">
        <f t="shared" si="44"/>
        <v>28379.161357558092</v>
      </c>
      <c r="I490" s="36">
        <v>420</v>
      </c>
      <c r="J490" s="9">
        <v>0.13300000000000001</v>
      </c>
      <c r="K490" s="9">
        <v>6</v>
      </c>
      <c r="L490" s="40">
        <f t="shared" si="45"/>
        <v>335.15999999999997</v>
      </c>
      <c r="M490" s="8">
        <v>380</v>
      </c>
      <c r="N490" s="9">
        <v>73.8</v>
      </c>
      <c r="O490" s="9">
        <f t="shared" si="46"/>
        <v>28044</v>
      </c>
      <c r="P490" s="75">
        <f t="shared" si="48"/>
        <v>13.104204135566199</v>
      </c>
      <c r="Q490" s="78">
        <f t="shared" si="47"/>
        <v>12.2819104258183</v>
      </c>
      <c r="R490" s="7" t="s">
        <v>170</v>
      </c>
      <c r="S490" s="80" t="s">
        <v>19</v>
      </c>
      <c r="T490" s="7" t="s">
        <v>22</v>
      </c>
      <c r="U490" s="7"/>
    </row>
    <row r="491" spans="1:21" ht="22.8" x14ac:dyDescent="0.3">
      <c r="A491" s="10" t="s">
        <v>167</v>
      </c>
      <c r="B491" s="10" t="s">
        <v>157</v>
      </c>
      <c r="C491" s="37">
        <v>216565318</v>
      </c>
      <c r="D491" s="11">
        <v>2019</v>
      </c>
      <c r="E491" s="10" t="s">
        <v>23</v>
      </c>
      <c r="F491" s="41">
        <f t="shared" si="43"/>
        <v>5.725755219956318E-4</v>
      </c>
      <c r="G491" s="8">
        <v>8</v>
      </c>
      <c r="H491" s="36">
        <f t="shared" si="44"/>
        <v>125138.44458060418</v>
      </c>
      <c r="I491" s="37">
        <v>1240</v>
      </c>
      <c r="J491" s="12">
        <v>0.13300000000000001</v>
      </c>
      <c r="K491" s="12">
        <v>7</v>
      </c>
      <c r="L491" s="40">
        <f t="shared" si="45"/>
        <v>1154.44</v>
      </c>
      <c r="M491" s="11">
        <v>1680</v>
      </c>
      <c r="N491" s="12">
        <v>73.8</v>
      </c>
      <c r="O491" s="9">
        <f t="shared" si="46"/>
        <v>123984</v>
      </c>
      <c r="P491" s="75">
        <f t="shared" si="48"/>
        <v>57.783234054403941</v>
      </c>
      <c r="Q491" s="78">
        <f t="shared" si="47"/>
        <v>43.888664808443643</v>
      </c>
      <c r="R491" s="10" t="s">
        <v>171</v>
      </c>
      <c r="S491" s="81" t="s">
        <v>25</v>
      </c>
      <c r="T491" s="10" t="s">
        <v>15</v>
      </c>
      <c r="U491" s="4"/>
    </row>
    <row r="492" spans="1:21" ht="22.8" x14ac:dyDescent="0.3">
      <c r="A492" s="7" t="s">
        <v>167</v>
      </c>
      <c r="B492" s="7" t="s">
        <v>157</v>
      </c>
      <c r="C492" s="36">
        <v>216565318</v>
      </c>
      <c r="D492" s="8">
        <v>2019</v>
      </c>
      <c r="E492" s="7" t="s">
        <v>26</v>
      </c>
      <c r="F492" s="41" t="e">
        <f t="shared" si="43"/>
        <v>#VALUE!</v>
      </c>
      <c r="G492" s="11">
        <v>6</v>
      </c>
      <c r="H492" s="36" t="e">
        <f t="shared" si="44"/>
        <v>#VALUE!</v>
      </c>
      <c r="I492" s="73" t="s">
        <v>12</v>
      </c>
      <c r="J492" s="9">
        <v>0.128</v>
      </c>
      <c r="K492" s="9">
        <v>5</v>
      </c>
      <c r="L492" s="40" t="e">
        <f t="shared" si="45"/>
        <v>#VALUE!</v>
      </c>
      <c r="M492" s="18" t="s">
        <v>12</v>
      </c>
      <c r="N492" s="9">
        <v>73.8</v>
      </c>
      <c r="O492" s="9" t="e">
        <f t="shared" si="46"/>
        <v>#VALUE!</v>
      </c>
      <c r="P492" s="75" t="e">
        <f t="shared" si="48"/>
        <v>#VALUE!</v>
      </c>
      <c r="Q492" s="78" t="e">
        <f t="shared" si="47"/>
        <v>#VALUE!</v>
      </c>
      <c r="R492" s="7" t="s">
        <v>172</v>
      </c>
      <c r="S492" s="80" t="s">
        <v>28</v>
      </c>
      <c r="T492" s="7"/>
      <c r="U492" s="3" t="s">
        <v>16</v>
      </c>
    </row>
    <row r="493" spans="1:21" ht="22.8" x14ac:dyDescent="0.3">
      <c r="A493" s="10" t="s">
        <v>167</v>
      </c>
      <c r="B493" s="10" t="s">
        <v>157</v>
      </c>
      <c r="C493" s="37">
        <v>216565318</v>
      </c>
      <c r="D493" s="11">
        <v>2019</v>
      </c>
      <c r="E493" s="10" t="s">
        <v>30</v>
      </c>
      <c r="F493" s="41">
        <f t="shared" si="43"/>
        <v>3.1399302819115292E-5</v>
      </c>
      <c r="G493" s="8">
        <v>6</v>
      </c>
      <c r="H493" s="36">
        <f t="shared" si="44"/>
        <v>35456.640188395817</v>
      </c>
      <c r="I493" s="37">
        <v>68</v>
      </c>
      <c r="J493" s="12">
        <v>0.12</v>
      </c>
      <c r="K493" s="12">
        <v>4</v>
      </c>
      <c r="L493" s="40">
        <f t="shared" si="45"/>
        <v>32.64</v>
      </c>
      <c r="M493" s="11">
        <v>480</v>
      </c>
      <c r="N493" s="12">
        <v>73.8</v>
      </c>
      <c r="O493" s="9">
        <f t="shared" si="46"/>
        <v>35424</v>
      </c>
      <c r="P493" s="75">
        <f t="shared" si="48"/>
        <v>16.372261503291963</v>
      </c>
      <c r="Q493" s="78">
        <f t="shared" si="47"/>
        <v>15.102251718684245</v>
      </c>
      <c r="R493" s="10" t="s">
        <v>173</v>
      </c>
      <c r="S493" s="81" t="s">
        <v>29</v>
      </c>
      <c r="T493" s="10" t="s">
        <v>33</v>
      </c>
      <c r="U493" s="4"/>
    </row>
    <row r="494" spans="1:21" ht="22.8" x14ac:dyDescent="0.3">
      <c r="A494" s="7" t="s">
        <v>167</v>
      </c>
      <c r="B494" s="7" t="s">
        <v>157</v>
      </c>
      <c r="C494" s="36">
        <v>220892331</v>
      </c>
      <c r="D494" s="8">
        <v>2020</v>
      </c>
      <c r="E494" s="7" t="s">
        <v>11</v>
      </c>
      <c r="F494" s="41">
        <f t="shared" si="43"/>
        <v>1.1227189231843454E-3</v>
      </c>
      <c r="G494" s="11">
        <v>9</v>
      </c>
      <c r="H494" s="36">
        <f t="shared" si="44"/>
        <v>241750.73010447031</v>
      </c>
      <c r="I494" s="36">
        <v>2480</v>
      </c>
      <c r="J494" s="9">
        <v>0.13300000000000001</v>
      </c>
      <c r="K494" s="9">
        <v>8</v>
      </c>
      <c r="L494" s="40">
        <f t="shared" si="45"/>
        <v>2638.7200000000003</v>
      </c>
      <c r="M494" s="8">
        <v>3240</v>
      </c>
      <c r="N494" s="9">
        <v>73.8</v>
      </c>
      <c r="O494" s="9">
        <f t="shared" si="46"/>
        <v>239112</v>
      </c>
      <c r="P494" s="75">
        <f t="shared" si="48"/>
        <v>109.44279007335491</v>
      </c>
      <c r="Q494" s="78">
        <f t="shared" si="47"/>
        <v>66.526894843021637</v>
      </c>
      <c r="R494" s="7" t="s">
        <v>168</v>
      </c>
      <c r="S494" s="80" t="s">
        <v>19</v>
      </c>
      <c r="T494" s="7" t="s">
        <v>78</v>
      </c>
      <c r="U494" s="7"/>
    </row>
    <row r="495" spans="1:21" ht="22.8" x14ac:dyDescent="0.3">
      <c r="A495" s="10" t="s">
        <v>167</v>
      </c>
      <c r="B495" s="10" t="s">
        <v>157</v>
      </c>
      <c r="C495" s="37">
        <v>220892331</v>
      </c>
      <c r="D495" s="11">
        <v>2020</v>
      </c>
      <c r="E495" s="10" t="s">
        <v>17</v>
      </c>
      <c r="F495" s="41">
        <f t="shared" si="43"/>
        <v>2.625713610673066E-4</v>
      </c>
      <c r="G495" s="8">
        <v>7</v>
      </c>
      <c r="H495" s="36">
        <f t="shared" si="44"/>
        <v>2529.2418379995279</v>
      </c>
      <c r="I495" s="37">
        <v>580</v>
      </c>
      <c r="J495" s="12">
        <v>0.13300000000000001</v>
      </c>
      <c r="K495" s="12">
        <v>6</v>
      </c>
      <c r="L495" s="40">
        <f t="shared" si="45"/>
        <v>462.84000000000003</v>
      </c>
      <c r="M495" s="11">
        <v>28</v>
      </c>
      <c r="N495" s="12">
        <v>73.8</v>
      </c>
      <c r="O495" s="9">
        <f t="shared" si="46"/>
        <v>2066.4</v>
      </c>
      <c r="P495" s="75">
        <f t="shared" si="48"/>
        <v>1.1450111583998486</v>
      </c>
      <c r="Q495" s="78">
        <f t="shared" si="47"/>
        <v>1.1384808536388791</v>
      </c>
      <c r="R495" s="10" t="s">
        <v>169</v>
      </c>
      <c r="S495" s="81" t="s">
        <v>19</v>
      </c>
      <c r="T495" s="10" t="s">
        <v>99</v>
      </c>
      <c r="U495" s="10"/>
    </row>
    <row r="496" spans="1:21" ht="22.8" x14ac:dyDescent="0.3">
      <c r="A496" s="7" t="s">
        <v>167</v>
      </c>
      <c r="B496" s="7" t="s">
        <v>157</v>
      </c>
      <c r="C496" s="36">
        <v>220892331</v>
      </c>
      <c r="D496" s="8">
        <v>2020</v>
      </c>
      <c r="E496" s="7" t="s">
        <v>20</v>
      </c>
      <c r="F496" s="41">
        <f t="shared" si="43"/>
        <v>1.9013788215218753E-4</v>
      </c>
      <c r="G496" s="11">
        <v>7</v>
      </c>
      <c r="H496" s="36">
        <f t="shared" si="44"/>
        <v>28379.161330965177</v>
      </c>
      <c r="I496" s="36">
        <v>420</v>
      </c>
      <c r="J496" s="9">
        <v>0.13300000000000001</v>
      </c>
      <c r="K496" s="9">
        <v>6</v>
      </c>
      <c r="L496" s="40">
        <f t="shared" si="45"/>
        <v>335.15999999999997</v>
      </c>
      <c r="M496" s="8">
        <v>380</v>
      </c>
      <c r="N496" s="9">
        <v>73.8</v>
      </c>
      <c r="O496" s="9">
        <f t="shared" si="46"/>
        <v>28044</v>
      </c>
      <c r="P496" s="75">
        <f t="shared" si="48"/>
        <v>12.847508649345176</v>
      </c>
      <c r="Q496" s="78">
        <f t="shared" si="47"/>
        <v>12.056452803311746</v>
      </c>
      <c r="R496" s="7" t="s">
        <v>170</v>
      </c>
      <c r="S496" s="80" t="s">
        <v>19</v>
      </c>
      <c r="T496" s="7" t="s">
        <v>22</v>
      </c>
      <c r="U496" s="7"/>
    </row>
    <row r="497" spans="1:21" ht="22.8" x14ac:dyDescent="0.3">
      <c r="A497" s="10" t="s">
        <v>167</v>
      </c>
      <c r="B497" s="10" t="s">
        <v>157</v>
      </c>
      <c r="C497" s="37">
        <v>220892331</v>
      </c>
      <c r="D497" s="11">
        <v>2020</v>
      </c>
      <c r="E497" s="10" t="s">
        <v>23</v>
      </c>
      <c r="F497" s="41">
        <f t="shared" si="43"/>
        <v>5.6135946159217268E-4</v>
      </c>
      <c r="G497" s="8">
        <v>8</v>
      </c>
      <c r="H497" s="36">
        <f t="shared" si="44"/>
        <v>125138.4444908757</v>
      </c>
      <c r="I497" s="37">
        <v>1240</v>
      </c>
      <c r="J497" s="12">
        <v>0.13300000000000001</v>
      </c>
      <c r="K497" s="12">
        <v>7</v>
      </c>
      <c r="L497" s="40">
        <f t="shared" si="45"/>
        <v>1154.44</v>
      </c>
      <c r="M497" s="11">
        <v>1680</v>
      </c>
      <c r="N497" s="12">
        <v>73.8</v>
      </c>
      <c r="O497" s="9">
        <f t="shared" si="46"/>
        <v>123984</v>
      </c>
      <c r="P497" s="75">
        <f t="shared" si="48"/>
        <v>56.65133050312901</v>
      </c>
      <c r="Q497" s="78">
        <f t="shared" si="47"/>
        <v>43.249930504174785</v>
      </c>
      <c r="R497" s="10" t="s">
        <v>171</v>
      </c>
      <c r="S497" s="81" t="s">
        <v>25</v>
      </c>
      <c r="T497" s="10" t="s">
        <v>15</v>
      </c>
      <c r="U497" s="4"/>
    </row>
    <row r="498" spans="1:21" ht="22.8" x14ac:dyDescent="0.3">
      <c r="A498" s="7" t="s">
        <v>167</v>
      </c>
      <c r="B498" s="7" t="s">
        <v>157</v>
      </c>
      <c r="C498" s="36">
        <v>220892331</v>
      </c>
      <c r="D498" s="8">
        <v>2020</v>
      </c>
      <c r="E498" s="7" t="s">
        <v>26</v>
      </c>
      <c r="F498" s="41" t="e">
        <f t="shared" si="43"/>
        <v>#VALUE!</v>
      </c>
      <c r="G498" s="11">
        <v>6</v>
      </c>
      <c r="H498" s="36" t="e">
        <f t="shared" si="44"/>
        <v>#VALUE!</v>
      </c>
      <c r="I498" s="73" t="s">
        <v>12</v>
      </c>
      <c r="J498" s="9">
        <v>0.128</v>
      </c>
      <c r="K498" s="9">
        <v>5</v>
      </c>
      <c r="L498" s="40" t="e">
        <f t="shared" si="45"/>
        <v>#VALUE!</v>
      </c>
      <c r="M498" s="18" t="s">
        <v>12</v>
      </c>
      <c r="N498" s="9">
        <v>73.8</v>
      </c>
      <c r="O498" s="9" t="e">
        <f t="shared" si="46"/>
        <v>#VALUE!</v>
      </c>
      <c r="P498" s="75" t="e">
        <f t="shared" si="48"/>
        <v>#VALUE!</v>
      </c>
      <c r="Q498" s="78" t="e">
        <f t="shared" si="47"/>
        <v>#VALUE!</v>
      </c>
      <c r="R498" s="7" t="s">
        <v>172</v>
      </c>
      <c r="S498" s="80" t="s">
        <v>28</v>
      </c>
      <c r="T498" s="7"/>
      <c r="U498" s="3" t="s">
        <v>16</v>
      </c>
    </row>
    <row r="499" spans="1:21" ht="22.8" x14ac:dyDescent="0.3">
      <c r="A499" s="10" t="s">
        <v>167</v>
      </c>
      <c r="B499" s="10" t="s">
        <v>157</v>
      </c>
      <c r="C499" s="37">
        <v>220892331</v>
      </c>
      <c r="D499" s="11">
        <v>2020</v>
      </c>
      <c r="E499" s="10" t="s">
        <v>30</v>
      </c>
      <c r="F499" s="41">
        <f t="shared" si="43"/>
        <v>3.0784228538925599E-5</v>
      </c>
      <c r="G499" s="8">
        <v>6</v>
      </c>
      <c r="H499" s="36">
        <f t="shared" si="44"/>
        <v>35456.640184705371</v>
      </c>
      <c r="I499" s="37">
        <v>68</v>
      </c>
      <c r="J499" s="12">
        <v>0.12</v>
      </c>
      <c r="K499" s="12">
        <v>4</v>
      </c>
      <c r="L499" s="40">
        <f t="shared" si="45"/>
        <v>32.64</v>
      </c>
      <c r="M499" s="11">
        <v>480</v>
      </c>
      <c r="N499" s="12">
        <v>73.8</v>
      </c>
      <c r="O499" s="9">
        <f t="shared" si="46"/>
        <v>35424</v>
      </c>
      <c r="P499" s="75">
        <f t="shared" si="48"/>
        <v>16.051548745123874</v>
      </c>
      <c r="Q499" s="78">
        <f t="shared" si="47"/>
        <v>14.829536726416414</v>
      </c>
      <c r="R499" s="10" t="s">
        <v>173</v>
      </c>
      <c r="S499" s="81" t="s">
        <v>29</v>
      </c>
      <c r="T499" s="10" t="s">
        <v>33</v>
      </c>
      <c r="U499" s="4"/>
    </row>
    <row r="500" spans="1:21" ht="22.8" x14ac:dyDescent="0.3">
      <c r="A500" s="7" t="s">
        <v>167</v>
      </c>
      <c r="B500" s="7" t="s">
        <v>157</v>
      </c>
      <c r="C500" s="36">
        <v>225199937</v>
      </c>
      <c r="D500" s="8">
        <v>2021</v>
      </c>
      <c r="E500" s="7" t="s">
        <v>11</v>
      </c>
      <c r="F500" s="41">
        <f t="shared" si="43"/>
        <v>1.1012436473283739E-3</v>
      </c>
      <c r="G500" s="11">
        <v>9</v>
      </c>
      <c r="H500" s="36">
        <f t="shared" si="44"/>
        <v>241750.72991119282</v>
      </c>
      <c r="I500" s="36">
        <v>2480</v>
      </c>
      <c r="J500" s="9">
        <v>0.13300000000000001</v>
      </c>
      <c r="K500" s="9">
        <v>8</v>
      </c>
      <c r="L500" s="40">
        <f t="shared" si="45"/>
        <v>2638.7200000000003</v>
      </c>
      <c r="M500" s="8">
        <v>3240</v>
      </c>
      <c r="N500" s="9">
        <v>73.8</v>
      </c>
      <c r="O500" s="9">
        <f t="shared" si="46"/>
        <v>239112</v>
      </c>
      <c r="P500" s="75">
        <f t="shared" si="48"/>
        <v>107.34937723858813</v>
      </c>
      <c r="Q500" s="78">
        <f t="shared" si="47"/>
        <v>65.818778524608177</v>
      </c>
      <c r="R500" s="7" t="s">
        <v>168</v>
      </c>
      <c r="S500" s="80" t="s">
        <v>19</v>
      </c>
      <c r="T500" s="7" t="s">
        <v>78</v>
      </c>
      <c r="U500" s="7"/>
    </row>
    <row r="501" spans="1:21" ht="22.8" x14ac:dyDescent="0.3">
      <c r="A501" s="10" t="s">
        <v>167</v>
      </c>
      <c r="B501" s="10" t="s">
        <v>157</v>
      </c>
      <c r="C501" s="37">
        <v>225199937</v>
      </c>
      <c r="D501" s="11">
        <v>2021</v>
      </c>
      <c r="E501" s="10" t="s">
        <v>17</v>
      </c>
      <c r="F501" s="41">
        <f t="shared" si="43"/>
        <v>2.5754891752034548E-4</v>
      </c>
      <c r="G501" s="8">
        <v>7</v>
      </c>
      <c r="H501" s="36">
        <f t="shared" si="44"/>
        <v>2529.2418028424227</v>
      </c>
      <c r="I501" s="37">
        <v>580</v>
      </c>
      <c r="J501" s="12">
        <v>0.13300000000000001</v>
      </c>
      <c r="K501" s="12">
        <v>6</v>
      </c>
      <c r="L501" s="40">
        <f t="shared" si="45"/>
        <v>462.84000000000003</v>
      </c>
      <c r="M501" s="11">
        <v>28</v>
      </c>
      <c r="N501" s="12">
        <v>73.8</v>
      </c>
      <c r="O501" s="9">
        <f t="shared" si="46"/>
        <v>2066.4</v>
      </c>
      <c r="P501" s="75">
        <f t="shared" si="48"/>
        <v>1.1231094628780569</v>
      </c>
      <c r="Q501" s="78">
        <f t="shared" si="47"/>
        <v>1.1168261334383534</v>
      </c>
      <c r="R501" s="10" t="s">
        <v>169</v>
      </c>
      <c r="S501" s="81" t="s">
        <v>19</v>
      </c>
      <c r="T501" s="10" t="s">
        <v>99</v>
      </c>
      <c r="U501" s="10"/>
    </row>
    <row r="502" spans="1:21" ht="22.8" x14ac:dyDescent="0.3">
      <c r="A502" s="7" t="s">
        <v>167</v>
      </c>
      <c r="B502" s="7" t="s">
        <v>157</v>
      </c>
      <c r="C502" s="36">
        <v>225199937</v>
      </c>
      <c r="D502" s="8">
        <v>2021</v>
      </c>
      <c r="E502" s="7" t="s">
        <v>20</v>
      </c>
      <c r="F502" s="41">
        <f t="shared" si="43"/>
        <v>1.8650094027335362E-4</v>
      </c>
      <c r="G502" s="11">
        <v>7</v>
      </c>
      <c r="H502" s="36">
        <f t="shared" si="44"/>
        <v>28379.161305506583</v>
      </c>
      <c r="I502" s="36">
        <v>420</v>
      </c>
      <c r="J502" s="9">
        <v>0.13300000000000001</v>
      </c>
      <c r="K502" s="9">
        <v>6</v>
      </c>
      <c r="L502" s="40">
        <f t="shared" si="45"/>
        <v>335.15999999999997</v>
      </c>
      <c r="M502" s="8">
        <v>380</v>
      </c>
      <c r="N502" s="9">
        <v>73.8</v>
      </c>
      <c r="O502" s="9">
        <f t="shared" si="46"/>
        <v>28044</v>
      </c>
      <c r="P502" s="75">
        <f t="shared" si="48"/>
        <v>12.601762542014647</v>
      </c>
      <c r="Q502" s="78">
        <f t="shared" si="47"/>
        <v>11.840069191172741</v>
      </c>
      <c r="R502" s="7" t="s">
        <v>170</v>
      </c>
      <c r="S502" s="80" t="s">
        <v>19</v>
      </c>
      <c r="T502" s="7" t="s">
        <v>22</v>
      </c>
      <c r="U502" s="7"/>
    </row>
    <row r="503" spans="1:21" ht="22.8" x14ac:dyDescent="0.3">
      <c r="A503" s="10" t="s">
        <v>167</v>
      </c>
      <c r="B503" s="10" t="s">
        <v>157</v>
      </c>
      <c r="C503" s="37">
        <v>225199937</v>
      </c>
      <c r="D503" s="11">
        <v>2021</v>
      </c>
      <c r="E503" s="10" t="s">
        <v>23</v>
      </c>
      <c r="F503" s="41">
        <f t="shared" si="43"/>
        <v>5.5062182366418693E-4</v>
      </c>
      <c r="G503" s="8">
        <v>8</v>
      </c>
      <c r="H503" s="36">
        <f t="shared" si="44"/>
        <v>125138.44440497459</v>
      </c>
      <c r="I503" s="37">
        <v>1240</v>
      </c>
      <c r="J503" s="12">
        <v>0.13300000000000001</v>
      </c>
      <c r="K503" s="12">
        <v>7</v>
      </c>
      <c r="L503" s="40">
        <f t="shared" si="45"/>
        <v>1154.44</v>
      </c>
      <c r="M503" s="11">
        <v>1680</v>
      </c>
      <c r="N503" s="12">
        <v>73.8</v>
      </c>
      <c r="O503" s="9">
        <f t="shared" si="46"/>
        <v>123984</v>
      </c>
      <c r="P503" s="75">
        <f t="shared" si="48"/>
        <v>55.567708442553695</v>
      </c>
      <c r="Q503" s="78">
        <f t="shared" si="47"/>
        <v>42.631630263065055</v>
      </c>
      <c r="R503" s="10" t="s">
        <v>171</v>
      </c>
      <c r="S503" s="81" t="s">
        <v>25</v>
      </c>
      <c r="T503" s="10" t="s">
        <v>15</v>
      </c>
      <c r="U503" s="4"/>
    </row>
    <row r="504" spans="1:21" ht="22.8" x14ac:dyDescent="0.3">
      <c r="A504" s="7" t="s">
        <v>167</v>
      </c>
      <c r="B504" s="7" t="s">
        <v>157</v>
      </c>
      <c r="C504" s="36">
        <v>225199937</v>
      </c>
      <c r="D504" s="8">
        <v>2021</v>
      </c>
      <c r="E504" s="7" t="s">
        <v>26</v>
      </c>
      <c r="F504" s="41" t="e">
        <f t="shared" si="43"/>
        <v>#VALUE!</v>
      </c>
      <c r="G504" s="11">
        <v>6</v>
      </c>
      <c r="H504" s="36" t="e">
        <f t="shared" si="44"/>
        <v>#VALUE!</v>
      </c>
      <c r="I504" s="73" t="s">
        <v>12</v>
      </c>
      <c r="J504" s="9">
        <v>0.128</v>
      </c>
      <c r="K504" s="9">
        <v>5</v>
      </c>
      <c r="L504" s="40" t="e">
        <f t="shared" si="45"/>
        <v>#VALUE!</v>
      </c>
      <c r="M504" s="18" t="s">
        <v>12</v>
      </c>
      <c r="N504" s="9">
        <v>73.8</v>
      </c>
      <c r="O504" s="9" t="e">
        <f t="shared" si="46"/>
        <v>#VALUE!</v>
      </c>
      <c r="P504" s="75" t="e">
        <f t="shared" si="48"/>
        <v>#VALUE!</v>
      </c>
      <c r="Q504" s="78" t="e">
        <f t="shared" si="47"/>
        <v>#VALUE!</v>
      </c>
      <c r="R504" s="7" t="s">
        <v>172</v>
      </c>
      <c r="S504" s="80" t="s">
        <v>28</v>
      </c>
      <c r="T504" s="7"/>
      <c r="U504" s="3" t="s">
        <v>16</v>
      </c>
    </row>
    <row r="505" spans="1:21" ht="22.8" x14ac:dyDescent="0.3">
      <c r="A505" s="10" t="s">
        <v>167</v>
      </c>
      <c r="B505" s="10" t="s">
        <v>157</v>
      </c>
      <c r="C505" s="37">
        <v>225199937</v>
      </c>
      <c r="D505" s="11">
        <v>2021</v>
      </c>
      <c r="E505" s="10" t="s">
        <v>30</v>
      </c>
      <c r="F505" s="41">
        <f t="shared" si="43"/>
        <v>3.0195390329971539E-5</v>
      </c>
      <c r="G505" s="8">
        <v>6</v>
      </c>
      <c r="H505" s="36">
        <f t="shared" si="44"/>
        <v>35456.640181172341</v>
      </c>
      <c r="I505" s="37">
        <v>68</v>
      </c>
      <c r="J505" s="12">
        <v>0.12</v>
      </c>
      <c r="K505" s="12">
        <v>4</v>
      </c>
      <c r="L505" s="40">
        <f t="shared" si="45"/>
        <v>32.64</v>
      </c>
      <c r="M505" s="11">
        <v>480</v>
      </c>
      <c r="N505" s="12">
        <v>73.8</v>
      </c>
      <c r="O505" s="9">
        <f t="shared" si="46"/>
        <v>35424</v>
      </c>
      <c r="P505" s="75">
        <f t="shared" si="48"/>
        <v>15.744516030291935</v>
      </c>
      <c r="Q505" s="78">
        <f t="shared" si="47"/>
        <v>14.567633682524296</v>
      </c>
      <c r="R505" s="10" t="s">
        <v>173</v>
      </c>
      <c r="S505" s="81" t="s">
        <v>29</v>
      </c>
      <c r="T505" s="10" t="s">
        <v>33</v>
      </c>
      <c r="U505" s="4"/>
    </row>
    <row r="506" spans="1:21" ht="22.8" x14ac:dyDescent="0.3">
      <c r="A506" s="7" t="s">
        <v>167</v>
      </c>
      <c r="B506" s="7" t="s">
        <v>157</v>
      </c>
      <c r="C506" s="36">
        <v>229488994</v>
      </c>
      <c r="D506" s="8">
        <v>2022</v>
      </c>
      <c r="E506" s="7" t="s">
        <v>11</v>
      </c>
      <c r="F506" s="41">
        <f t="shared" si="43"/>
        <v>1.0806618464674607E-3</v>
      </c>
      <c r="G506" s="11">
        <v>9</v>
      </c>
      <c r="H506" s="36">
        <f t="shared" si="44"/>
        <v>241750.72972595663</v>
      </c>
      <c r="I506" s="36">
        <v>2480</v>
      </c>
      <c r="J506" s="9">
        <v>0.13300000000000001</v>
      </c>
      <c r="K506" s="9">
        <v>8</v>
      </c>
      <c r="L506" s="40">
        <f t="shared" si="45"/>
        <v>2638.7200000000003</v>
      </c>
      <c r="M506" s="8">
        <v>3240</v>
      </c>
      <c r="N506" s="9">
        <v>73.8</v>
      </c>
      <c r="O506" s="9">
        <f t="shared" si="46"/>
        <v>239112</v>
      </c>
      <c r="P506" s="75">
        <f t="shared" si="48"/>
        <v>105.34306047197916</v>
      </c>
      <c r="Q506" s="78">
        <f t="shared" si="47"/>
        <v>65.126069211813402</v>
      </c>
      <c r="R506" s="7" t="s">
        <v>168</v>
      </c>
      <c r="S506" s="80" t="s">
        <v>19</v>
      </c>
      <c r="T506" s="7" t="s">
        <v>78</v>
      </c>
      <c r="U506" s="7"/>
    </row>
    <row r="507" spans="1:21" ht="22.8" x14ac:dyDescent="0.3">
      <c r="A507" s="10" t="s">
        <v>167</v>
      </c>
      <c r="B507" s="10" t="s">
        <v>157</v>
      </c>
      <c r="C507" s="37">
        <v>229488994</v>
      </c>
      <c r="D507" s="11">
        <v>2022</v>
      </c>
      <c r="E507" s="10" t="s">
        <v>17</v>
      </c>
      <c r="F507" s="41">
        <f t="shared" si="43"/>
        <v>2.5273543183513191E-4</v>
      </c>
      <c r="G507" s="8">
        <v>7</v>
      </c>
      <c r="H507" s="36">
        <f t="shared" si="44"/>
        <v>2529.2417691480232</v>
      </c>
      <c r="I507" s="37">
        <v>580</v>
      </c>
      <c r="J507" s="12">
        <v>0.13300000000000001</v>
      </c>
      <c r="K507" s="12">
        <v>6</v>
      </c>
      <c r="L507" s="40">
        <f t="shared" si="45"/>
        <v>462.84000000000003</v>
      </c>
      <c r="M507" s="11">
        <v>28</v>
      </c>
      <c r="N507" s="12">
        <v>73.8</v>
      </c>
      <c r="O507" s="9">
        <f t="shared" si="46"/>
        <v>2066.4</v>
      </c>
      <c r="P507" s="75">
        <f t="shared" si="48"/>
        <v>1.1021189840363426</v>
      </c>
      <c r="Q507" s="78">
        <f t="shared" si="47"/>
        <v>1.0960679032001264</v>
      </c>
      <c r="R507" s="10" t="s">
        <v>169</v>
      </c>
      <c r="S507" s="81" t="s">
        <v>19</v>
      </c>
      <c r="T507" s="10" t="s">
        <v>99</v>
      </c>
      <c r="U507" s="10"/>
    </row>
    <row r="508" spans="1:21" ht="22.8" x14ac:dyDescent="0.3">
      <c r="A508" s="7" t="s">
        <v>167</v>
      </c>
      <c r="B508" s="7" t="s">
        <v>157</v>
      </c>
      <c r="C508" s="36">
        <v>229488994</v>
      </c>
      <c r="D508" s="8">
        <v>2022</v>
      </c>
      <c r="E508" s="7" t="s">
        <v>20</v>
      </c>
      <c r="F508" s="41">
        <f t="shared" si="43"/>
        <v>1.8301531270819898E-4</v>
      </c>
      <c r="G508" s="11">
        <v>7</v>
      </c>
      <c r="H508" s="36">
        <f t="shared" si="44"/>
        <v>28379.16128110719</v>
      </c>
      <c r="I508" s="36">
        <v>420</v>
      </c>
      <c r="J508" s="9">
        <v>0.13300000000000001</v>
      </c>
      <c r="K508" s="9">
        <v>6</v>
      </c>
      <c r="L508" s="40">
        <f t="shared" si="45"/>
        <v>335.15999999999997</v>
      </c>
      <c r="M508" s="8">
        <v>380</v>
      </c>
      <c r="N508" s="9">
        <v>73.8</v>
      </c>
      <c r="O508" s="9">
        <f t="shared" si="46"/>
        <v>28044</v>
      </c>
      <c r="P508" s="75">
        <f t="shared" si="48"/>
        <v>12.366240657757727</v>
      </c>
      <c r="Q508" s="78">
        <f t="shared" si="47"/>
        <v>11.63218855487017</v>
      </c>
      <c r="R508" s="7" t="s">
        <v>170</v>
      </c>
      <c r="S508" s="80" t="s">
        <v>19</v>
      </c>
      <c r="T508" s="7" t="s">
        <v>22</v>
      </c>
      <c r="U508" s="7"/>
    </row>
    <row r="509" spans="1:21" ht="22.8" x14ac:dyDescent="0.3">
      <c r="A509" s="10" t="s">
        <v>167</v>
      </c>
      <c r="B509" s="10" t="s">
        <v>157</v>
      </c>
      <c r="C509" s="37">
        <v>229488994</v>
      </c>
      <c r="D509" s="11">
        <v>2022</v>
      </c>
      <c r="E509" s="10" t="s">
        <v>23</v>
      </c>
      <c r="F509" s="41">
        <f t="shared" si="43"/>
        <v>5.4033092323373035E-4</v>
      </c>
      <c r="G509" s="8">
        <v>8</v>
      </c>
      <c r="H509" s="36">
        <f t="shared" si="44"/>
        <v>125138.44432264738</v>
      </c>
      <c r="I509" s="37">
        <v>1240</v>
      </c>
      <c r="J509" s="12">
        <v>0.13300000000000001</v>
      </c>
      <c r="K509" s="12">
        <v>7</v>
      </c>
      <c r="L509" s="40">
        <f t="shared" si="45"/>
        <v>1154.44</v>
      </c>
      <c r="M509" s="11">
        <v>1680</v>
      </c>
      <c r="N509" s="12">
        <v>73.8</v>
      </c>
      <c r="O509" s="9">
        <f t="shared" si="46"/>
        <v>123984</v>
      </c>
      <c r="P509" s="75">
        <f t="shared" si="48"/>
        <v>54.529170284587757</v>
      </c>
      <c r="Q509" s="78">
        <f t="shared" si="47"/>
        <v>42.032733349138297</v>
      </c>
      <c r="R509" s="10" t="s">
        <v>171</v>
      </c>
      <c r="S509" s="81" t="s">
        <v>25</v>
      </c>
      <c r="T509" s="10" t="s">
        <v>15</v>
      </c>
      <c r="U509" s="4"/>
    </row>
    <row r="510" spans="1:21" ht="22.8" x14ac:dyDescent="0.3">
      <c r="A510" s="7" t="s">
        <v>167</v>
      </c>
      <c r="B510" s="7" t="s">
        <v>157</v>
      </c>
      <c r="C510" s="36">
        <v>229488994</v>
      </c>
      <c r="D510" s="8">
        <v>2022</v>
      </c>
      <c r="E510" s="7" t="s">
        <v>26</v>
      </c>
      <c r="F510" s="41" t="e">
        <f t="shared" si="43"/>
        <v>#VALUE!</v>
      </c>
      <c r="G510" s="11">
        <v>6</v>
      </c>
      <c r="H510" s="36" t="e">
        <f t="shared" si="44"/>
        <v>#VALUE!</v>
      </c>
      <c r="I510" s="73" t="s">
        <v>12</v>
      </c>
      <c r="J510" s="9">
        <v>0.128</v>
      </c>
      <c r="K510" s="9">
        <v>5</v>
      </c>
      <c r="L510" s="40" t="e">
        <f t="shared" si="45"/>
        <v>#VALUE!</v>
      </c>
      <c r="M510" s="18" t="s">
        <v>12</v>
      </c>
      <c r="N510" s="9">
        <v>73.8</v>
      </c>
      <c r="O510" s="9" t="e">
        <f t="shared" si="46"/>
        <v>#VALUE!</v>
      </c>
      <c r="P510" s="75" t="e">
        <f t="shared" si="48"/>
        <v>#VALUE!</v>
      </c>
      <c r="Q510" s="78" t="e">
        <f t="shared" si="47"/>
        <v>#VALUE!</v>
      </c>
      <c r="R510" s="7" t="s">
        <v>172</v>
      </c>
      <c r="S510" s="80" t="s">
        <v>28</v>
      </c>
      <c r="T510" s="7"/>
      <c r="U510" s="3" t="s">
        <v>16</v>
      </c>
    </row>
    <row r="511" spans="1:21" ht="22.8" x14ac:dyDescent="0.3">
      <c r="A511" s="10" t="s">
        <v>167</v>
      </c>
      <c r="B511" s="10" t="s">
        <v>157</v>
      </c>
      <c r="C511" s="37">
        <v>229488994</v>
      </c>
      <c r="D511" s="11">
        <v>2022</v>
      </c>
      <c r="E511" s="10" t="s">
        <v>30</v>
      </c>
      <c r="F511" s="41">
        <f t="shared" si="43"/>
        <v>5.403309232337303E-5</v>
      </c>
      <c r="G511" s="8">
        <v>6</v>
      </c>
      <c r="H511" s="36">
        <f t="shared" si="44"/>
        <v>128397.72032419856</v>
      </c>
      <c r="I511" s="37">
        <v>124</v>
      </c>
      <c r="J511" s="12">
        <v>0.12</v>
      </c>
      <c r="K511" s="12">
        <v>4</v>
      </c>
      <c r="L511" s="40">
        <f t="shared" si="45"/>
        <v>59.519999999999996</v>
      </c>
      <c r="M511" s="11">
        <v>1739</v>
      </c>
      <c r="N511" s="12">
        <v>73.8</v>
      </c>
      <c r="O511" s="9">
        <f t="shared" si="46"/>
        <v>128338.2</v>
      </c>
      <c r="P511" s="75">
        <f t="shared" si="48"/>
        <v>55.949402228935895</v>
      </c>
      <c r="Q511" s="78">
        <f t="shared" si="47"/>
        <v>42.850184396582804</v>
      </c>
      <c r="R511" s="10" t="s">
        <v>174</v>
      </c>
      <c r="S511" s="81" t="s">
        <v>29</v>
      </c>
      <c r="T511" s="10" t="s">
        <v>33</v>
      </c>
      <c r="U511" s="4"/>
    </row>
    <row r="512" spans="1:21" ht="22.8" x14ac:dyDescent="0.3">
      <c r="A512" s="7" t="s">
        <v>167</v>
      </c>
      <c r="B512" s="7" t="s">
        <v>157</v>
      </c>
      <c r="C512" s="36">
        <v>231402117</v>
      </c>
      <c r="D512" s="8">
        <v>2023</v>
      </c>
      <c r="E512" s="7" t="s">
        <v>11</v>
      </c>
      <c r="F512" s="41">
        <f t="shared" si="43"/>
        <v>1.0717274466421583E-3</v>
      </c>
      <c r="G512" s="11">
        <v>9</v>
      </c>
      <c r="H512" s="36">
        <f t="shared" si="44"/>
        <v>241750.72964554702</v>
      </c>
      <c r="I512" s="36">
        <v>2480</v>
      </c>
      <c r="J512" s="9">
        <v>0.13300000000000001</v>
      </c>
      <c r="K512" s="9">
        <v>8</v>
      </c>
      <c r="L512" s="40">
        <f t="shared" si="45"/>
        <v>2638.7200000000003</v>
      </c>
      <c r="M512" s="8">
        <v>3240</v>
      </c>
      <c r="N512" s="9">
        <v>73.8</v>
      </c>
      <c r="O512" s="9">
        <f t="shared" si="46"/>
        <v>239112</v>
      </c>
      <c r="P512" s="75">
        <f t="shared" si="48"/>
        <v>104.4721339543955</v>
      </c>
      <c r="Q512" s="78">
        <f t="shared" si="47"/>
        <v>64.821016436316441</v>
      </c>
      <c r="R512" s="7" t="s">
        <v>168</v>
      </c>
      <c r="S512" s="80" t="s">
        <v>19</v>
      </c>
      <c r="T512" s="7" t="s">
        <v>78</v>
      </c>
      <c r="U512" s="7"/>
    </row>
    <row r="513" spans="1:21" ht="22.8" x14ac:dyDescent="0.3">
      <c r="A513" s="10" t="s">
        <v>167</v>
      </c>
      <c r="B513" s="10" t="s">
        <v>157</v>
      </c>
      <c r="C513" s="37">
        <v>231402117</v>
      </c>
      <c r="D513" s="11">
        <v>2023</v>
      </c>
      <c r="E513" s="10" t="s">
        <v>17</v>
      </c>
      <c r="F513" s="41">
        <f t="shared" si="43"/>
        <v>1.2273007856708588E-3</v>
      </c>
      <c r="G513" s="8">
        <v>7</v>
      </c>
      <c r="H513" s="36">
        <f t="shared" si="44"/>
        <v>5365.9285911054994</v>
      </c>
      <c r="I513" s="37">
        <v>2840</v>
      </c>
      <c r="J513" s="12">
        <v>0.13300000000000001</v>
      </c>
      <c r="K513" s="12">
        <v>6</v>
      </c>
      <c r="L513" s="40">
        <f t="shared" si="45"/>
        <v>2266.3200000000002</v>
      </c>
      <c r="M513" s="11">
        <v>42</v>
      </c>
      <c r="N513" s="12">
        <v>73.8</v>
      </c>
      <c r="O513" s="9">
        <f t="shared" si="46"/>
        <v>3099.6</v>
      </c>
      <c r="P513" s="75">
        <f t="shared" si="48"/>
        <v>2.3188761886329239</v>
      </c>
      <c r="Q513" s="78">
        <f t="shared" si="47"/>
        <v>2.2921968727250164</v>
      </c>
      <c r="R513" s="10" t="s">
        <v>175</v>
      </c>
      <c r="S513" s="81" t="s">
        <v>19</v>
      </c>
      <c r="T513" s="10" t="s">
        <v>99</v>
      </c>
      <c r="U513" s="10"/>
    </row>
    <row r="514" spans="1:21" ht="22.8" x14ac:dyDescent="0.3">
      <c r="A514" s="7" t="s">
        <v>167</v>
      </c>
      <c r="B514" s="7" t="s">
        <v>157</v>
      </c>
      <c r="C514" s="36">
        <v>231402117</v>
      </c>
      <c r="D514" s="8">
        <v>2023</v>
      </c>
      <c r="E514" s="7" t="s">
        <v>20</v>
      </c>
      <c r="F514" s="41">
        <f t="shared" ref="F514:F577" si="49">I514*100/C514</f>
        <v>1.8150222886681715E-4</v>
      </c>
      <c r="G514" s="11">
        <v>7</v>
      </c>
      <c r="H514" s="36">
        <f t="shared" ref="H514:H577" si="50">O514+L514+(G514*F514)</f>
        <v>28379.1612705156</v>
      </c>
      <c r="I514" s="36">
        <v>420</v>
      </c>
      <c r="J514" s="9">
        <v>0.13300000000000001</v>
      </c>
      <c r="K514" s="9">
        <v>6</v>
      </c>
      <c r="L514" s="40">
        <f t="shared" si="45"/>
        <v>335.15999999999997</v>
      </c>
      <c r="M514" s="8">
        <v>380</v>
      </c>
      <c r="N514" s="9">
        <v>73.8</v>
      </c>
      <c r="O514" s="9">
        <f t="shared" si="46"/>
        <v>28044</v>
      </c>
      <c r="P514" s="75">
        <f t="shared" si="48"/>
        <v>12.264002438022468</v>
      </c>
      <c r="Q514" s="78">
        <f t="shared" si="47"/>
        <v>11.54179667798042</v>
      </c>
      <c r="R514" s="7" t="s">
        <v>170</v>
      </c>
      <c r="S514" s="80" t="s">
        <v>19</v>
      </c>
      <c r="T514" s="7" t="s">
        <v>22</v>
      </c>
      <c r="U514" s="7"/>
    </row>
    <row r="515" spans="1:21" ht="22.8" x14ac:dyDescent="0.3">
      <c r="A515" s="10" t="s">
        <v>167</v>
      </c>
      <c r="B515" s="10" t="s">
        <v>157</v>
      </c>
      <c r="C515" s="37">
        <v>231402117</v>
      </c>
      <c r="D515" s="11">
        <v>2023</v>
      </c>
      <c r="E515" s="10" t="s">
        <v>23</v>
      </c>
      <c r="F515" s="41">
        <f t="shared" si="49"/>
        <v>5.3586372332107917E-4</v>
      </c>
      <c r="G515" s="8">
        <v>8</v>
      </c>
      <c r="H515" s="36">
        <f t="shared" si="50"/>
        <v>125138.44428690978</v>
      </c>
      <c r="I515" s="37">
        <v>1240</v>
      </c>
      <c r="J515" s="12">
        <v>0.13300000000000001</v>
      </c>
      <c r="K515" s="12">
        <v>7</v>
      </c>
      <c r="L515" s="40">
        <f t="shared" ref="L515:L578" si="51">I515*J515*K515</f>
        <v>1154.44</v>
      </c>
      <c r="M515" s="11">
        <v>1680</v>
      </c>
      <c r="N515" s="12">
        <v>73.8</v>
      </c>
      <c r="O515" s="9">
        <f t="shared" ref="O515:O578" si="52">M515*N515</f>
        <v>123984</v>
      </c>
      <c r="P515" s="75">
        <f t="shared" si="48"/>
        <v>54.078348940476538</v>
      </c>
      <c r="Q515" s="78">
        <f t="shared" ref="Q515:Q578" si="53">100*(1-EXP(-P515/100))</f>
        <v>41.770814589244097</v>
      </c>
      <c r="R515" s="10" t="s">
        <v>171</v>
      </c>
      <c r="S515" s="81" t="s">
        <v>25</v>
      </c>
      <c r="T515" s="10" t="s">
        <v>15</v>
      </c>
      <c r="U515" s="4"/>
    </row>
    <row r="516" spans="1:21" ht="22.8" x14ac:dyDescent="0.3">
      <c r="A516" s="7" t="s">
        <v>167</v>
      </c>
      <c r="B516" s="7" t="s">
        <v>157</v>
      </c>
      <c r="C516" s="36">
        <v>231402117</v>
      </c>
      <c r="D516" s="8">
        <v>2023</v>
      </c>
      <c r="E516" s="7" t="s">
        <v>26</v>
      </c>
      <c r="F516" s="41" t="e">
        <f t="shared" si="49"/>
        <v>#VALUE!</v>
      </c>
      <c r="G516" s="11">
        <v>6</v>
      </c>
      <c r="H516" s="36" t="e">
        <f t="shared" si="50"/>
        <v>#VALUE!</v>
      </c>
      <c r="I516" s="73" t="s">
        <v>12</v>
      </c>
      <c r="J516" s="9">
        <v>0.128</v>
      </c>
      <c r="K516" s="9">
        <v>5</v>
      </c>
      <c r="L516" s="40" t="e">
        <f t="shared" si="51"/>
        <v>#VALUE!</v>
      </c>
      <c r="M516" s="18" t="s">
        <v>12</v>
      </c>
      <c r="N516" s="9">
        <v>73.8</v>
      </c>
      <c r="O516" s="9" t="e">
        <f t="shared" si="52"/>
        <v>#VALUE!</v>
      </c>
      <c r="P516" s="75" t="e">
        <f t="shared" si="48"/>
        <v>#VALUE!</v>
      </c>
      <c r="Q516" s="78" t="e">
        <f t="shared" si="53"/>
        <v>#VALUE!</v>
      </c>
      <c r="R516" s="7" t="s">
        <v>172</v>
      </c>
      <c r="S516" s="80" t="s">
        <v>28</v>
      </c>
      <c r="T516" s="7"/>
      <c r="U516" s="3" t="s">
        <v>16</v>
      </c>
    </row>
    <row r="517" spans="1:21" ht="22.8" x14ac:dyDescent="0.3">
      <c r="A517" s="10" t="s">
        <v>167</v>
      </c>
      <c r="B517" s="10" t="s">
        <v>157</v>
      </c>
      <c r="C517" s="37">
        <v>231402117</v>
      </c>
      <c r="D517" s="11">
        <v>2023</v>
      </c>
      <c r="E517" s="10" t="s">
        <v>30</v>
      </c>
      <c r="F517" s="41">
        <f t="shared" si="49"/>
        <v>2.9386075149865636E-5</v>
      </c>
      <c r="G517" s="8">
        <v>6</v>
      </c>
      <c r="H517" s="36">
        <f t="shared" si="50"/>
        <v>35456.640176316447</v>
      </c>
      <c r="I517" s="37">
        <v>68</v>
      </c>
      <c r="J517" s="12">
        <v>0.12</v>
      </c>
      <c r="K517" s="12">
        <v>4</v>
      </c>
      <c r="L517" s="40">
        <f t="shared" si="51"/>
        <v>32.64</v>
      </c>
      <c r="M517" s="11">
        <v>480</v>
      </c>
      <c r="N517" s="12">
        <v>73.8</v>
      </c>
      <c r="O517" s="9">
        <f t="shared" si="52"/>
        <v>35424</v>
      </c>
      <c r="P517" s="75">
        <f t="shared" si="48"/>
        <v>15.322521952690886</v>
      </c>
      <c r="Q517" s="78">
        <f t="shared" si="53"/>
        <v>14.206352399639744</v>
      </c>
      <c r="R517" s="10" t="s">
        <v>173</v>
      </c>
      <c r="S517" s="81" t="s">
        <v>29</v>
      </c>
      <c r="T517" s="10" t="s">
        <v>33</v>
      </c>
      <c r="U517" s="4"/>
    </row>
    <row r="518" spans="1:21" ht="22.8" x14ac:dyDescent="0.3">
      <c r="A518" s="7" t="s">
        <v>167</v>
      </c>
      <c r="B518" s="7" t="s">
        <v>157</v>
      </c>
      <c r="C518" s="36">
        <v>240485658</v>
      </c>
      <c r="D518" s="8">
        <v>2024</v>
      </c>
      <c r="E518" s="7" t="s">
        <v>11</v>
      </c>
      <c r="F518" s="41">
        <f t="shared" si="49"/>
        <v>1.0312465286391424E-3</v>
      </c>
      <c r="G518" s="11">
        <v>9</v>
      </c>
      <c r="H518" s="36">
        <f t="shared" si="50"/>
        <v>241750.72928121875</v>
      </c>
      <c r="I518" s="36">
        <v>2480</v>
      </c>
      <c r="J518" s="9">
        <v>0.13300000000000001</v>
      </c>
      <c r="K518" s="9">
        <v>8</v>
      </c>
      <c r="L518" s="40">
        <f t="shared" si="51"/>
        <v>2638.7200000000003</v>
      </c>
      <c r="M518" s="8">
        <v>3240</v>
      </c>
      <c r="N518" s="9">
        <v>73.8</v>
      </c>
      <c r="O518" s="9">
        <f t="shared" si="52"/>
        <v>239112</v>
      </c>
      <c r="P518" s="75">
        <f t="shared" si="48"/>
        <v>100.52604853517657</v>
      </c>
      <c r="Q518" s="78">
        <f t="shared" si="53"/>
        <v>63.40507020439783</v>
      </c>
      <c r="R518" s="7" t="s">
        <v>168</v>
      </c>
      <c r="S518" s="80" t="s">
        <v>19</v>
      </c>
      <c r="T518" s="7" t="s">
        <v>78</v>
      </c>
      <c r="U518" s="7"/>
    </row>
    <row r="519" spans="1:21" ht="22.8" x14ac:dyDescent="0.3">
      <c r="A519" s="10" t="s">
        <v>167</v>
      </c>
      <c r="B519" s="10" t="s">
        <v>157</v>
      </c>
      <c r="C519" s="37">
        <v>240485658</v>
      </c>
      <c r="D519" s="11">
        <v>2024</v>
      </c>
      <c r="E519" s="10" t="s">
        <v>17</v>
      </c>
      <c r="F519" s="41">
        <f t="shared" si="49"/>
        <v>8.2333392205867018E-4</v>
      </c>
      <c r="G519" s="8">
        <v>7</v>
      </c>
      <c r="H519" s="36">
        <f t="shared" si="50"/>
        <v>2908.4457633374545</v>
      </c>
      <c r="I519" s="37">
        <v>1980</v>
      </c>
      <c r="J519" s="12">
        <v>0.13300000000000001</v>
      </c>
      <c r="K519" s="12">
        <v>6</v>
      </c>
      <c r="L519" s="40">
        <f t="shared" si="51"/>
        <v>1580.0400000000002</v>
      </c>
      <c r="M519" s="11">
        <v>18</v>
      </c>
      <c r="N519" s="12">
        <v>73.8</v>
      </c>
      <c r="O519" s="9">
        <f t="shared" si="52"/>
        <v>1328.3999999999999</v>
      </c>
      <c r="P519" s="75">
        <f t="shared" si="48"/>
        <v>1.209405079506843</v>
      </c>
      <c r="Q519" s="78">
        <f t="shared" si="53"/>
        <v>1.2021211698365897</v>
      </c>
      <c r="R519" s="10" t="s">
        <v>176</v>
      </c>
      <c r="S519" s="81" t="s">
        <v>19</v>
      </c>
      <c r="T519" s="10" t="s">
        <v>99</v>
      </c>
      <c r="U519" s="4"/>
    </row>
    <row r="520" spans="1:21" ht="22.8" x14ac:dyDescent="0.3">
      <c r="A520" s="7" t="s">
        <v>167</v>
      </c>
      <c r="B520" s="7" t="s">
        <v>157</v>
      </c>
      <c r="C520" s="36">
        <v>240485658</v>
      </c>
      <c r="D520" s="8">
        <v>2024</v>
      </c>
      <c r="E520" s="7" t="s">
        <v>20</v>
      </c>
      <c r="F520" s="41">
        <f t="shared" si="49"/>
        <v>1.746465895275967E-4</v>
      </c>
      <c r="G520" s="11">
        <v>7</v>
      </c>
      <c r="H520" s="36">
        <f t="shared" si="50"/>
        <v>28379.161222526127</v>
      </c>
      <c r="I520" s="36">
        <v>420</v>
      </c>
      <c r="J520" s="9">
        <v>0.13300000000000001</v>
      </c>
      <c r="K520" s="9">
        <v>6</v>
      </c>
      <c r="L520" s="40">
        <f t="shared" si="51"/>
        <v>335.15999999999997</v>
      </c>
      <c r="M520" s="8">
        <v>380</v>
      </c>
      <c r="N520" s="9">
        <v>73.8</v>
      </c>
      <c r="O520" s="9">
        <f t="shared" si="52"/>
        <v>28044</v>
      </c>
      <c r="P520" s="75">
        <f t="shared" si="48"/>
        <v>11.800770764685737</v>
      </c>
      <c r="Q520" s="78">
        <f t="shared" si="53"/>
        <v>11.131079711432202</v>
      </c>
      <c r="R520" s="7" t="s">
        <v>170</v>
      </c>
      <c r="S520" s="80" t="s">
        <v>19</v>
      </c>
      <c r="T520" s="7" t="s">
        <v>22</v>
      </c>
      <c r="U520" s="7"/>
    </row>
    <row r="521" spans="1:21" ht="22.8" x14ac:dyDescent="0.3">
      <c r="A521" s="10" t="s">
        <v>167</v>
      </c>
      <c r="B521" s="10" t="s">
        <v>157</v>
      </c>
      <c r="C521" s="37">
        <v>240485658</v>
      </c>
      <c r="D521" s="11">
        <v>2024</v>
      </c>
      <c r="E521" s="10" t="s">
        <v>23</v>
      </c>
      <c r="F521" s="41">
        <f t="shared" si="49"/>
        <v>5.1562326431957121E-4</v>
      </c>
      <c r="G521" s="8">
        <v>8</v>
      </c>
      <c r="H521" s="36">
        <f t="shared" si="50"/>
        <v>125138.44412498611</v>
      </c>
      <c r="I521" s="37">
        <v>1240</v>
      </c>
      <c r="J521" s="12">
        <v>0.13300000000000001</v>
      </c>
      <c r="K521" s="12">
        <v>7</v>
      </c>
      <c r="L521" s="40">
        <f t="shared" si="51"/>
        <v>1154.44</v>
      </c>
      <c r="M521" s="11">
        <v>1680</v>
      </c>
      <c r="N521" s="12">
        <v>73.8</v>
      </c>
      <c r="O521" s="9">
        <f t="shared" si="52"/>
        <v>123984</v>
      </c>
      <c r="P521" s="75">
        <f t="shared" si="48"/>
        <v>52.035720202901295</v>
      </c>
      <c r="Q521" s="78">
        <f t="shared" si="53"/>
        <v>40.569177805192993</v>
      </c>
      <c r="R521" s="10" t="s">
        <v>171</v>
      </c>
      <c r="S521" s="81" t="s">
        <v>25</v>
      </c>
      <c r="T521" s="10" t="s">
        <v>15</v>
      </c>
      <c r="U521" s="10"/>
    </row>
    <row r="522" spans="1:21" ht="22.8" x14ac:dyDescent="0.3">
      <c r="A522" s="7" t="s">
        <v>167</v>
      </c>
      <c r="B522" s="7" t="s">
        <v>157</v>
      </c>
      <c r="C522" s="36">
        <v>240485658</v>
      </c>
      <c r="D522" s="8">
        <v>2024</v>
      </c>
      <c r="E522" s="7" t="s">
        <v>26</v>
      </c>
      <c r="F522" s="41" t="e">
        <f t="shared" si="49"/>
        <v>#VALUE!</v>
      </c>
      <c r="G522" s="11">
        <v>6</v>
      </c>
      <c r="H522" s="36" t="e">
        <f t="shared" si="50"/>
        <v>#VALUE!</v>
      </c>
      <c r="I522" s="73" t="s">
        <v>12</v>
      </c>
      <c r="J522" s="9">
        <v>0.128</v>
      </c>
      <c r="K522" s="9">
        <v>5</v>
      </c>
      <c r="L522" s="40" t="e">
        <f t="shared" si="51"/>
        <v>#VALUE!</v>
      </c>
      <c r="M522" s="18" t="s">
        <v>12</v>
      </c>
      <c r="N522" s="9">
        <v>73.8</v>
      </c>
      <c r="O522" s="9" t="e">
        <f t="shared" si="52"/>
        <v>#VALUE!</v>
      </c>
      <c r="P522" s="75" t="e">
        <f t="shared" si="48"/>
        <v>#VALUE!</v>
      </c>
      <c r="Q522" s="78" t="e">
        <f t="shared" si="53"/>
        <v>#VALUE!</v>
      </c>
      <c r="R522" s="7" t="s">
        <v>172</v>
      </c>
      <c r="S522" s="80" t="s">
        <v>28</v>
      </c>
      <c r="T522" s="7"/>
      <c r="U522" s="3" t="s">
        <v>16</v>
      </c>
    </row>
    <row r="523" spans="1:21" ht="22.8" x14ac:dyDescent="0.3">
      <c r="A523" s="10" t="s">
        <v>167</v>
      </c>
      <c r="B523" s="10" t="s">
        <v>157</v>
      </c>
      <c r="C523" s="37">
        <v>240485658</v>
      </c>
      <c r="D523" s="11">
        <v>2024</v>
      </c>
      <c r="E523" s="10" t="s">
        <v>30</v>
      </c>
      <c r="F523" s="41">
        <f t="shared" si="49"/>
        <v>2.8276114494944228E-5</v>
      </c>
      <c r="G523" s="8">
        <v>6</v>
      </c>
      <c r="H523" s="36">
        <f t="shared" si="50"/>
        <v>35456.64016965669</v>
      </c>
      <c r="I523" s="37">
        <v>68</v>
      </c>
      <c r="J523" s="12">
        <v>0.12</v>
      </c>
      <c r="K523" s="12">
        <v>4</v>
      </c>
      <c r="L523" s="40">
        <f t="shared" si="51"/>
        <v>32.64</v>
      </c>
      <c r="M523" s="11">
        <v>480</v>
      </c>
      <c r="N523" s="12">
        <v>73.8</v>
      </c>
      <c r="O523" s="9">
        <f t="shared" si="52"/>
        <v>35424</v>
      </c>
      <c r="P523" s="75">
        <f t="shared" si="48"/>
        <v>14.743764956518399</v>
      </c>
      <c r="Q523" s="78">
        <f t="shared" si="53"/>
        <v>13.708376015315205</v>
      </c>
      <c r="R523" s="10" t="s">
        <v>173</v>
      </c>
      <c r="S523" s="81" t="s">
        <v>29</v>
      </c>
      <c r="T523" s="10" t="s">
        <v>33</v>
      </c>
      <c r="U523" s="4"/>
    </row>
    <row r="524" spans="1:21" ht="22.8" x14ac:dyDescent="0.3">
      <c r="A524" s="7" t="s">
        <v>167</v>
      </c>
      <c r="B524" s="7" t="s">
        <v>157</v>
      </c>
      <c r="C524" s="36">
        <v>245209815</v>
      </c>
      <c r="D524" s="8">
        <v>2025</v>
      </c>
      <c r="E524" s="7" t="s">
        <v>11</v>
      </c>
      <c r="F524" s="41">
        <f t="shared" si="49"/>
        <v>1.0113787655685806E-3</v>
      </c>
      <c r="G524" s="11">
        <v>9</v>
      </c>
      <c r="H524" s="36">
        <f t="shared" si="50"/>
        <v>241750.72910240889</v>
      </c>
      <c r="I524" s="36">
        <v>2480</v>
      </c>
      <c r="J524" s="9">
        <v>0.13300000000000001</v>
      </c>
      <c r="K524" s="9">
        <v>8</v>
      </c>
      <c r="L524" s="40">
        <f t="shared" si="51"/>
        <v>2638.7200000000003</v>
      </c>
      <c r="M524" s="8">
        <v>3240</v>
      </c>
      <c r="N524" s="9">
        <v>73.8</v>
      </c>
      <c r="O524" s="9">
        <f t="shared" si="52"/>
        <v>239112</v>
      </c>
      <c r="P524" s="75">
        <f t="shared" si="48"/>
        <v>98.589336280201053</v>
      </c>
      <c r="Q524" s="78">
        <f t="shared" si="53"/>
        <v>62.6894240801481</v>
      </c>
      <c r="R524" s="7" t="s">
        <v>168</v>
      </c>
      <c r="S524" s="80" t="s">
        <v>19</v>
      </c>
      <c r="T524" s="7" t="s">
        <v>78</v>
      </c>
      <c r="U524" s="7"/>
    </row>
    <row r="525" spans="1:21" ht="22.8" x14ac:dyDescent="0.3">
      <c r="A525" s="10" t="s">
        <v>167</v>
      </c>
      <c r="B525" s="10" t="s">
        <v>157</v>
      </c>
      <c r="C525" s="37">
        <v>245209815</v>
      </c>
      <c r="D525" s="11">
        <v>2025</v>
      </c>
      <c r="E525" s="10" t="s">
        <v>17</v>
      </c>
      <c r="F525" s="41">
        <f t="shared" si="49"/>
        <v>2.3653213065716802E-4</v>
      </c>
      <c r="G525" s="8">
        <v>7</v>
      </c>
      <c r="H525" s="36">
        <f t="shared" si="50"/>
        <v>2529.2416557249148</v>
      </c>
      <c r="I525" s="37">
        <v>580</v>
      </c>
      <c r="J525" s="12">
        <v>0.13300000000000001</v>
      </c>
      <c r="K525" s="12">
        <v>6</v>
      </c>
      <c r="L525" s="40">
        <f t="shared" si="51"/>
        <v>462.84000000000003</v>
      </c>
      <c r="M525" s="11">
        <v>28</v>
      </c>
      <c r="N525" s="12">
        <v>73.8</v>
      </c>
      <c r="O525" s="9">
        <f t="shared" si="52"/>
        <v>2066.4</v>
      </c>
      <c r="P525" s="75">
        <f t="shared" si="48"/>
        <v>1.0314602030611681</v>
      </c>
      <c r="Q525" s="78">
        <f t="shared" si="53"/>
        <v>1.0261588949260991</v>
      </c>
      <c r="R525" s="10" t="s">
        <v>169</v>
      </c>
      <c r="S525" s="81" t="s">
        <v>19</v>
      </c>
      <c r="T525" s="10" t="s">
        <v>99</v>
      </c>
      <c r="U525" s="4"/>
    </row>
    <row r="526" spans="1:21" ht="22.8" x14ac:dyDescent="0.3">
      <c r="A526" s="7" t="s">
        <v>167</v>
      </c>
      <c r="B526" s="7" t="s">
        <v>157</v>
      </c>
      <c r="C526" s="36">
        <v>245209815</v>
      </c>
      <c r="D526" s="8">
        <v>2025</v>
      </c>
      <c r="E526" s="7" t="s">
        <v>20</v>
      </c>
      <c r="F526" s="41">
        <f t="shared" si="49"/>
        <v>1.7128188771725961E-4</v>
      </c>
      <c r="G526" s="11">
        <v>7</v>
      </c>
      <c r="H526" s="36">
        <f t="shared" si="50"/>
        <v>28379.161198973216</v>
      </c>
      <c r="I526" s="36">
        <v>420</v>
      </c>
      <c r="J526" s="9">
        <v>0.13300000000000001</v>
      </c>
      <c r="K526" s="9">
        <v>6</v>
      </c>
      <c r="L526" s="40">
        <f t="shared" si="51"/>
        <v>335.15999999999997</v>
      </c>
      <c r="M526" s="8">
        <v>380</v>
      </c>
      <c r="N526" s="9">
        <v>73.8</v>
      </c>
      <c r="O526" s="9">
        <f t="shared" si="52"/>
        <v>28044</v>
      </c>
      <c r="P526" s="75">
        <f t="shared" si="48"/>
        <v>11.573419766648907</v>
      </c>
      <c r="Q526" s="78">
        <f t="shared" si="53"/>
        <v>10.928805485102478</v>
      </c>
      <c r="R526" s="7" t="s">
        <v>170</v>
      </c>
      <c r="S526" s="80" t="s">
        <v>19</v>
      </c>
      <c r="T526" s="7" t="s">
        <v>22</v>
      </c>
      <c r="U526" s="7"/>
    </row>
    <row r="527" spans="1:21" ht="22.8" x14ac:dyDescent="0.3">
      <c r="A527" s="10" t="s">
        <v>167</v>
      </c>
      <c r="B527" s="10" t="s">
        <v>157</v>
      </c>
      <c r="C527" s="37">
        <v>245209815</v>
      </c>
      <c r="D527" s="11">
        <v>2025</v>
      </c>
      <c r="E527" s="10" t="s">
        <v>23</v>
      </c>
      <c r="F527" s="41">
        <f t="shared" si="49"/>
        <v>5.056893827842903E-4</v>
      </c>
      <c r="G527" s="8">
        <v>8</v>
      </c>
      <c r="H527" s="36">
        <f t="shared" si="50"/>
        <v>125138.44404551506</v>
      </c>
      <c r="I527" s="37">
        <v>1240</v>
      </c>
      <c r="J527" s="12">
        <v>0.13300000000000001</v>
      </c>
      <c r="K527" s="12">
        <v>7</v>
      </c>
      <c r="L527" s="40">
        <f t="shared" si="51"/>
        <v>1154.44</v>
      </c>
      <c r="M527" s="11">
        <v>1680</v>
      </c>
      <c r="N527" s="12">
        <v>73.8</v>
      </c>
      <c r="O527" s="9">
        <f t="shared" si="52"/>
        <v>123984</v>
      </c>
      <c r="P527" s="75">
        <f t="shared" si="48"/>
        <v>51.03321171932496</v>
      </c>
      <c r="Q527" s="78">
        <f t="shared" si="53"/>
        <v>39.970382297971327</v>
      </c>
      <c r="R527" s="10" t="s">
        <v>171</v>
      </c>
      <c r="S527" s="81" t="s">
        <v>25</v>
      </c>
      <c r="T527" s="10" t="s">
        <v>15</v>
      </c>
      <c r="U527" s="4"/>
    </row>
    <row r="528" spans="1:21" ht="22.8" x14ac:dyDescent="0.3">
      <c r="A528" s="7" t="s">
        <v>167</v>
      </c>
      <c r="B528" s="7" t="s">
        <v>157</v>
      </c>
      <c r="C528" s="36">
        <v>245209815</v>
      </c>
      <c r="D528" s="8">
        <v>2025</v>
      </c>
      <c r="E528" s="7" t="s">
        <v>26</v>
      </c>
      <c r="F528" s="41" t="e">
        <f t="shared" si="49"/>
        <v>#VALUE!</v>
      </c>
      <c r="G528" s="11">
        <v>6</v>
      </c>
      <c r="H528" s="36" t="e">
        <f t="shared" si="50"/>
        <v>#VALUE!</v>
      </c>
      <c r="I528" s="73" t="s">
        <v>12</v>
      </c>
      <c r="J528" s="9">
        <v>0.128</v>
      </c>
      <c r="K528" s="9">
        <v>5</v>
      </c>
      <c r="L528" s="40" t="e">
        <f t="shared" si="51"/>
        <v>#VALUE!</v>
      </c>
      <c r="M528" s="18" t="s">
        <v>12</v>
      </c>
      <c r="N528" s="9">
        <v>73.8</v>
      </c>
      <c r="O528" s="9" t="e">
        <f t="shared" si="52"/>
        <v>#VALUE!</v>
      </c>
      <c r="P528" s="75" t="e">
        <f t="shared" si="48"/>
        <v>#VALUE!</v>
      </c>
      <c r="Q528" s="78" t="e">
        <f t="shared" si="53"/>
        <v>#VALUE!</v>
      </c>
      <c r="R528" s="7" t="s">
        <v>172</v>
      </c>
      <c r="S528" s="80" t="s">
        <v>28</v>
      </c>
      <c r="T528" s="7"/>
      <c r="U528" s="3" t="s">
        <v>16</v>
      </c>
    </row>
    <row r="529" spans="1:21" ht="22.8" x14ac:dyDescent="0.3">
      <c r="A529" s="10" t="s">
        <v>167</v>
      </c>
      <c r="B529" s="10" t="s">
        <v>157</v>
      </c>
      <c r="C529" s="37">
        <v>245209815</v>
      </c>
      <c r="D529" s="11">
        <v>2025</v>
      </c>
      <c r="E529" s="10" t="s">
        <v>30</v>
      </c>
      <c r="F529" s="41">
        <f t="shared" si="49"/>
        <v>2.7731353249461078E-5</v>
      </c>
      <c r="G529" s="8">
        <v>6</v>
      </c>
      <c r="H529" s="36">
        <f t="shared" si="50"/>
        <v>35456.640166388119</v>
      </c>
      <c r="I529" s="37">
        <v>68</v>
      </c>
      <c r="J529" s="12">
        <v>0.12</v>
      </c>
      <c r="K529" s="12">
        <v>4</v>
      </c>
      <c r="L529" s="40">
        <f t="shared" si="51"/>
        <v>32.64</v>
      </c>
      <c r="M529" s="11">
        <v>480</v>
      </c>
      <c r="N529" s="12">
        <v>73.8</v>
      </c>
      <c r="O529" s="9">
        <f t="shared" si="52"/>
        <v>35424</v>
      </c>
      <c r="P529" s="75">
        <f t="shared" si="48"/>
        <v>14.459714904310871</v>
      </c>
      <c r="Q529" s="78">
        <f t="shared" si="53"/>
        <v>13.462916162956484</v>
      </c>
      <c r="R529" s="10" t="s">
        <v>173</v>
      </c>
      <c r="S529" s="81" t="s">
        <v>29</v>
      </c>
      <c r="T529" s="10" t="s">
        <v>33</v>
      </c>
      <c r="U529" s="10"/>
    </row>
    <row r="530" spans="1:21" ht="22.8" x14ac:dyDescent="0.3">
      <c r="A530" s="7" t="s">
        <v>177</v>
      </c>
      <c r="B530" s="7" t="s">
        <v>118</v>
      </c>
      <c r="C530" s="36">
        <v>8064000</v>
      </c>
      <c r="D530" s="8">
        <v>2015</v>
      </c>
      <c r="E530" s="7" t="s">
        <v>11</v>
      </c>
      <c r="F530" s="41">
        <f t="shared" si="49"/>
        <v>2.232142857142857E-3</v>
      </c>
      <c r="G530" s="11">
        <v>9</v>
      </c>
      <c r="H530" s="36">
        <f t="shared" si="50"/>
        <v>6243.1400892857146</v>
      </c>
      <c r="I530" s="36">
        <v>180</v>
      </c>
      <c r="J530" s="9">
        <v>0.13300000000000001</v>
      </c>
      <c r="K530" s="9">
        <v>8</v>
      </c>
      <c r="L530" s="40">
        <f t="shared" si="51"/>
        <v>191.52</v>
      </c>
      <c r="M530" s="8">
        <v>82</v>
      </c>
      <c r="N530" s="9">
        <v>73.8</v>
      </c>
      <c r="O530" s="9">
        <f t="shared" si="52"/>
        <v>6051.5999999999995</v>
      </c>
      <c r="P530" s="75">
        <f t="shared" si="48"/>
        <v>77.419891980229593</v>
      </c>
      <c r="Q530" s="78">
        <f t="shared" si="53"/>
        <v>53.892701046198809</v>
      </c>
      <c r="R530" s="7" t="s">
        <v>178</v>
      </c>
      <c r="S530" s="80" t="s">
        <v>19</v>
      </c>
      <c r="T530" s="7" t="s">
        <v>78</v>
      </c>
      <c r="U530" s="7"/>
    </row>
    <row r="531" spans="1:21" ht="22.8" x14ac:dyDescent="0.3">
      <c r="A531" s="10" t="s">
        <v>177</v>
      </c>
      <c r="B531" s="10" t="s">
        <v>118</v>
      </c>
      <c r="C531" s="37">
        <v>8064000</v>
      </c>
      <c r="D531" s="11">
        <v>2015</v>
      </c>
      <c r="E531" s="10" t="s">
        <v>17</v>
      </c>
      <c r="F531" s="41">
        <f t="shared" si="49"/>
        <v>2.232142857142857E-3</v>
      </c>
      <c r="G531" s="8">
        <v>7</v>
      </c>
      <c r="H531" s="36">
        <f t="shared" si="50"/>
        <v>143.65562500000001</v>
      </c>
      <c r="I531" s="37">
        <v>180</v>
      </c>
      <c r="J531" s="12">
        <v>0.13300000000000001</v>
      </c>
      <c r="K531" s="12">
        <v>6</v>
      </c>
      <c r="L531" s="40">
        <f t="shared" si="51"/>
        <v>143.64000000000001</v>
      </c>
      <c r="M531" s="11">
        <v>0</v>
      </c>
      <c r="N531" s="12">
        <v>73.8</v>
      </c>
      <c r="O531" s="9">
        <f t="shared" si="52"/>
        <v>0</v>
      </c>
      <c r="P531" s="75">
        <f t="shared" si="48"/>
        <v>1.7814437624007937</v>
      </c>
      <c r="Q531" s="78">
        <f t="shared" si="53"/>
        <v>1.765669859631247</v>
      </c>
      <c r="R531" s="10" t="s">
        <v>179</v>
      </c>
      <c r="S531" s="81" t="s">
        <v>19</v>
      </c>
      <c r="T531" s="10" t="s">
        <v>99</v>
      </c>
      <c r="U531" s="10"/>
    </row>
    <row r="532" spans="1:21" ht="22.8" x14ac:dyDescent="0.3">
      <c r="A532" s="7" t="s">
        <v>177</v>
      </c>
      <c r="B532" s="7" t="s">
        <v>118</v>
      </c>
      <c r="C532" s="36">
        <v>8064000</v>
      </c>
      <c r="D532" s="8">
        <v>2015</v>
      </c>
      <c r="E532" s="7" t="s">
        <v>20</v>
      </c>
      <c r="F532" s="41">
        <f t="shared" si="49"/>
        <v>1.5376984126984127E-3</v>
      </c>
      <c r="G532" s="11">
        <v>7</v>
      </c>
      <c r="H532" s="36">
        <f t="shared" si="50"/>
        <v>2165.3627638888888</v>
      </c>
      <c r="I532" s="36">
        <v>124</v>
      </c>
      <c r="J532" s="9">
        <v>0.13300000000000001</v>
      </c>
      <c r="K532" s="9">
        <v>6</v>
      </c>
      <c r="L532" s="40">
        <f t="shared" si="51"/>
        <v>98.951999999999998</v>
      </c>
      <c r="M532" s="8">
        <v>28</v>
      </c>
      <c r="N532" s="9">
        <v>73.8</v>
      </c>
      <c r="O532" s="9">
        <f t="shared" si="52"/>
        <v>2066.4</v>
      </c>
      <c r="P532" s="75">
        <f t="shared" si="48"/>
        <v>26.852216814098323</v>
      </c>
      <c r="Q532" s="78">
        <f t="shared" si="53"/>
        <v>23.549152510965389</v>
      </c>
      <c r="R532" s="7" t="s">
        <v>180</v>
      </c>
      <c r="S532" s="80" t="s">
        <v>19</v>
      </c>
      <c r="T532" s="7"/>
      <c r="U532" s="7"/>
    </row>
    <row r="533" spans="1:21" ht="22.8" x14ac:dyDescent="0.3">
      <c r="A533" s="10" t="s">
        <v>177</v>
      </c>
      <c r="B533" s="10" t="s">
        <v>118</v>
      </c>
      <c r="C533" s="37">
        <v>8064000</v>
      </c>
      <c r="D533" s="11">
        <v>2015</v>
      </c>
      <c r="E533" s="10" t="s">
        <v>23</v>
      </c>
      <c r="F533" s="41">
        <f t="shared" si="49"/>
        <v>1.0416666666666667E-3</v>
      </c>
      <c r="G533" s="8">
        <v>8</v>
      </c>
      <c r="H533" s="36">
        <f t="shared" si="50"/>
        <v>1406.6123333333333</v>
      </c>
      <c r="I533" s="37">
        <v>84</v>
      </c>
      <c r="J533" s="12">
        <v>0.13300000000000001</v>
      </c>
      <c r="K533" s="12">
        <v>7</v>
      </c>
      <c r="L533" s="40">
        <f t="shared" si="51"/>
        <v>78.204000000000008</v>
      </c>
      <c r="M533" s="11">
        <v>18</v>
      </c>
      <c r="N533" s="12">
        <v>73.8</v>
      </c>
      <c r="O533" s="9">
        <f t="shared" si="52"/>
        <v>1328.3999999999999</v>
      </c>
      <c r="P533" s="75">
        <f t="shared" si="48"/>
        <v>17.443109292328042</v>
      </c>
      <c r="Q533" s="78">
        <f t="shared" si="53"/>
        <v>16.006527031796903</v>
      </c>
      <c r="R533" s="10" t="s">
        <v>181</v>
      </c>
      <c r="S533" s="81" t="s">
        <v>25</v>
      </c>
      <c r="T533" s="10" t="s">
        <v>15</v>
      </c>
      <c r="U533" s="10"/>
    </row>
    <row r="534" spans="1:21" ht="22.8" x14ac:dyDescent="0.3">
      <c r="A534" s="7" t="s">
        <v>177</v>
      </c>
      <c r="B534" s="7" t="s">
        <v>118</v>
      </c>
      <c r="C534" s="36">
        <v>8064000</v>
      </c>
      <c r="D534" s="8">
        <v>2015</v>
      </c>
      <c r="E534" s="7" t="s">
        <v>26</v>
      </c>
      <c r="F534" s="41">
        <f t="shared" si="49"/>
        <v>0</v>
      </c>
      <c r="G534" s="11">
        <v>6</v>
      </c>
      <c r="H534" s="36">
        <f t="shared" si="50"/>
        <v>0</v>
      </c>
      <c r="I534" s="36">
        <v>0</v>
      </c>
      <c r="J534" s="9">
        <v>0.128</v>
      </c>
      <c r="K534" s="9">
        <v>5</v>
      </c>
      <c r="L534" s="40">
        <f t="shared" si="51"/>
        <v>0</v>
      </c>
      <c r="M534" s="8">
        <v>0</v>
      </c>
      <c r="N534" s="9">
        <v>73.8</v>
      </c>
      <c r="O534" s="9">
        <f t="shared" si="52"/>
        <v>0</v>
      </c>
      <c r="P534" s="75">
        <f t="shared" si="48"/>
        <v>0</v>
      </c>
      <c r="Q534" s="78">
        <f t="shared" si="53"/>
        <v>0</v>
      </c>
      <c r="R534" s="7" t="s">
        <v>182</v>
      </c>
      <c r="S534" s="80" t="s">
        <v>28</v>
      </c>
      <c r="T534" s="7"/>
      <c r="U534" s="7"/>
    </row>
    <row r="535" spans="1:21" x14ac:dyDescent="0.3">
      <c r="A535" s="10" t="s">
        <v>177</v>
      </c>
      <c r="B535" s="10" t="s">
        <v>118</v>
      </c>
      <c r="C535" s="37">
        <v>8064000</v>
      </c>
      <c r="D535" s="11">
        <v>2015</v>
      </c>
      <c r="E535" s="10" t="s">
        <v>30</v>
      </c>
      <c r="F535" s="41">
        <f t="shared" si="49"/>
        <v>9.9206349206349206E-5</v>
      </c>
      <c r="G535" s="8">
        <v>6</v>
      </c>
      <c r="H535" s="36">
        <f t="shared" si="50"/>
        <v>299.04059523809519</v>
      </c>
      <c r="I535" s="37">
        <v>8</v>
      </c>
      <c r="J535" s="12">
        <v>0.12</v>
      </c>
      <c r="K535" s="12">
        <v>4</v>
      </c>
      <c r="L535" s="40">
        <f t="shared" si="51"/>
        <v>3.84</v>
      </c>
      <c r="M535" s="11">
        <v>4</v>
      </c>
      <c r="N535" s="12">
        <v>73.8</v>
      </c>
      <c r="O535" s="9">
        <f t="shared" si="52"/>
        <v>295.2</v>
      </c>
      <c r="P535" s="75">
        <f t="shared" si="48"/>
        <v>3.7083407147581253</v>
      </c>
      <c r="Q535" s="78">
        <f t="shared" si="53"/>
        <v>3.6404238776653219</v>
      </c>
      <c r="R535" s="10" t="s">
        <v>183</v>
      </c>
      <c r="S535" s="81" t="s">
        <v>29</v>
      </c>
      <c r="T535" s="10" t="s">
        <v>33</v>
      </c>
      <c r="U535" s="10"/>
    </row>
    <row r="536" spans="1:21" ht="22.8" x14ac:dyDescent="0.3">
      <c r="A536" s="7" t="s">
        <v>177</v>
      </c>
      <c r="B536" s="7" t="s">
        <v>118</v>
      </c>
      <c r="C536" s="36">
        <v>8192000</v>
      </c>
      <c r="D536" s="8">
        <v>2016</v>
      </c>
      <c r="E536" s="7" t="s">
        <v>11</v>
      </c>
      <c r="F536" s="41">
        <f t="shared" si="49"/>
        <v>2.197265625E-3</v>
      </c>
      <c r="G536" s="11">
        <v>9</v>
      </c>
      <c r="H536" s="36">
        <f t="shared" si="50"/>
        <v>6243.1397753906249</v>
      </c>
      <c r="I536" s="36">
        <v>180</v>
      </c>
      <c r="J536" s="9">
        <v>0.13300000000000001</v>
      </c>
      <c r="K536" s="9">
        <v>8</v>
      </c>
      <c r="L536" s="40">
        <f t="shared" si="51"/>
        <v>191.52</v>
      </c>
      <c r="M536" s="8">
        <v>82</v>
      </c>
      <c r="N536" s="9">
        <v>73.8</v>
      </c>
      <c r="O536" s="9">
        <f t="shared" si="52"/>
        <v>6051.5999999999995</v>
      </c>
      <c r="P536" s="75">
        <f t="shared" si="48"/>
        <v>76.21020233631134</v>
      </c>
      <c r="Q536" s="78">
        <f t="shared" si="53"/>
        <v>53.331558627678803</v>
      </c>
      <c r="R536" s="7" t="s">
        <v>178</v>
      </c>
      <c r="S536" s="80" t="s">
        <v>19</v>
      </c>
      <c r="T536" s="7" t="s">
        <v>78</v>
      </c>
      <c r="U536" s="7"/>
    </row>
    <row r="537" spans="1:21" ht="22.8" x14ac:dyDescent="0.3">
      <c r="A537" s="10" t="s">
        <v>177</v>
      </c>
      <c r="B537" s="10" t="s">
        <v>118</v>
      </c>
      <c r="C537" s="37">
        <v>8192000</v>
      </c>
      <c r="D537" s="11">
        <v>2016</v>
      </c>
      <c r="E537" s="10" t="s">
        <v>17</v>
      </c>
      <c r="F537" s="41">
        <f t="shared" si="49"/>
        <v>2.197265625E-3</v>
      </c>
      <c r="G537" s="8">
        <v>7</v>
      </c>
      <c r="H537" s="36">
        <f t="shared" si="50"/>
        <v>143.65538085937501</v>
      </c>
      <c r="I537" s="37">
        <v>180</v>
      </c>
      <c r="J537" s="12">
        <v>0.13300000000000001</v>
      </c>
      <c r="K537" s="12">
        <v>6</v>
      </c>
      <c r="L537" s="40">
        <f t="shared" si="51"/>
        <v>143.64000000000001</v>
      </c>
      <c r="M537" s="11">
        <v>0</v>
      </c>
      <c r="N537" s="12">
        <v>73.8</v>
      </c>
      <c r="O537" s="9">
        <f t="shared" si="52"/>
        <v>0</v>
      </c>
      <c r="P537" s="75">
        <f t="shared" si="48"/>
        <v>1.7536057233810427</v>
      </c>
      <c r="Q537" s="78">
        <f t="shared" si="53"/>
        <v>1.7383195417565278</v>
      </c>
      <c r="R537" s="10" t="s">
        <v>179</v>
      </c>
      <c r="S537" s="81" t="s">
        <v>19</v>
      </c>
      <c r="T537" s="10" t="s">
        <v>99</v>
      </c>
      <c r="U537" s="10"/>
    </row>
    <row r="538" spans="1:21" ht="22.8" x14ac:dyDescent="0.3">
      <c r="A538" s="7" t="s">
        <v>177</v>
      </c>
      <c r="B538" s="7" t="s">
        <v>118</v>
      </c>
      <c r="C538" s="36">
        <v>8192000</v>
      </c>
      <c r="D538" s="8">
        <v>2016</v>
      </c>
      <c r="E538" s="7" t="s">
        <v>20</v>
      </c>
      <c r="F538" s="41">
        <f t="shared" si="49"/>
        <v>1.513671875E-3</v>
      </c>
      <c r="G538" s="11">
        <v>7</v>
      </c>
      <c r="H538" s="36">
        <f t="shared" si="50"/>
        <v>2165.362595703125</v>
      </c>
      <c r="I538" s="36">
        <v>124</v>
      </c>
      <c r="J538" s="9">
        <v>0.13300000000000001</v>
      </c>
      <c r="K538" s="9">
        <v>6</v>
      </c>
      <c r="L538" s="40">
        <f t="shared" si="51"/>
        <v>98.951999999999998</v>
      </c>
      <c r="M538" s="8">
        <v>28</v>
      </c>
      <c r="N538" s="9">
        <v>73.8</v>
      </c>
      <c r="O538" s="9">
        <f t="shared" si="52"/>
        <v>2066.4</v>
      </c>
      <c r="P538" s="75">
        <f t="shared" si="48"/>
        <v>26.432648873329164</v>
      </c>
      <c r="Q538" s="78">
        <f t="shared" si="53"/>
        <v>23.227715412488337</v>
      </c>
      <c r="R538" s="7" t="s">
        <v>180</v>
      </c>
      <c r="S538" s="80" t="s">
        <v>19</v>
      </c>
      <c r="T538" s="7"/>
      <c r="U538" s="7"/>
    </row>
    <row r="539" spans="1:21" ht="22.8" x14ac:dyDescent="0.3">
      <c r="A539" s="10" t="s">
        <v>177</v>
      </c>
      <c r="B539" s="10" t="s">
        <v>118</v>
      </c>
      <c r="C539" s="37">
        <v>8192000</v>
      </c>
      <c r="D539" s="11">
        <v>2016</v>
      </c>
      <c r="E539" s="10" t="s">
        <v>23</v>
      </c>
      <c r="F539" s="41">
        <f t="shared" si="49"/>
        <v>1.025390625E-3</v>
      </c>
      <c r="G539" s="8">
        <v>8</v>
      </c>
      <c r="H539" s="36">
        <f t="shared" si="50"/>
        <v>1406.6122031249997</v>
      </c>
      <c r="I539" s="37">
        <v>84</v>
      </c>
      <c r="J539" s="12">
        <v>0.13300000000000001</v>
      </c>
      <c r="K539" s="12">
        <v>7</v>
      </c>
      <c r="L539" s="40">
        <f t="shared" si="51"/>
        <v>78.204000000000008</v>
      </c>
      <c r="M539" s="11">
        <v>18</v>
      </c>
      <c r="N539" s="12">
        <v>73.8</v>
      </c>
      <c r="O539" s="9">
        <f t="shared" si="52"/>
        <v>1328.3999999999999</v>
      </c>
      <c r="P539" s="75">
        <f t="shared" si="48"/>
        <v>17.170559120178218</v>
      </c>
      <c r="Q539" s="78">
        <f t="shared" si="53"/>
        <v>15.777290426150092</v>
      </c>
      <c r="R539" s="10" t="s">
        <v>181</v>
      </c>
      <c r="S539" s="81" t="s">
        <v>25</v>
      </c>
      <c r="T539" s="10" t="s">
        <v>15</v>
      </c>
      <c r="U539" s="10"/>
    </row>
    <row r="540" spans="1:21" ht="22.8" x14ac:dyDescent="0.3">
      <c r="A540" s="7" t="s">
        <v>177</v>
      </c>
      <c r="B540" s="7" t="s">
        <v>118</v>
      </c>
      <c r="C540" s="36">
        <v>8192000</v>
      </c>
      <c r="D540" s="8">
        <v>2016</v>
      </c>
      <c r="E540" s="7" t="s">
        <v>26</v>
      </c>
      <c r="F540" s="41">
        <f t="shared" si="49"/>
        <v>0</v>
      </c>
      <c r="G540" s="11">
        <v>6</v>
      </c>
      <c r="H540" s="36">
        <f t="shared" si="50"/>
        <v>0</v>
      </c>
      <c r="I540" s="36">
        <v>0</v>
      </c>
      <c r="J540" s="9">
        <v>0.128</v>
      </c>
      <c r="K540" s="9">
        <v>5</v>
      </c>
      <c r="L540" s="40">
        <f t="shared" si="51"/>
        <v>0</v>
      </c>
      <c r="M540" s="8">
        <v>0</v>
      </c>
      <c r="N540" s="9">
        <v>73.8</v>
      </c>
      <c r="O540" s="9">
        <f t="shared" si="52"/>
        <v>0</v>
      </c>
      <c r="P540" s="75">
        <f t="shared" si="48"/>
        <v>0</v>
      </c>
      <c r="Q540" s="78">
        <f t="shared" si="53"/>
        <v>0</v>
      </c>
      <c r="R540" s="7" t="s">
        <v>182</v>
      </c>
      <c r="S540" s="80" t="s">
        <v>28</v>
      </c>
      <c r="T540" s="7"/>
      <c r="U540" s="7"/>
    </row>
    <row r="541" spans="1:21" x14ac:dyDescent="0.3">
      <c r="A541" s="10" t="s">
        <v>177</v>
      </c>
      <c r="B541" s="10" t="s">
        <v>118</v>
      </c>
      <c r="C541" s="37">
        <v>8192000</v>
      </c>
      <c r="D541" s="11">
        <v>2016</v>
      </c>
      <c r="E541" s="10" t="s">
        <v>30</v>
      </c>
      <c r="F541" s="41">
        <f t="shared" si="49"/>
        <v>9.7656250000000005E-5</v>
      </c>
      <c r="G541" s="8">
        <v>6</v>
      </c>
      <c r="H541" s="36">
        <f t="shared" si="50"/>
        <v>299.04058593749994</v>
      </c>
      <c r="I541" s="37">
        <v>8</v>
      </c>
      <c r="J541" s="12">
        <v>0.12</v>
      </c>
      <c r="K541" s="12">
        <v>4</v>
      </c>
      <c r="L541" s="40">
        <f t="shared" si="51"/>
        <v>3.84</v>
      </c>
      <c r="M541" s="11">
        <v>4</v>
      </c>
      <c r="N541" s="12">
        <v>73.8</v>
      </c>
      <c r="O541" s="9">
        <f t="shared" si="52"/>
        <v>295.2</v>
      </c>
      <c r="P541" s="75">
        <f t="shared" ref="P541:P604" si="54">H541/C541*100000</f>
        <v>3.6503977775573722</v>
      </c>
      <c r="Q541" s="78">
        <f t="shared" si="53"/>
        <v>3.5845741300563283</v>
      </c>
      <c r="R541" s="10" t="s">
        <v>183</v>
      </c>
      <c r="S541" s="81" t="s">
        <v>29</v>
      </c>
      <c r="T541" s="10" t="s">
        <v>33</v>
      </c>
      <c r="U541" s="10"/>
    </row>
    <row r="542" spans="1:21" ht="22.8" x14ac:dyDescent="0.3">
      <c r="A542" s="7" t="s">
        <v>177</v>
      </c>
      <c r="B542" s="7" t="s">
        <v>118</v>
      </c>
      <c r="C542" s="36">
        <v>8322000</v>
      </c>
      <c r="D542" s="8">
        <v>2017</v>
      </c>
      <c r="E542" s="7" t="s">
        <v>11</v>
      </c>
      <c r="F542" s="41">
        <f t="shared" si="49"/>
        <v>2.1629416005767843E-3</v>
      </c>
      <c r="G542" s="11">
        <v>9</v>
      </c>
      <c r="H542" s="36">
        <f t="shared" si="50"/>
        <v>6243.1394664744048</v>
      </c>
      <c r="I542" s="36">
        <v>180</v>
      </c>
      <c r="J542" s="9">
        <v>0.13300000000000001</v>
      </c>
      <c r="K542" s="9">
        <v>8</v>
      </c>
      <c r="L542" s="40">
        <f t="shared" si="51"/>
        <v>191.52</v>
      </c>
      <c r="M542" s="8">
        <v>82</v>
      </c>
      <c r="N542" s="9">
        <v>73.8</v>
      </c>
      <c r="O542" s="9">
        <f t="shared" si="52"/>
        <v>6051.5999999999995</v>
      </c>
      <c r="P542" s="75">
        <f t="shared" si="54"/>
        <v>75.019700390223562</v>
      </c>
      <c r="Q542" s="78">
        <f t="shared" si="53"/>
        <v>52.772649614736288</v>
      </c>
      <c r="R542" s="7" t="s">
        <v>178</v>
      </c>
      <c r="S542" s="80" t="s">
        <v>19</v>
      </c>
      <c r="T542" s="7" t="s">
        <v>78</v>
      </c>
      <c r="U542" s="7"/>
    </row>
    <row r="543" spans="1:21" ht="22.8" x14ac:dyDescent="0.3">
      <c r="A543" s="10" t="s">
        <v>177</v>
      </c>
      <c r="B543" s="10" t="s">
        <v>118</v>
      </c>
      <c r="C543" s="37">
        <v>8322000</v>
      </c>
      <c r="D543" s="11">
        <v>2017</v>
      </c>
      <c r="E543" s="10" t="s">
        <v>17</v>
      </c>
      <c r="F543" s="41">
        <f t="shared" si="49"/>
        <v>2.1629416005767843E-3</v>
      </c>
      <c r="G543" s="8">
        <v>7</v>
      </c>
      <c r="H543" s="36">
        <f t="shared" si="50"/>
        <v>143.65514059120406</v>
      </c>
      <c r="I543" s="37">
        <v>180</v>
      </c>
      <c r="J543" s="12">
        <v>0.13300000000000001</v>
      </c>
      <c r="K543" s="12">
        <v>6</v>
      </c>
      <c r="L543" s="40">
        <f t="shared" si="51"/>
        <v>143.64000000000001</v>
      </c>
      <c r="M543" s="11">
        <v>0</v>
      </c>
      <c r="N543" s="12">
        <v>73.8</v>
      </c>
      <c r="O543" s="9">
        <f t="shared" si="52"/>
        <v>0</v>
      </c>
      <c r="P543" s="75">
        <f t="shared" si="54"/>
        <v>1.7262093317856773</v>
      </c>
      <c r="Q543" s="78">
        <f t="shared" si="53"/>
        <v>1.7113956990777113</v>
      </c>
      <c r="R543" s="10" t="s">
        <v>179</v>
      </c>
      <c r="S543" s="81" t="s">
        <v>19</v>
      </c>
      <c r="T543" s="10" t="s">
        <v>99</v>
      </c>
      <c r="U543" s="10"/>
    </row>
    <row r="544" spans="1:21" ht="22.8" x14ac:dyDescent="0.3">
      <c r="A544" s="7" t="s">
        <v>177</v>
      </c>
      <c r="B544" s="7" t="s">
        <v>118</v>
      </c>
      <c r="C544" s="36">
        <v>8322000</v>
      </c>
      <c r="D544" s="8">
        <v>2017</v>
      </c>
      <c r="E544" s="7" t="s">
        <v>20</v>
      </c>
      <c r="F544" s="41">
        <f t="shared" si="49"/>
        <v>1.4900264359528959E-3</v>
      </c>
      <c r="G544" s="11">
        <v>7</v>
      </c>
      <c r="H544" s="36">
        <f t="shared" si="50"/>
        <v>2165.3624301850514</v>
      </c>
      <c r="I544" s="36">
        <v>124</v>
      </c>
      <c r="J544" s="9">
        <v>0.13300000000000001</v>
      </c>
      <c r="K544" s="9">
        <v>6</v>
      </c>
      <c r="L544" s="40">
        <f t="shared" si="51"/>
        <v>98.951999999999998</v>
      </c>
      <c r="M544" s="8">
        <v>28</v>
      </c>
      <c r="N544" s="9">
        <v>73.8</v>
      </c>
      <c r="O544" s="9">
        <f t="shared" si="52"/>
        <v>2066.4</v>
      </c>
      <c r="P544" s="75">
        <f t="shared" si="54"/>
        <v>26.019736003184949</v>
      </c>
      <c r="Q544" s="78">
        <f t="shared" si="53"/>
        <v>22.91005739463451</v>
      </c>
      <c r="R544" s="7" t="s">
        <v>180</v>
      </c>
      <c r="S544" s="80" t="s">
        <v>19</v>
      </c>
      <c r="T544" s="7"/>
      <c r="U544" s="7"/>
    </row>
    <row r="545" spans="1:21" ht="22.8" x14ac:dyDescent="0.3">
      <c r="A545" s="10" t="s">
        <v>177</v>
      </c>
      <c r="B545" s="10" t="s">
        <v>118</v>
      </c>
      <c r="C545" s="37">
        <v>8322000</v>
      </c>
      <c r="D545" s="11">
        <v>2017</v>
      </c>
      <c r="E545" s="10" t="s">
        <v>23</v>
      </c>
      <c r="F545" s="41">
        <f t="shared" si="49"/>
        <v>1.0093727469358328E-3</v>
      </c>
      <c r="G545" s="8">
        <v>8</v>
      </c>
      <c r="H545" s="36">
        <f t="shared" si="50"/>
        <v>1406.6120749819754</v>
      </c>
      <c r="I545" s="37">
        <v>84</v>
      </c>
      <c r="J545" s="12">
        <v>0.13300000000000001</v>
      </c>
      <c r="K545" s="12">
        <v>7</v>
      </c>
      <c r="L545" s="40">
        <f t="shared" si="51"/>
        <v>78.204000000000008</v>
      </c>
      <c r="M545" s="11">
        <v>18</v>
      </c>
      <c r="N545" s="12">
        <v>73.8</v>
      </c>
      <c r="O545" s="9">
        <f t="shared" si="52"/>
        <v>1328.3999999999999</v>
      </c>
      <c r="P545" s="75">
        <f t="shared" si="54"/>
        <v>16.90233207140081</v>
      </c>
      <c r="Q545" s="78">
        <f t="shared" si="53"/>
        <v>15.551079093493513</v>
      </c>
      <c r="R545" s="10" t="s">
        <v>181</v>
      </c>
      <c r="S545" s="81" t="s">
        <v>25</v>
      </c>
      <c r="T545" s="10" t="s">
        <v>15</v>
      </c>
      <c r="U545" s="10"/>
    </row>
    <row r="546" spans="1:21" ht="22.8" x14ac:dyDescent="0.3">
      <c r="A546" s="7" t="s">
        <v>177</v>
      </c>
      <c r="B546" s="7" t="s">
        <v>118</v>
      </c>
      <c r="C546" s="36">
        <v>8322000</v>
      </c>
      <c r="D546" s="8">
        <v>2017</v>
      </c>
      <c r="E546" s="7" t="s">
        <v>26</v>
      </c>
      <c r="F546" s="41">
        <f t="shared" si="49"/>
        <v>0</v>
      </c>
      <c r="G546" s="11">
        <v>6</v>
      </c>
      <c r="H546" s="36">
        <f t="shared" si="50"/>
        <v>0</v>
      </c>
      <c r="I546" s="36">
        <v>0</v>
      </c>
      <c r="J546" s="9">
        <v>0.128</v>
      </c>
      <c r="K546" s="9">
        <v>5</v>
      </c>
      <c r="L546" s="40">
        <f t="shared" si="51"/>
        <v>0</v>
      </c>
      <c r="M546" s="8">
        <v>0</v>
      </c>
      <c r="N546" s="9">
        <v>73.8</v>
      </c>
      <c r="O546" s="9">
        <f t="shared" si="52"/>
        <v>0</v>
      </c>
      <c r="P546" s="75">
        <f t="shared" si="54"/>
        <v>0</v>
      </c>
      <c r="Q546" s="78">
        <f t="shared" si="53"/>
        <v>0</v>
      </c>
      <c r="R546" s="7" t="s">
        <v>182</v>
      </c>
      <c r="S546" s="80" t="s">
        <v>28</v>
      </c>
      <c r="T546" s="7"/>
      <c r="U546" s="7"/>
    </row>
    <row r="547" spans="1:21" x14ac:dyDescent="0.3">
      <c r="A547" s="10" t="s">
        <v>177</v>
      </c>
      <c r="B547" s="10" t="s">
        <v>118</v>
      </c>
      <c r="C547" s="37">
        <v>8322000</v>
      </c>
      <c r="D547" s="11">
        <v>2017</v>
      </c>
      <c r="E547" s="10" t="s">
        <v>30</v>
      </c>
      <c r="F547" s="41">
        <f t="shared" si="49"/>
        <v>9.6130737803412647E-5</v>
      </c>
      <c r="G547" s="8">
        <v>6</v>
      </c>
      <c r="H547" s="36">
        <f t="shared" si="50"/>
        <v>299.04057678442678</v>
      </c>
      <c r="I547" s="37">
        <v>8</v>
      </c>
      <c r="J547" s="12">
        <v>0.12</v>
      </c>
      <c r="K547" s="12">
        <v>4</v>
      </c>
      <c r="L547" s="40">
        <f t="shared" si="51"/>
        <v>3.84</v>
      </c>
      <c r="M547" s="11">
        <v>4</v>
      </c>
      <c r="N547" s="12">
        <v>73.8</v>
      </c>
      <c r="O547" s="9">
        <f t="shared" si="52"/>
        <v>295.2</v>
      </c>
      <c r="P547" s="75">
        <f t="shared" si="54"/>
        <v>3.593373909930627</v>
      </c>
      <c r="Q547" s="78">
        <f t="shared" si="53"/>
        <v>3.5295786464508594</v>
      </c>
      <c r="R547" s="10" t="s">
        <v>183</v>
      </c>
      <c r="S547" s="81" t="s">
        <v>29</v>
      </c>
      <c r="T547" s="10" t="s">
        <v>33</v>
      </c>
      <c r="U547" s="10"/>
    </row>
    <row r="548" spans="1:21" ht="22.8" x14ac:dyDescent="0.3">
      <c r="A548" s="7" t="s">
        <v>177</v>
      </c>
      <c r="B548" s="7" t="s">
        <v>118</v>
      </c>
      <c r="C548" s="36">
        <v>8452000</v>
      </c>
      <c r="D548" s="8">
        <v>2018</v>
      </c>
      <c r="E548" s="7" t="s">
        <v>11</v>
      </c>
      <c r="F548" s="41">
        <f t="shared" si="49"/>
        <v>2.1296734500709891E-3</v>
      </c>
      <c r="G548" s="11">
        <v>9</v>
      </c>
      <c r="H548" s="36">
        <f t="shared" si="50"/>
        <v>6243.1391670610501</v>
      </c>
      <c r="I548" s="36">
        <v>180</v>
      </c>
      <c r="J548" s="9">
        <v>0.13300000000000001</v>
      </c>
      <c r="K548" s="9">
        <v>8</v>
      </c>
      <c r="L548" s="40">
        <f t="shared" si="51"/>
        <v>191.52</v>
      </c>
      <c r="M548" s="8">
        <v>82</v>
      </c>
      <c r="N548" s="9">
        <v>73.8</v>
      </c>
      <c r="O548" s="9">
        <f t="shared" si="52"/>
        <v>6051.5999999999995</v>
      </c>
      <c r="P548" s="75">
        <f t="shared" si="54"/>
        <v>73.865820717712381</v>
      </c>
      <c r="Q548" s="78">
        <f t="shared" si="53"/>
        <v>52.224546675941042</v>
      </c>
      <c r="R548" s="7" t="s">
        <v>178</v>
      </c>
      <c r="S548" s="80" t="s">
        <v>19</v>
      </c>
      <c r="T548" s="7" t="s">
        <v>78</v>
      </c>
      <c r="U548" s="7"/>
    </row>
    <row r="549" spans="1:21" ht="22.8" x14ac:dyDescent="0.3">
      <c r="A549" s="10" t="s">
        <v>177</v>
      </c>
      <c r="B549" s="10" t="s">
        <v>118</v>
      </c>
      <c r="C549" s="37">
        <v>8452000</v>
      </c>
      <c r="D549" s="11">
        <v>2018</v>
      </c>
      <c r="E549" s="10" t="s">
        <v>17</v>
      </c>
      <c r="F549" s="41">
        <f t="shared" si="49"/>
        <v>2.1296734500709891E-3</v>
      </c>
      <c r="G549" s="8">
        <v>7</v>
      </c>
      <c r="H549" s="36">
        <f t="shared" si="50"/>
        <v>143.65490771415051</v>
      </c>
      <c r="I549" s="37">
        <v>180</v>
      </c>
      <c r="J549" s="12">
        <v>0.13300000000000001</v>
      </c>
      <c r="K549" s="12">
        <v>6</v>
      </c>
      <c r="L549" s="40">
        <f t="shared" si="51"/>
        <v>143.64000000000001</v>
      </c>
      <c r="M549" s="11">
        <v>0</v>
      </c>
      <c r="N549" s="12">
        <v>73.8</v>
      </c>
      <c r="O549" s="9">
        <f t="shared" si="52"/>
        <v>0</v>
      </c>
      <c r="P549" s="75">
        <f t="shared" si="54"/>
        <v>1.699655794062358</v>
      </c>
      <c r="Q549" s="78">
        <f t="shared" si="53"/>
        <v>1.6852931320328279</v>
      </c>
      <c r="R549" s="10" t="s">
        <v>179</v>
      </c>
      <c r="S549" s="81" t="s">
        <v>19</v>
      </c>
      <c r="T549" s="10" t="s">
        <v>99</v>
      </c>
      <c r="U549" s="10"/>
    </row>
    <row r="550" spans="1:21" ht="22.8" x14ac:dyDescent="0.3">
      <c r="A550" s="7" t="s">
        <v>177</v>
      </c>
      <c r="B550" s="7" t="s">
        <v>118</v>
      </c>
      <c r="C550" s="36">
        <v>8452000</v>
      </c>
      <c r="D550" s="8">
        <v>2018</v>
      </c>
      <c r="E550" s="7" t="s">
        <v>20</v>
      </c>
      <c r="F550" s="41">
        <f t="shared" si="49"/>
        <v>1.4671083767155704E-3</v>
      </c>
      <c r="G550" s="11">
        <v>7</v>
      </c>
      <c r="H550" s="36">
        <f t="shared" si="50"/>
        <v>2165.362269758637</v>
      </c>
      <c r="I550" s="36">
        <v>124</v>
      </c>
      <c r="J550" s="9">
        <v>0.13300000000000001</v>
      </c>
      <c r="K550" s="9">
        <v>6</v>
      </c>
      <c r="L550" s="40">
        <f t="shared" si="51"/>
        <v>98.951999999999998</v>
      </c>
      <c r="M550" s="8">
        <v>28</v>
      </c>
      <c r="N550" s="9">
        <v>73.8</v>
      </c>
      <c r="O550" s="9">
        <f t="shared" si="52"/>
        <v>2066.4</v>
      </c>
      <c r="P550" s="75">
        <f t="shared" si="54"/>
        <v>25.619525198280133</v>
      </c>
      <c r="Q550" s="78">
        <f t="shared" si="53"/>
        <v>22.600916920665092</v>
      </c>
      <c r="R550" s="7" t="s">
        <v>180</v>
      </c>
      <c r="S550" s="80" t="s">
        <v>19</v>
      </c>
      <c r="T550" s="7"/>
      <c r="U550" s="7"/>
    </row>
    <row r="551" spans="1:21" ht="22.8" x14ac:dyDescent="0.3">
      <c r="A551" s="10" t="s">
        <v>177</v>
      </c>
      <c r="B551" s="10" t="s">
        <v>118</v>
      </c>
      <c r="C551" s="37">
        <v>8452000</v>
      </c>
      <c r="D551" s="11">
        <v>2018</v>
      </c>
      <c r="E551" s="10" t="s">
        <v>23</v>
      </c>
      <c r="F551" s="41">
        <f t="shared" si="49"/>
        <v>9.9384761003312836E-4</v>
      </c>
      <c r="G551" s="8">
        <v>8</v>
      </c>
      <c r="H551" s="36">
        <f t="shared" si="50"/>
        <v>1406.6119507808801</v>
      </c>
      <c r="I551" s="37">
        <v>84</v>
      </c>
      <c r="J551" s="12">
        <v>0.13300000000000001</v>
      </c>
      <c r="K551" s="12">
        <v>7</v>
      </c>
      <c r="L551" s="40">
        <f t="shared" si="51"/>
        <v>78.204000000000008</v>
      </c>
      <c r="M551" s="11">
        <v>18</v>
      </c>
      <c r="N551" s="12">
        <v>73.8</v>
      </c>
      <c r="O551" s="9">
        <f t="shared" si="52"/>
        <v>1328.3999999999999</v>
      </c>
      <c r="P551" s="75">
        <f t="shared" si="54"/>
        <v>16.642356256281118</v>
      </c>
      <c r="Q551" s="78">
        <f t="shared" si="53"/>
        <v>15.331246691283141</v>
      </c>
      <c r="R551" s="10" t="s">
        <v>181</v>
      </c>
      <c r="S551" s="81" t="s">
        <v>25</v>
      </c>
      <c r="T551" s="10" t="s">
        <v>15</v>
      </c>
      <c r="U551" s="10"/>
    </row>
    <row r="552" spans="1:21" ht="22.8" x14ac:dyDescent="0.3">
      <c r="A552" s="7" t="s">
        <v>177</v>
      </c>
      <c r="B552" s="7" t="s">
        <v>118</v>
      </c>
      <c r="C552" s="36">
        <v>8452000</v>
      </c>
      <c r="D552" s="8">
        <v>2018</v>
      </c>
      <c r="E552" s="7" t="s">
        <v>26</v>
      </c>
      <c r="F552" s="41">
        <f t="shared" si="49"/>
        <v>0</v>
      </c>
      <c r="G552" s="11">
        <v>6</v>
      </c>
      <c r="H552" s="36">
        <f t="shared" si="50"/>
        <v>0</v>
      </c>
      <c r="I552" s="36">
        <v>0</v>
      </c>
      <c r="J552" s="9">
        <v>0.128</v>
      </c>
      <c r="K552" s="9">
        <v>5</v>
      </c>
      <c r="L552" s="40">
        <f t="shared" si="51"/>
        <v>0</v>
      </c>
      <c r="M552" s="8">
        <v>0</v>
      </c>
      <c r="N552" s="9">
        <v>73.8</v>
      </c>
      <c r="O552" s="9">
        <f t="shared" si="52"/>
        <v>0</v>
      </c>
      <c r="P552" s="75">
        <f t="shared" si="54"/>
        <v>0</v>
      </c>
      <c r="Q552" s="78">
        <f t="shared" si="53"/>
        <v>0</v>
      </c>
      <c r="R552" s="7" t="s">
        <v>182</v>
      </c>
      <c r="S552" s="80" t="s">
        <v>28</v>
      </c>
      <c r="T552" s="7"/>
      <c r="U552" s="7"/>
    </row>
    <row r="553" spans="1:21" x14ac:dyDescent="0.3">
      <c r="A553" s="10" t="s">
        <v>177</v>
      </c>
      <c r="B553" s="10" t="s">
        <v>118</v>
      </c>
      <c r="C553" s="37">
        <v>8452000</v>
      </c>
      <c r="D553" s="11">
        <v>2018</v>
      </c>
      <c r="E553" s="10" t="s">
        <v>30</v>
      </c>
      <c r="F553" s="41">
        <f t="shared" si="49"/>
        <v>9.4652153336488405E-5</v>
      </c>
      <c r="G553" s="8">
        <v>6</v>
      </c>
      <c r="H553" s="36">
        <f t="shared" si="50"/>
        <v>299.04056791291998</v>
      </c>
      <c r="I553" s="37">
        <v>8</v>
      </c>
      <c r="J553" s="12">
        <v>0.12</v>
      </c>
      <c r="K553" s="12">
        <v>4</v>
      </c>
      <c r="L553" s="40">
        <f t="shared" si="51"/>
        <v>3.84</v>
      </c>
      <c r="M553" s="11">
        <v>4</v>
      </c>
      <c r="N553" s="12">
        <v>73.8</v>
      </c>
      <c r="O553" s="9">
        <f t="shared" si="52"/>
        <v>295.2</v>
      </c>
      <c r="P553" s="75">
        <f t="shared" si="54"/>
        <v>3.5381042109905345</v>
      </c>
      <c r="Q553" s="78">
        <f t="shared" si="53"/>
        <v>3.4762449976866283</v>
      </c>
      <c r="R553" s="10" t="s">
        <v>183</v>
      </c>
      <c r="S553" s="81" t="s">
        <v>29</v>
      </c>
      <c r="T553" s="10" t="s">
        <v>33</v>
      </c>
      <c r="U553" s="10"/>
    </row>
    <row r="554" spans="1:21" ht="22.8" x14ac:dyDescent="0.3">
      <c r="A554" s="7" t="s">
        <v>177</v>
      </c>
      <c r="B554" s="7" t="s">
        <v>118</v>
      </c>
      <c r="C554" s="36">
        <v>8580000</v>
      </c>
      <c r="D554" s="8">
        <v>2019</v>
      </c>
      <c r="E554" s="7" t="s">
        <v>11</v>
      </c>
      <c r="F554" s="41">
        <f t="shared" si="49"/>
        <v>2.0979020979020979E-3</v>
      </c>
      <c r="G554" s="11">
        <v>9</v>
      </c>
      <c r="H554" s="36">
        <f t="shared" si="50"/>
        <v>6243.1388811188808</v>
      </c>
      <c r="I554" s="36">
        <v>180</v>
      </c>
      <c r="J554" s="9">
        <v>0.13300000000000001</v>
      </c>
      <c r="K554" s="9">
        <v>8</v>
      </c>
      <c r="L554" s="40">
        <f t="shared" si="51"/>
        <v>191.52</v>
      </c>
      <c r="M554" s="8">
        <v>82</v>
      </c>
      <c r="N554" s="9">
        <v>73.8</v>
      </c>
      <c r="O554" s="9">
        <f t="shared" si="52"/>
        <v>6051.5999999999995</v>
      </c>
      <c r="P554" s="75">
        <f t="shared" si="54"/>
        <v>72.763856423296971</v>
      </c>
      <c r="Q554" s="78">
        <f t="shared" si="53"/>
        <v>51.695166807231232</v>
      </c>
      <c r="R554" s="7" t="s">
        <v>178</v>
      </c>
      <c r="S554" s="80" t="s">
        <v>19</v>
      </c>
      <c r="T554" s="7" t="s">
        <v>78</v>
      </c>
      <c r="U554" s="7"/>
    </row>
    <row r="555" spans="1:21" ht="22.8" x14ac:dyDescent="0.3">
      <c r="A555" s="10" t="s">
        <v>177</v>
      </c>
      <c r="B555" s="10" t="s">
        <v>118</v>
      </c>
      <c r="C555" s="37">
        <v>8580000</v>
      </c>
      <c r="D555" s="11">
        <v>2019</v>
      </c>
      <c r="E555" s="10" t="s">
        <v>17</v>
      </c>
      <c r="F555" s="41">
        <f t="shared" si="49"/>
        <v>2.0979020979020979E-3</v>
      </c>
      <c r="G555" s="8">
        <v>7</v>
      </c>
      <c r="H555" s="36">
        <f t="shared" si="50"/>
        <v>143.65468531468534</v>
      </c>
      <c r="I555" s="37">
        <v>180</v>
      </c>
      <c r="J555" s="12">
        <v>0.13300000000000001</v>
      </c>
      <c r="K555" s="12">
        <v>6</v>
      </c>
      <c r="L555" s="40">
        <f t="shared" si="51"/>
        <v>143.64000000000001</v>
      </c>
      <c r="M555" s="11">
        <v>0</v>
      </c>
      <c r="N555" s="12">
        <v>73.8</v>
      </c>
      <c r="O555" s="9">
        <f t="shared" si="52"/>
        <v>0</v>
      </c>
      <c r="P555" s="75">
        <f t="shared" si="54"/>
        <v>1.6742970316396892</v>
      </c>
      <c r="Q555" s="78">
        <f t="shared" si="53"/>
        <v>1.6603585776780561</v>
      </c>
      <c r="R555" s="10" t="s">
        <v>179</v>
      </c>
      <c r="S555" s="81" t="s">
        <v>19</v>
      </c>
      <c r="T555" s="10" t="s">
        <v>99</v>
      </c>
      <c r="U555" s="10"/>
    </row>
    <row r="556" spans="1:21" ht="22.8" x14ac:dyDescent="0.3">
      <c r="A556" s="7" t="s">
        <v>177</v>
      </c>
      <c r="B556" s="7" t="s">
        <v>118</v>
      </c>
      <c r="C556" s="36">
        <v>8580000</v>
      </c>
      <c r="D556" s="8">
        <v>2019</v>
      </c>
      <c r="E556" s="7" t="s">
        <v>20</v>
      </c>
      <c r="F556" s="41">
        <f t="shared" si="49"/>
        <v>1.4452214452214452E-3</v>
      </c>
      <c r="G556" s="11">
        <v>7</v>
      </c>
      <c r="H556" s="36">
        <f t="shared" si="50"/>
        <v>2165.3621165501163</v>
      </c>
      <c r="I556" s="36">
        <v>124</v>
      </c>
      <c r="J556" s="9">
        <v>0.13300000000000001</v>
      </c>
      <c r="K556" s="9">
        <v>6</v>
      </c>
      <c r="L556" s="40">
        <f t="shared" si="51"/>
        <v>98.951999999999998</v>
      </c>
      <c r="M556" s="8">
        <v>28</v>
      </c>
      <c r="N556" s="9">
        <v>73.8</v>
      </c>
      <c r="O556" s="9">
        <f t="shared" si="52"/>
        <v>2066.4</v>
      </c>
      <c r="P556" s="75">
        <f t="shared" si="54"/>
        <v>25.23732070571231</v>
      </c>
      <c r="Q556" s="78">
        <f t="shared" si="53"/>
        <v>22.30452810304595</v>
      </c>
      <c r="R556" s="7" t="s">
        <v>180</v>
      </c>
      <c r="S556" s="80" t="s">
        <v>19</v>
      </c>
      <c r="T556" s="7"/>
      <c r="U556" s="7"/>
    </row>
    <row r="557" spans="1:21" ht="22.8" x14ac:dyDescent="0.3">
      <c r="A557" s="10" t="s">
        <v>177</v>
      </c>
      <c r="B557" s="10" t="s">
        <v>118</v>
      </c>
      <c r="C557" s="37">
        <v>8580000</v>
      </c>
      <c r="D557" s="11">
        <v>2019</v>
      </c>
      <c r="E557" s="10" t="s">
        <v>23</v>
      </c>
      <c r="F557" s="41">
        <f t="shared" si="49"/>
        <v>9.7902097902097902E-4</v>
      </c>
      <c r="G557" s="8">
        <v>8</v>
      </c>
      <c r="H557" s="36">
        <f t="shared" si="50"/>
        <v>1406.6118321678321</v>
      </c>
      <c r="I557" s="37">
        <v>84</v>
      </c>
      <c r="J557" s="12">
        <v>0.13300000000000001</v>
      </c>
      <c r="K557" s="12">
        <v>7</v>
      </c>
      <c r="L557" s="40">
        <f t="shared" si="51"/>
        <v>78.204000000000008</v>
      </c>
      <c r="M557" s="11">
        <v>18</v>
      </c>
      <c r="N557" s="12">
        <v>73.8</v>
      </c>
      <c r="O557" s="9">
        <f t="shared" si="52"/>
        <v>1328.3999999999999</v>
      </c>
      <c r="P557" s="75">
        <f t="shared" si="54"/>
        <v>16.39407729799338</v>
      </c>
      <c r="Q557" s="78">
        <f t="shared" si="53"/>
        <v>15.120770817037743</v>
      </c>
      <c r="R557" s="10" t="s">
        <v>181</v>
      </c>
      <c r="S557" s="81" t="s">
        <v>25</v>
      </c>
      <c r="T557" s="10" t="s">
        <v>15</v>
      </c>
      <c r="U557" s="10"/>
    </row>
    <row r="558" spans="1:21" ht="22.8" x14ac:dyDescent="0.3">
      <c r="A558" s="7" t="s">
        <v>177</v>
      </c>
      <c r="B558" s="7" t="s">
        <v>118</v>
      </c>
      <c r="C558" s="36">
        <v>8580000</v>
      </c>
      <c r="D558" s="8">
        <v>2019</v>
      </c>
      <c r="E558" s="7" t="s">
        <v>26</v>
      </c>
      <c r="F558" s="41">
        <f t="shared" si="49"/>
        <v>0</v>
      </c>
      <c r="G558" s="11">
        <v>6</v>
      </c>
      <c r="H558" s="36">
        <f t="shared" si="50"/>
        <v>0</v>
      </c>
      <c r="I558" s="36">
        <v>0</v>
      </c>
      <c r="J558" s="9">
        <v>0.128</v>
      </c>
      <c r="K558" s="9">
        <v>5</v>
      </c>
      <c r="L558" s="40">
        <f t="shared" si="51"/>
        <v>0</v>
      </c>
      <c r="M558" s="8">
        <v>0</v>
      </c>
      <c r="N558" s="9">
        <v>73.8</v>
      </c>
      <c r="O558" s="9">
        <f t="shared" si="52"/>
        <v>0</v>
      </c>
      <c r="P558" s="75">
        <f t="shared" si="54"/>
        <v>0</v>
      </c>
      <c r="Q558" s="78">
        <f t="shared" si="53"/>
        <v>0</v>
      </c>
      <c r="R558" s="7" t="s">
        <v>182</v>
      </c>
      <c r="S558" s="80" t="s">
        <v>28</v>
      </c>
      <c r="T558" s="7"/>
      <c r="U558" s="7"/>
    </row>
    <row r="559" spans="1:21" x14ac:dyDescent="0.3">
      <c r="A559" s="10" t="s">
        <v>177</v>
      </c>
      <c r="B559" s="10" t="s">
        <v>118</v>
      </c>
      <c r="C559" s="37">
        <v>8580000</v>
      </c>
      <c r="D559" s="11">
        <v>2019</v>
      </c>
      <c r="E559" s="10" t="s">
        <v>30</v>
      </c>
      <c r="F559" s="41">
        <f t="shared" si="49"/>
        <v>9.324009324009324E-5</v>
      </c>
      <c r="G559" s="8">
        <v>6</v>
      </c>
      <c r="H559" s="36">
        <f t="shared" si="50"/>
        <v>299.04055944055938</v>
      </c>
      <c r="I559" s="37">
        <v>8</v>
      </c>
      <c r="J559" s="12">
        <v>0.12</v>
      </c>
      <c r="K559" s="12">
        <v>4</v>
      </c>
      <c r="L559" s="40">
        <f t="shared" si="51"/>
        <v>3.84</v>
      </c>
      <c r="M559" s="11">
        <v>4</v>
      </c>
      <c r="N559" s="12">
        <v>73.8</v>
      </c>
      <c r="O559" s="9">
        <f t="shared" si="52"/>
        <v>295.2</v>
      </c>
      <c r="P559" s="75">
        <f t="shared" si="54"/>
        <v>3.4853212056009255</v>
      </c>
      <c r="Q559" s="78">
        <f t="shared" si="53"/>
        <v>3.4252834105360397</v>
      </c>
      <c r="R559" s="10" t="s">
        <v>183</v>
      </c>
      <c r="S559" s="81" t="s">
        <v>29</v>
      </c>
      <c r="T559" s="10" t="s">
        <v>33</v>
      </c>
      <c r="U559" s="10"/>
    </row>
    <row r="560" spans="1:21" ht="22.8" x14ac:dyDescent="0.3">
      <c r="A560" s="7" t="s">
        <v>177</v>
      </c>
      <c r="B560" s="7" t="s">
        <v>118</v>
      </c>
      <c r="C560" s="36">
        <v>8656000</v>
      </c>
      <c r="D560" s="8">
        <v>2020</v>
      </c>
      <c r="E560" s="7" t="s">
        <v>11</v>
      </c>
      <c r="F560" s="41">
        <f t="shared" si="49"/>
        <v>2.0794824399260627E-3</v>
      </c>
      <c r="G560" s="11">
        <v>9</v>
      </c>
      <c r="H560" s="36">
        <f t="shared" si="50"/>
        <v>6243.1387153419591</v>
      </c>
      <c r="I560" s="36">
        <v>180</v>
      </c>
      <c r="J560" s="9">
        <v>0.13300000000000001</v>
      </c>
      <c r="K560" s="9">
        <v>8</v>
      </c>
      <c r="L560" s="40">
        <f t="shared" si="51"/>
        <v>191.52</v>
      </c>
      <c r="M560" s="8">
        <v>82</v>
      </c>
      <c r="N560" s="9">
        <v>73.8</v>
      </c>
      <c r="O560" s="9">
        <f t="shared" si="52"/>
        <v>6051.5999999999995</v>
      </c>
      <c r="P560" s="75">
        <f t="shared" si="54"/>
        <v>72.124985158756459</v>
      </c>
      <c r="Q560" s="78">
        <f t="shared" si="53"/>
        <v>51.385573209332748</v>
      </c>
      <c r="R560" s="7" t="s">
        <v>178</v>
      </c>
      <c r="S560" s="80" t="s">
        <v>19</v>
      </c>
      <c r="T560" s="7" t="s">
        <v>78</v>
      </c>
      <c r="U560" s="7"/>
    </row>
    <row r="561" spans="1:21" ht="22.8" x14ac:dyDescent="0.3">
      <c r="A561" s="10" t="s">
        <v>177</v>
      </c>
      <c r="B561" s="10" t="s">
        <v>118</v>
      </c>
      <c r="C561" s="37">
        <v>8656000</v>
      </c>
      <c r="D561" s="11">
        <v>2020</v>
      </c>
      <c r="E561" s="10" t="s">
        <v>17</v>
      </c>
      <c r="F561" s="41">
        <f t="shared" si="49"/>
        <v>2.0794824399260627E-3</v>
      </c>
      <c r="G561" s="8">
        <v>7</v>
      </c>
      <c r="H561" s="36">
        <f t="shared" si="50"/>
        <v>143.6545563770795</v>
      </c>
      <c r="I561" s="37">
        <v>180</v>
      </c>
      <c r="J561" s="12">
        <v>0.13300000000000001</v>
      </c>
      <c r="K561" s="12">
        <v>6</v>
      </c>
      <c r="L561" s="40">
        <f t="shared" si="51"/>
        <v>143.64000000000001</v>
      </c>
      <c r="M561" s="11">
        <v>0</v>
      </c>
      <c r="N561" s="12">
        <v>73.8</v>
      </c>
      <c r="O561" s="9">
        <f t="shared" si="52"/>
        <v>0</v>
      </c>
      <c r="P561" s="75">
        <f t="shared" si="54"/>
        <v>1.6595951522305856</v>
      </c>
      <c r="Q561" s="78">
        <f t="shared" si="53"/>
        <v>1.6458997393503538</v>
      </c>
      <c r="R561" s="10" t="s">
        <v>179</v>
      </c>
      <c r="S561" s="81" t="s">
        <v>19</v>
      </c>
      <c r="T561" s="10" t="s">
        <v>99</v>
      </c>
      <c r="U561" s="10"/>
    </row>
    <row r="562" spans="1:21" ht="22.8" x14ac:dyDescent="0.3">
      <c r="A562" s="7" t="s">
        <v>177</v>
      </c>
      <c r="B562" s="7" t="s">
        <v>118</v>
      </c>
      <c r="C562" s="36">
        <v>8656000</v>
      </c>
      <c r="D562" s="8">
        <v>2020</v>
      </c>
      <c r="E562" s="7" t="s">
        <v>20</v>
      </c>
      <c r="F562" s="41">
        <f t="shared" si="49"/>
        <v>1.432532347504621E-3</v>
      </c>
      <c r="G562" s="11">
        <v>7</v>
      </c>
      <c r="H562" s="36">
        <f t="shared" si="50"/>
        <v>2165.3620277264322</v>
      </c>
      <c r="I562" s="36">
        <v>124</v>
      </c>
      <c r="J562" s="9">
        <v>0.13300000000000001</v>
      </c>
      <c r="K562" s="9">
        <v>6</v>
      </c>
      <c r="L562" s="40">
        <f t="shared" si="51"/>
        <v>98.951999999999998</v>
      </c>
      <c r="M562" s="8">
        <v>28</v>
      </c>
      <c r="N562" s="9">
        <v>73.8</v>
      </c>
      <c r="O562" s="9">
        <f t="shared" si="52"/>
        <v>2066.4</v>
      </c>
      <c r="P562" s="75">
        <f t="shared" si="54"/>
        <v>25.01573507077671</v>
      </c>
      <c r="Q562" s="78">
        <f t="shared" si="53"/>
        <v>22.132175214226692</v>
      </c>
      <c r="R562" s="7" t="s">
        <v>180</v>
      </c>
      <c r="S562" s="80" t="s">
        <v>19</v>
      </c>
      <c r="T562" s="7"/>
      <c r="U562" s="7"/>
    </row>
    <row r="563" spans="1:21" ht="22.8" x14ac:dyDescent="0.3">
      <c r="A563" s="10" t="s">
        <v>177</v>
      </c>
      <c r="B563" s="10" t="s">
        <v>118</v>
      </c>
      <c r="C563" s="37">
        <v>8656000</v>
      </c>
      <c r="D563" s="11">
        <v>2020</v>
      </c>
      <c r="E563" s="10" t="s">
        <v>23</v>
      </c>
      <c r="F563" s="41">
        <f t="shared" si="49"/>
        <v>9.7042513863216263E-4</v>
      </c>
      <c r="G563" s="8">
        <v>8</v>
      </c>
      <c r="H563" s="36">
        <f t="shared" si="50"/>
        <v>1406.6117634011089</v>
      </c>
      <c r="I563" s="37">
        <v>84</v>
      </c>
      <c r="J563" s="12">
        <v>0.13300000000000001</v>
      </c>
      <c r="K563" s="12">
        <v>7</v>
      </c>
      <c r="L563" s="40">
        <f t="shared" si="51"/>
        <v>78.204000000000008</v>
      </c>
      <c r="M563" s="11">
        <v>18</v>
      </c>
      <c r="N563" s="12">
        <v>73.8</v>
      </c>
      <c r="O563" s="9">
        <f t="shared" si="52"/>
        <v>1328.3999999999999</v>
      </c>
      <c r="P563" s="75">
        <f t="shared" si="54"/>
        <v>16.25013589881133</v>
      </c>
      <c r="Q563" s="78">
        <f t="shared" si="53"/>
        <v>14.998506493557962</v>
      </c>
      <c r="R563" s="10" t="s">
        <v>181</v>
      </c>
      <c r="S563" s="81" t="s">
        <v>25</v>
      </c>
      <c r="T563" s="10" t="s">
        <v>15</v>
      </c>
      <c r="U563" s="10"/>
    </row>
    <row r="564" spans="1:21" ht="22.8" x14ac:dyDescent="0.3">
      <c r="A564" s="7" t="s">
        <v>177</v>
      </c>
      <c r="B564" s="7" t="s">
        <v>118</v>
      </c>
      <c r="C564" s="36">
        <v>8656000</v>
      </c>
      <c r="D564" s="8">
        <v>2020</v>
      </c>
      <c r="E564" s="7" t="s">
        <v>26</v>
      </c>
      <c r="F564" s="41">
        <f t="shared" si="49"/>
        <v>0</v>
      </c>
      <c r="G564" s="11">
        <v>6</v>
      </c>
      <c r="H564" s="36">
        <f t="shared" si="50"/>
        <v>0</v>
      </c>
      <c r="I564" s="36">
        <v>0</v>
      </c>
      <c r="J564" s="9">
        <v>0.128</v>
      </c>
      <c r="K564" s="9">
        <v>5</v>
      </c>
      <c r="L564" s="40">
        <f t="shared" si="51"/>
        <v>0</v>
      </c>
      <c r="M564" s="8">
        <v>0</v>
      </c>
      <c r="N564" s="9">
        <v>73.8</v>
      </c>
      <c r="O564" s="9">
        <f t="shared" si="52"/>
        <v>0</v>
      </c>
      <c r="P564" s="75">
        <f t="shared" si="54"/>
        <v>0</v>
      </c>
      <c r="Q564" s="78">
        <f t="shared" si="53"/>
        <v>0</v>
      </c>
      <c r="R564" s="7" t="s">
        <v>182</v>
      </c>
      <c r="S564" s="80" t="s">
        <v>28</v>
      </c>
      <c r="T564" s="7"/>
      <c r="U564" s="7"/>
    </row>
    <row r="565" spans="1:21" x14ac:dyDescent="0.3">
      <c r="A565" s="10" t="s">
        <v>177</v>
      </c>
      <c r="B565" s="10" t="s">
        <v>118</v>
      </c>
      <c r="C565" s="37">
        <v>8656000</v>
      </c>
      <c r="D565" s="11">
        <v>2020</v>
      </c>
      <c r="E565" s="10" t="s">
        <v>30</v>
      </c>
      <c r="F565" s="41">
        <f t="shared" si="49"/>
        <v>9.2421441774491678E-5</v>
      </c>
      <c r="G565" s="8">
        <v>6</v>
      </c>
      <c r="H565" s="36">
        <f t="shared" si="50"/>
        <v>299.0405545286506</v>
      </c>
      <c r="I565" s="37">
        <v>8</v>
      </c>
      <c r="J565" s="12">
        <v>0.12</v>
      </c>
      <c r="K565" s="12">
        <v>4</v>
      </c>
      <c r="L565" s="40">
        <f t="shared" si="51"/>
        <v>3.84</v>
      </c>
      <c r="M565" s="11">
        <v>4</v>
      </c>
      <c r="N565" s="12">
        <v>73.8</v>
      </c>
      <c r="O565" s="9">
        <f t="shared" si="52"/>
        <v>295.2</v>
      </c>
      <c r="P565" s="75">
        <f t="shared" si="54"/>
        <v>3.4547198998226731</v>
      </c>
      <c r="Q565" s="78">
        <f t="shared" si="53"/>
        <v>3.395725763925761</v>
      </c>
      <c r="R565" s="10" t="s">
        <v>183</v>
      </c>
      <c r="S565" s="81" t="s">
        <v>29</v>
      </c>
      <c r="T565" s="10" t="s">
        <v>33</v>
      </c>
      <c r="U565" s="10"/>
    </row>
    <row r="566" spans="1:21" ht="22.8" x14ac:dyDescent="0.3">
      <c r="A566" s="7" t="s">
        <v>177</v>
      </c>
      <c r="B566" s="7" t="s">
        <v>118</v>
      </c>
      <c r="C566" s="36">
        <v>8789000</v>
      </c>
      <c r="D566" s="8">
        <v>2021</v>
      </c>
      <c r="E566" s="7" t="s">
        <v>11</v>
      </c>
      <c r="F566" s="41">
        <f t="shared" si="49"/>
        <v>2.0480145636591193E-3</v>
      </c>
      <c r="G566" s="11">
        <v>9</v>
      </c>
      <c r="H566" s="36">
        <f t="shared" si="50"/>
        <v>6243.1384321310725</v>
      </c>
      <c r="I566" s="36">
        <v>180</v>
      </c>
      <c r="J566" s="9">
        <v>0.13300000000000001</v>
      </c>
      <c r="K566" s="9">
        <v>8</v>
      </c>
      <c r="L566" s="40">
        <f t="shared" si="51"/>
        <v>191.52</v>
      </c>
      <c r="M566" s="8">
        <v>82</v>
      </c>
      <c r="N566" s="9">
        <v>73.8</v>
      </c>
      <c r="O566" s="9">
        <f t="shared" si="52"/>
        <v>6051.5999999999995</v>
      </c>
      <c r="P566" s="75">
        <f t="shared" si="54"/>
        <v>71.033546844135529</v>
      </c>
      <c r="Q566" s="78">
        <f t="shared" si="53"/>
        <v>50.852070599016017</v>
      </c>
      <c r="R566" s="7" t="s">
        <v>178</v>
      </c>
      <c r="S566" s="80" t="s">
        <v>19</v>
      </c>
      <c r="T566" s="7" t="s">
        <v>78</v>
      </c>
      <c r="U566" s="7"/>
    </row>
    <row r="567" spans="1:21" ht="22.8" x14ac:dyDescent="0.3">
      <c r="A567" s="10" t="s">
        <v>177</v>
      </c>
      <c r="B567" s="10" t="s">
        <v>118</v>
      </c>
      <c r="C567" s="37">
        <v>8789000</v>
      </c>
      <c r="D567" s="11">
        <v>2021</v>
      </c>
      <c r="E567" s="10" t="s">
        <v>17</v>
      </c>
      <c r="F567" s="41">
        <f t="shared" si="49"/>
        <v>2.0480145636591193E-3</v>
      </c>
      <c r="G567" s="8">
        <v>7</v>
      </c>
      <c r="H567" s="36">
        <f t="shared" si="50"/>
        <v>143.65433610194563</v>
      </c>
      <c r="I567" s="37">
        <v>180</v>
      </c>
      <c r="J567" s="12">
        <v>0.13300000000000001</v>
      </c>
      <c r="K567" s="12">
        <v>6</v>
      </c>
      <c r="L567" s="40">
        <f t="shared" si="51"/>
        <v>143.64000000000001</v>
      </c>
      <c r="M567" s="11">
        <v>0</v>
      </c>
      <c r="N567" s="12">
        <v>73.8</v>
      </c>
      <c r="O567" s="9">
        <f t="shared" si="52"/>
        <v>0</v>
      </c>
      <c r="P567" s="75">
        <f t="shared" si="54"/>
        <v>1.634478735942037</v>
      </c>
      <c r="Q567" s="78">
        <f t="shared" si="53"/>
        <v>1.621193611574967</v>
      </c>
      <c r="R567" s="10" t="s">
        <v>179</v>
      </c>
      <c r="S567" s="81" t="s">
        <v>19</v>
      </c>
      <c r="T567" s="10" t="s">
        <v>99</v>
      </c>
      <c r="U567" s="10"/>
    </row>
    <row r="568" spans="1:21" ht="22.8" x14ac:dyDescent="0.3">
      <c r="A568" s="7" t="s">
        <v>177</v>
      </c>
      <c r="B568" s="7" t="s">
        <v>118</v>
      </c>
      <c r="C568" s="36">
        <v>8789000</v>
      </c>
      <c r="D568" s="8">
        <v>2021</v>
      </c>
      <c r="E568" s="7" t="s">
        <v>20</v>
      </c>
      <c r="F568" s="41">
        <f t="shared" si="49"/>
        <v>1.4108544771873933E-3</v>
      </c>
      <c r="G568" s="11">
        <v>7</v>
      </c>
      <c r="H568" s="36">
        <f t="shared" si="50"/>
        <v>2165.3618759813403</v>
      </c>
      <c r="I568" s="36">
        <v>124</v>
      </c>
      <c r="J568" s="9">
        <v>0.13300000000000001</v>
      </c>
      <c r="K568" s="9">
        <v>6</v>
      </c>
      <c r="L568" s="40">
        <f t="shared" si="51"/>
        <v>98.951999999999998</v>
      </c>
      <c r="M568" s="8">
        <v>28</v>
      </c>
      <c r="N568" s="9">
        <v>73.8</v>
      </c>
      <c r="O568" s="9">
        <f t="shared" si="52"/>
        <v>2066.4</v>
      </c>
      <c r="P568" s="75">
        <f t="shared" si="54"/>
        <v>24.637181431122315</v>
      </c>
      <c r="Q568" s="78">
        <f t="shared" si="53"/>
        <v>21.836845090594771</v>
      </c>
      <c r="R568" s="7" t="s">
        <v>180</v>
      </c>
      <c r="S568" s="80" t="s">
        <v>19</v>
      </c>
      <c r="T568" s="7"/>
      <c r="U568" s="7"/>
    </row>
    <row r="569" spans="1:21" ht="22.8" x14ac:dyDescent="0.3">
      <c r="A569" s="10" t="s">
        <v>177</v>
      </c>
      <c r="B569" s="10" t="s">
        <v>118</v>
      </c>
      <c r="C569" s="37">
        <v>8789000</v>
      </c>
      <c r="D569" s="11">
        <v>2021</v>
      </c>
      <c r="E569" s="10" t="s">
        <v>23</v>
      </c>
      <c r="F569" s="41">
        <f t="shared" si="49"/>
        <v>9.5574012970758902E-4</v>
      </c>
      <c r="G569" s="8">
        <v>8</v>
      </c>
      <c r="H569" s="36">
        <f t="shared" si="50"/>
        <v>1406.6116459210375</v>
      </c>
      <c r="I569" s="37">
        <v>84</v>
      </c>
      <c r="J569" s="12">
        <v>0.13300000000000001</v>
      </c>
      <c r="K569" s="12">
        <v>7</v>
      </c>
      <c r="L569" s="40">
        <f t="shared" si="51"/>
        <v>78.204000000000008</v>
      </c>
      <c r="M569" s="11">
        <v>18</v>
      </c>
      <c r="N569" s="12">
        <v>73.8</v>
      </c>
      <c r="O569" s="9">
        <f t="shared" si="52"/>
        <v>1328.3999999999999</v>
      </c>
      <c r="P569" s="75">
        <f t="shared" si="54"/>
        <v>16.004228534771162</v>
      </c>
      <c r="Q569" s="78">
        <f t="shared" si="53"/>
        <v>14.789224346837804</v>
      </c>
      <c r="R569" s="10" t="s">
        <v>181</v>
      </c>
      <c r="S569" s="81" t="s">
        <v>25</v>
      </c>
      <c r="T569" s="10" t="s">
        <v>15</v>
      </c>
      <c r="U569" s="10"/>
    </row>
    <row r="570" spans="1:21" ht="22.8" x14ac:dyDescent="0.3">
      <c r="A570" s="7" t="s">
        <v>177</v>
      </c>
      <c r="B570" s="7" t="s">
        <v>118</v>
      </c>
      <c r="C570" s="36">
        <v>8789000</v>
      </c>
      <c r="D570" s="8">
        <v>2021</v>
      </c>
      <c r="E570" s="7" t="s">
        <v>26</v>
      </c>
      <c r="F570" s="41">
        <f t="shared" si="49"/>
        <v>0</v>
      </c>
      <c r="G570" s="11">
        <v>6</v>
      </c>
      <c r="H570" s="36">
        <f t="shared" si="50"/>
        <v>0</v>
      </c>
      <c r="I570" s="36">
        <v>0</v>
      </c>
      <c r="J570" s="9">
        <v>0.128</v>
      </c>
      <c r="K570" s="9">
        <v>5</v>
      </c>
      <c r="L570" s="40">
        <f t="shared" si="51"/>
        <v>0</v>
      </c>
      <c r="M570" s="8">
        <v>0</v>
      </c>
      <c r="N570" s="9">
        <v>73.8</v>
      </c>
      <c r="O570" s="9">
        <f t="shared" si="52"/>
        <v>0</v>
      </c>
      <c r="P570" s="75">
        <f t="shared" si="54"/>
        <v>0</v>
      </c>
      <c r="Q570" s="78">
        <f t="shared" si="53"/>
        <v>0</v>
      </c>
      <c r="R570" s="7" t="s">
        <v>182</v>
      </c>
      <c r="S570" s="80" t="s">
        <v>28</v>
      </c>
      <c r="T570" s="7"/>
      <c r="U570" s="7"/>
    </row>
    <row r="571" spans="1:21" x14ac:dyDescent="0.3">
      <c r="A571" s="10" t="s">
        <v>177</v>
      </c>
      <c r="B571" s="10" t="s">
        <v>118</v>
      </c>
      <c r="C571" s="37">
        <v>8789000</v>
      </c>
      <c r="D571" s="11">
        <v>2021</v>
      </c>
      <c r="E571" s="10" t="s">
        <v>30</v>
      </c>
      <c r="F571" s="41">
        <f t="shared" si="49"/>
        <v>9.1022869495960865E-5</v>
      </c>
      <c r="G571" s="8">
        <v>6</v>
      </c>
      <c r="H571" s="36">
        <f t="shared" si="50"/>
        <v>299.04054613721695</v>
      </c>
      <c r="I571" s="37">
        <v>8</v>
      </c>
      <c r="J571" s="12">
        <v>0.12</v>
      </c>
      <c r="K571" s="12">
        <v>4</v>
      </c>
      <c r="L571" s="40">
        <f t="shared" si="51"/>
        <v>3.84</v>
      </c>
      <c r="M571" s="11">
        <v>4</v>
      </c>
      <c r="N571" s="12">
        <v>73.8</v>
      </c>
      <c r="O571" s="9">
        <f t="shared" si="52"/>
        <v>295.2</v>
      </c>
      <c r="P571" s="75">
        <f t="shared" si="54"/>
        <v>3.4024410756310948</v>
      </c>
      <c r="Q571" s="78">
        <f t="shared" si="53"/>
        <v>3.345208981596981</v>
      </c>
      <c r="R571" s="10" t="s">
        <v>183</v>
      </c>
      <c r="S571" s="81" t="s">
        <v>29</v>
      </c>
      <c r="T571" s="10" t="s">
        <v>33</v>
      </c>
      <c r="U571" s="10"/>
    </row>
    <row r="572" spans="1:21" ht="22.8" x14ac:dyDescent="0.3">
      <c r="A572" s="7" t="s">
        <v>177</v>
      </c>
      <c r="B572" s="7" t="s">
        <v>118</v>
      </c>
      <c r="C572" s="36">
        <v>8900000</v>
      </c>
      <c r="D572" s="8">
        <v>2022</v>
      </c>
      <c r="E572" s="7" t="s">
        <v>11</v>
      </c>
      <c r="F572" s="41">
        <f t="shared" si="49"/>
        <v>2.0224719101123597E-3</v>
      </c>
      <c r="G572" s="11">
        <v>9</v>
      </c>
      <c r="H572" s="36">
        <f t="shared" si="50"/>
        <v>6243.1382022471907</v>
      </c>
      <c r="I572" s="36">
        <v>180</v>
      </c>
      <c r="J572" s="9">
        <v>0.13300000000000001</v>
      </c>
      <c r="K572" s="9">
        <v>8</v>
      </c>
      <c r="L572" s="40">
        <f t="shared" si="51"/>
        <v>191.52</v>
      </c>
      <c r="M572" s="8">
        <v>82</v>
      </c>
      <c r="N572" s="9">
        <v>73.8</v>
      </c>
      <c r="O572" s="9">
        <f t="shared" si="52"/>
        <v>6051.5999999999995</v>
      </c>
      <c r="P572" s="75">
        <f t="shared" si="54"/>
        <v>70.14762024996844</v>
      </c>
      <c r="Q572" s="78">
        <f t="shared" si="53"/>
        <v>50.414721586865326</v>
      </c>
      <c r="R572" s="7" t="s">
        <v>178</v>
      </c>
      <c r="S572" s="80" t="s">
        <v>19</v>
      </c>
      <c r="T572" s="7" t="s">
        <v>78</v>
      </c>
      <c r="U572" s="7"/>
    </row>
    <row r="573" spans="1:21" ht="22.8" x14ac:dyDescent="0.3">
      <c r="A573" s="10" t="s">
        <v>177</v>
      </c>
      <c r="B573" s="10" t="s">
        <v>118</v>
      </c>
      <c r="C573" s="37">
        <v>8900000</v>
      </c>
      <c r="D573" s="11">
        <v>2022</v>
      </c>
      <c r="E573" s="10" t="s">
        <v>17</v>
      </c>
      <c r="F573" s="41">
        <f t="shared" si="49"/>
        <v>2.0224719101123597E-3</v>
      </c>
      <c r="G573" s="8">
        <v>7</v>
      </c>
      <c r="H573" s="36">
        <f t="shared" si="50"/>
        <v>143.65415730337079</v>
      </c>
      <c r="I573" s="37">
        <v>180</v>
      </c>
      <c r="J573" s="12">
        <v>0.13300000000000001</v>
      </c>
      <c r="K573" s="12">
        <v>6</v>
      </c>
      <c r="L573" s="40">
        <f t="shared" si="51"/>
        <v>143.64000000000001</v>
      </c>
      <c r="M573" s="11">
        <v>0</v>
      </c>
      <c r="N573" s="12">
        <v>73.8</v>
      </c>
      <c r="O573" s="9">
        <f t="shared" si="52"/>
        <v>0</v>
      </c>
      <c r="P573" s="75">
        <f t="shared" si="54"/>
        <v>1.6140916550940541</v>
      </c>
      <c r="Q573" s="78">
        <f t="shared" si="53"/>
        <v>1.6011350001660873</v>
      </c>
      <c r="R573" s="10" t="s">
        <v>179</v>
      </c>
      <c r="S573" s="81" t="s">
        <v>19</v>
      </c>
      <c r="T573" s="10" t="s">
        <v>99</v>
      </c>
      <c r="U573" s="10"/>
    </row>
    <row r="574" spans="1:21" ht="22.8" x14ac:dyDescent="0.3">
      <c r="A574" s="7" t="s">
        <v>177</v>
      </c>
      <c r="B574" s="7" t="s">
        <v>118</v>
      </c>
      <c r="C574" s="36">
        <v>8900000</v>
      </c>
      <c r="D574" s="8">
        <v>2022</v>
      </c>
      <c r="E574" s="7" t="s">
        <v>20</v>
      </c>
      <c r="F574" s="41">
        <f t="shared" si="49"/>
        <v>1.393258426966292E-3</v>
      </c>
      <c r="G574" s="11">
        <v>7</v>
      </c>
      <c r="H574" s="36">
        <f t="shared" si="50"/>
        <v>2165.3617528089885</v>
      </c>
      <c r="I574" s="36">
        <v>124</v>
      </c>
      <c r="J574" s="9">
        <v>0.13300000000000001</v>
      </c>
      <c r="K574" s="9">
        <v>6</v>
      </c>
      <c r="L574" s="40">
        <f t="shared" si="51"/>
        <v>98.951999999999998</v>
      </c>
      <c r="M574" s="8">
        <v>28</v>
      </c>
      <c r="N574" s="9">
        <v>73.8</v>
      </c>
      <c r="O574" s="9">
        <f t="shared" si="52"/>
        <v>2066.4</v>
      </c>
      <c r="P574" s="75">
        <f t="shared" si="54"/>
        <v>24.329907334932454</v>
      </c>
      <c r="Q574" s="78">
        <f t="shared" si="53"/>
        <v>21.596300586581229</v>
      </c>
      <c r="R574" s="7" t="s">
        <v>180</v>
      </c>
      <c r="S574" s="80" t="s">
        <v>19</v>
      </c>
      <c r="T574" s="7"/>
      <c r="U574" s="7"/>
    </row>
    <row r="575" spans="1:21" ht="22.8" x14ac:dyDescent="0.3">
      <c r="A575" s="10" t="s">
        <v>177</v>
      </c>
      <c r="B575" s="10" t="s">
        <v>118</v>
      </c>
      <c r="C575" s="37">
        <v>8900000</v>
      </c>
      <c r="D575" s="11">
        <v>2022</v>
      </c>
      <c r="E575" s="10" t="s">
        <v>23</v>
      </c>
      <c r="F575" s="41">
        <f t="shared" si="49"/>
        <v>9.4382022471910113E-4</v>
      </c>
      <c r="G575" s="8">
        <v>8</v>
      </c>
      <c r="H575" s="36">
        <f t="shared" si="50"/>
        <v>1406.6115505617975</v>
      </c>
      <c r="I575" s="37">
        <v>84</v>
      </c>
      <c r="J575" s="12">
        <v>0.13300000000000001</v>
      </c>
      <c r="K575" s="12">
        <v>7</v>
      </c>
      <c r="L575" s="40">
        <f t="shared" si="51"/>
        <v>78.204000000000008</v>
      </c>
      <c r="M575" s="11">
        <v>18</v>
      </c>
      <c r="N575" s="12">
        <v>73.8</v>
      </c>
      <c r="O575" s="9">
        <f t="shared" si="52"/>
        <v>1328.3999999999999</v>
      </c>
      <c r="P575" s="75">
        <f t="shared" si="54"/>
        <v>15.804624163615703</v>
      </c>
      <c r="Q575" s="78">
        <f t="shared" si="53"/>
        <v>14.618970052959412</v>
      </c>
      <c r="R575" s="10" t="s">
        <v>181</v>
      </c>
      <c r="S575" s="81" t="s">
        <v>25</v>
      </c>
      <c r="T575" s="10" t="s">
        <v>15</v>
      </c>
      <c r="U575" s="10"/>
    </row>
    <row r="576" spans="1:21" ht="22.8" x14ac:dyDescent="0.3">
      <c r="A576" s="7" t="s">
        <v>177</v>
      </c>
      <c r="B576" s="7" t="s">
        <v>118</v>
      </c>
      <c r="C576" s="36">
        <v>8900000</v>
      </c>
      <c r="D576" s="8">
        <v>2022</v>
      </c>
      <c r="E576" s="7" t="s">
        <v>26</v>
      </c>
      <c r="F576" s="41">
        <f t="shared" si="49"/>
        <v>0</v>
      </c>
      <c r="G576" s="11">
        <v>6</v>
      </c>
      <c r="H576" s="36">
        <f t="shared" si="50"/>
        <v>0</v>
      </c>
      <c r="I576" s="36">
        <v>0</v>
      </c>
      <c r="J576" s="9">
        <v>0.128</v>
      </c>
      <c r="K576" s="9">
        <v>5</v>
      </c>
      <c r="L576" s="40">
        <f t="shared" si="51"/>
        <v>0</v>
      </c>
      <c r="M576" s="8">
        <v>0</v>
      </c>
      <c r="N576" s="9">
        <v>73.8</v>
      </c>
      <c r="O576" s="9">
        <f t="shared" si="52"/>
        <v>0</v>
      </c>
      <c r="P576" s="75">
        <f t="shared" si="54"/>
        <v>0</v>
      </c>
      <c r="Q576" s="78">
        <f t="shared" si="53"/>
        <v>0</v>
      </c>
      <c r="R576" s="7" t="s">
        <v>182</v>
      </c>
      <c r="S576" s="80" t="s">
        <v>28</v>
      </c>
      <c r="T576" s="7"/>
      <c r="U576" s="7"/>
    </row>
    <row r="577" spans="1:21" x14ac:dyDescent="0.3">
      <c r="A577" s="10" t="s">
        <v>177</v>
      </c>
      <c r="B577" s="10" t="s">
        <v>118</v>
      </c>
      <c r="C577" s="37">
        <v>8900000</v>
      </c>
      <c r="D577" s="11">
        <v>2022</v>
      </c>
      <c r="E577" s="10" t="s">
        <v>30</v>
      </c>
      <c r="F577" s="41">
        <f t="shared" si="49"/>
        <v>8.9887640449438209E-5</v>
      </c>
      <c r="G577" s="8">
        <v>6</v>
      </c>
      <c r="H577" s="36">
        <f t="shared" si="50"/>
        <v>299.04053932584264</v>
      </c>
      <c r="I577" s="37">
        <v>8</v>
      </c>
      <c r="J577" s="12">
        <v>0.12</v>
      </c>
      <c r="K577" s="12">
        <v>4</v>
      </c>
      <c r="L577" s="40">
        <f t="shared" si="51"/>
        <v>3.84</v>
      </c>
      <c r="M577" s="11">
        <v>4</v>
      </c>
      <c r="N577" s="12">
        <v>73.8</v>
      </c>
      <c r="O577" s="9">
        <f t="shared" si="52"/>
        <v>295.2</v>
      </c>
      <c r="P577" s="75">
        <f t="shared" si="54"/>
        <v>3.3600060598409285</v>
      </c>
      <c r="Q577" s="78">
        <f t="shared" si="53"/>
        <v>3.304184802073451</v>
      </c>
      <c r="R577" s="10" t="s">
        <v>183</v>
      </c>
      <c r="S577" s="81" t="s">
        <v>29</v>
      </c>
      <c r="T577" s="10" t="s">
        <v>33</v>
      </c>
      <c r="U577" s="10"/>
    </row>
    <row r="578" spans="1:21" ht="22.8" x14ac:dyDescent="0.3">
      <c r="A578" s="7" t="s">
        <v>177</v>
      </c>
      <c r="B578" s="7" t="s">
        <v>118</v>
      </c>
      <c r="C578" s="36">
        <v>9174520</v>
      </c>
      <c r="D578" s="8">
        <v>2023</v>
      </c>
      <c r="E578" s="7" t="s">
        <v>11</v>
      </c>
      <c r="F578" s="41">
        <f t="shared" ref="F578:F641" si="55">I578*100/C578</f>
        <v>3.095529793384286E-2</v>
      </c>
      <c r="G578" s="11">
        <v>9</v>
      </c>
      <c r="H578" s="36">
        <f t="shared" ref="H578:H641" si="56">O578+L578+(G578*F578)</f>
        <v>112098.43859768139</v>
      </c>
      <c r="I578" s="36">
        <v>2840</v>
      </c>
      <c r="J578" s="9">
        <v>0.13300000000000001</v>
      </c>
      <c r="K578" s="9">
        <v>8</v>
      </c>
      <c r="L578" s="40">
        <f t="shared" si="51"/>
        <v>3021.76</v>
      </c>
      <c r="M578" s="8">
        <v>1478</v>
      </c>
      <c r="N578" s="9">
        <v>73.8</v>
      </c>
      <c r="O578" s="9">
        <f t="shared" si="52"/>
        <v>109076.4</v>
      </c>
      <c r="P578" s="75">
        <f t="shared" si="54"/>
        <v>1221.8452692640203</v>
      </c>
      <c r="Q578" s="78">
        <f t="shared" si="53"/>
        <v>99.999506151864793</v>
      </c>
      <c r="R578" s="7" t="s">
        <v>184</v>
      </c>
      <c r="S578" s="80" t="s">
        <v>19</v>
      </c>
      <c r="T578" s="7" t="s">
        <v>78</v>
      </c>
      <c r="U578" s="7"/>
    </row>
    <row r="579" spans="1:21" ht="22.8" x14ac:dyDescent="0.3">
      <c r="A579" s="10" t="s">
        <v>177</v>
      </c>
      <c r="B579" s="10" t="s">
        <v>118</v>
      </c>
      <c r="C579" s="37">
        <v>9174520</v>
      </c>
      <c r="D579" s="11">
        <v>2023</v>
      </c>
      <c r="E579" s="10" t="s">
        <v>17</v>
      </c>
      <c r="F579" s="41">
        <f t="shared" si="55"/>
        <v>1.9619555028491955E-3</v>
      </c>
      <c r="G579" s="8">
        <v>7</v>
      </c>
      <c r="H579" s="36">
        <f t="shared" si="56"/>
        <v>143.65373368851996</v>
      </c>
      <c r="I579" s="37">
        <v>180</v>
      </c>
      <c r="J579" s="12">
        <v>0.13300000000000001</v>
      </c>
      <c r="K579" s="12">
        <v>6</v>
      </c>
      <c r="L579" s="40">
        <f t="shared" ref="L579:L642" si="57">I579*J579*K579</f>
        <v>143.64000000000001</v>
      </c>
      <c r="M579" s="11">
        <v>0</v>
      </c>
      <c r="N579" s="12">
        <v>73.8</v>
      </c>
      <c r="O579" s="9">
        <f t="shared" ref="O579:O642" si="58">M579*N579</f>
        <v>0</v>
      </c>
      <c r="P579" s="75">
        <f t="shared" si="54"/>
        <v>1.5657901850834699</v>
      </c>
      <c r="Q579" s="78">
        <f t="shared" ref="Q579:Q642" si="59">100*(1-EXP(-P579/100))</f>
        <v>1.5535954216640779</v>
      </c>
      <c r="R579" s="10" t="s">
        <v>179</v>
      </c>
      <c r="S579" s="81" t="s">
        <v>19</v>
      </c>
      <c r="T579" s="10" t="s">
        <v>99</v>
      </c>
      <c r="U579" s="10"/>
    </row>
    <row r="580" spans="1:21" ht="22.8" x14ac:dyDescent="0.3">
      <c r="A580" s="7" t="s">
        <v>177</v>
      </c>
      <c r="B580" s="7" t="s">
        <v>118</v>
      </c>
      <c r="C580" s="36">
        <v>9174520</v>
      </c>
      <c r="D580" s="8">
        <v>2023</v>
      </c>
      <c r="E580" s="7" t="s">
        <v>20</v>
      </c>
      <c r="F580" s="41">
        <f t="shared" si="55"/>
        <v>1.3515693464072234E-3</v>
      </c>
      <c r="G580" s="11">
        <v>7</v>
      </c>
      <c r="H580" s="36">
        <f t="shared" si="56"/>
        <v>2165.3614609854249</v>
      </c>
      <c r="I580" s="36">
        <v>124</v>
      </c>
      <c r="J580" s="9">
        <v>0.13300000000000001</v>
      </c>
      <c r="K580" s="9">
        <v>6</v>
      </c>
      <c r="L580" s="40">
        <f t="shared" si="57"/>
        <v>98.951999999999998</v>
      </c>
      <c r="M580" s="8">
        <v>28</v>
      </c>
      <c r="N580" s="9">
        <v>73.8</v>
      </c>
      <c r="O580" s="9">
        <f t="shared" si="58"/>
        <v>2066.4</v>
      </c>
      <c r="P580" s="75">
        <f t="shared" si="54"/>
        <v>23.601904633544041</v>
      </c>
      <c r="Q580" s="78">
        <f t="shared" si="59"/>
        <v>21.02343683515867</v>
      </c>
      <c r="R580" s="7" t="s">
        <v>180</v>
      </c>
      <c r="S580" s="80" t="s">
        <v>19</v>
      </c>
      <c r="T580" s="7"/>
      <c r="U580" s="7"/>
    </row>
    <row r="581" spans="1:21" ht="22.8" x14ac:dyDescent="0.3">
      <c r="A581" s="10" t="s">
        <v>177</v>
      </c>
      <c r="B581" s="10" t="s">
        <v>118</v>
      </c>
      <c r="C581" s="37">
        <v>9174520</v>
      </c>
      <c r="D581" s="11">
        <v>2023</v>
      </c>
      <c r="E581" s="10" t="s">
        <v>23</v>
      </c>
      <c r="F581" s="41">
        <f t="shared" si="55"/>
        <v>9.1557923466295782E-4</v>
      </c>
      <c r="G581" s="8">
        <v>8</v>
      </c>
      <c r="H581" s="36">
        <f t="shared" si="56"/>
        <v>1406.6113246338771</v>
      </c>
      <c r="I581" s="37">
        <v>84</v>
      </c>
      <c r="J581" s="12">
        <v>0.13300000000000001</v>
      </c>
      <c r="K581" s="12">
        <v>7</v>
      </c>
      <c r="L581" s="40">
        <f t="shared" si="57"/>
        <v>78.204000000000008</v>
      </c>
      <c r="M581" s="11">
        <v>18</v>
      </c>
      <c r="N581" s="12">
        <v>73.8</v>
      </c>
      <c r="O581" s="9">
        <f t="shared" si="58"/>
        <v>1328.3999999999999</v>
      </c>
      <c r="P581" s="75">
        <f t="shared" si="54"/>
        <v>15.33171571519684</v>
      </c>
      <c r="Q581" s="78">
        <f t="shared" si="59"/>
        <v>14.214239701269872</v>
      </c>
      <c r="R581" s="10" t="s">
        <v>181</v>
      </c>
      <c r="S581" s="81" t="s">
        <v>25</v>
      </c>
      <c r="T581" s="10" t="s">
        <v>15</v>
      </c>
      <c r="U581" s="10"/>
    </row>
    <row r="582" spans="1:21" ht="22.8" x14ac:dyDescent="0.3">
      <c r="A582" s="7" t="s">
        <v>177</v>
      </c>
      <c r="B582" s="7" t="s">
        <v>118</v>
      </c>
      <c r="C582" s="36">
        <v>9174520</v>
      </c>
      <c r="D582" s="8">
        <v>2023</v>
      </c>
      <c r="E582" s="7" t="s">
        <v>26</v>
      </c>
      <c r="F582" s="41">
        <f t="shared" si="55"/>
        <v>0</v>
      </c>
      <c r="G582" s="11">
        <v>6</v>
      </c>
      <c r="H582" s="36">
        <f t="shared" si="56"/>
        <v>0</v>
      </c>
      <c r="I582" s="36">
        <v>0</v>
      </c>
      <c r="J582" s="9">
        <v>0.128</v>
      </c>
      <c r="K582" s="9">
        <v>5</v>
      </c>
      <c r="L582" s="40">
        <f t="shared" si="57"/>
        <v>0</v>
      </c>
      <c r="M582" s="8">
        <v>0</v>
      </c>
      <c r="N582" s="9">
        <v>73.8</v>
      </c>
      <c r="O582" s="9">
        <f t="shared" si="58"/>
        <v>0</v>
      </c>
      <c r="P582" s="75">
        <f t="shared" si="54"/>
        <v>0</v>
      </c>
      <c r="Q582" s="78">
        <f t="shared" si="59"/>
        <v>0</v>
      </c>
      <c r="R582" s="7" t="s">
        <v>182</v>
      </c>
      <c r="S582" s="80" t="s">
        <v>28</v>
      </c>
      <c r="T582" s="7"/>
      <c r="U582" s="7"/>
    </row>
    <row r="583" spans="1:21" x14ac:dyDescent="0.3">
      <c r="A583" s="10" t="s">
        <v>177</v>
      </c>
      <c r="B583" s="10" t="s">
        <v>118</v>
      </c>
      <c r="C583" s="37">
        <v>9174520</v>
      </c>
      <c r="D583" s="11">
        <v>2023</v>
      </c>
      <c r="E583" s="10" t="s">
        <v>30</v>
      </c>
      <c r="F583" s="41">
        <f t="shared" si="55"/>
        <v>8.7198022348853129E-5</v>
      </c>
      <c r="G583" s="8">
        <v>6</v>
      </c>
      <c r="H583" s="36">
        <f t="shared" si="56"/>
        <v>299.04052318813405</v>
      </c>
      <c r="I583" s="37">
        <v>8</v>
      </c>
      <c r="J583" s="12">
        <v>0.12</v>
      </c>
      <c r="K583" s="12">
        <v>4</v>
      </c>
      <c r="L583" s="40">
        <f t="shared" si="57"/>
        <v>3.84</v>
      </c>
      <c r="M583" s="11">
        <v>4</v>
      </c>
      <c r="N583" s="12">
        <v>73.8</v>
      </c>
      <c r="O583" s="9">
        <f t="shared" si="58"/>
        <v>295.2</v>
      </c>
      <c r="P583" s="75">
        <f t="shared" si="54"/>
        <v>3.2594677780214556</v>
      </c>
      <c r="Q583" s="78">
        <f t="shared" si="59"/>
        <v>3.2069196046959236</v>
      </c>
      <c r="R583" s="10" t="s">
        <v>183</v>
      </c>
      <c r="S583" s="81" t="s">
        <v>29</v>
      </c>
      <c r="T583" s="10" t="s">
        <v>33</v>
      </c>
      <c r="U583" s="10"/>
    </row>
    <row r="584" spans="1:21" ht="22.8" x14ac:dyDescent="0.3">
      <c r="A584" s="7" t="s">
        <v>177</v>
      </c>
      <c r="B584" s="7" t="s">
        <v>118</v>
      </c>
      <c r="C584" s="36">
        <v>9261520</v>
      </c>
      <c r="D584" s="8">
        <v>2024</v>
      </c>
      <c r="E584" s="7" t="s">
        <v>11</v>
      </c>
      <c r="F584" s="41">
        <f t="shared" si="55"/>
        <v>3.6926983907609116E-2</v>
      </c>
      <c r="G584" s="11">
        <v>9</v>
      </c>
      <c r="H584" s="36">
        <f t="shared" si="56"/>
        <v>69026.01234285516</v>
      </c>
      <c r="I584" s="36">
        <v>3420</v>
      </c>
      <c r="J584" s="9">
        <v>0.13300000000000001</v>
      </c>
      <c r="K584" s="9">
        <v>8</v>
      </c>
      <c r="L584" s="40">
        <f t="shared" si="57"/>
        <v>3638.88</v>
      </c>
      <c r="M584" s="8">
        <v>886</v>
      </c>
      <c r="N584" s="9">
        <v>73.8</v>
      </c>
      <c r="O584" s="9">
        <f t="shared" si="58"/>
        <v>65386.799999999996</v>
      </c>
      <c r="P584" s="75">
        <f t="shared" si="54"/>
        <v>745.29896110849143</v>
      </c>
      <c r="Q584" s="78">
        <f t="shared" si="59"/>
        <v>99.942029407628581</v>
      </c>
      <c r="R584" s="7" t="s">
        <v>185</v>
      </c>
      <c r="S584" s="80" t="s">
        <v>19</v>
      </c>
      <c r="T584" s="7" t="s">
        <v>78</v>
      </c>
      <c r="U584" s="7"/>
    </row>
    <row r="585" spans="1:21" ht="22.8" x14ac:dyDescent="0.3">
      <c r="A585" s="10" t="s">
        <v>177</v>
      </c>
      <c r="B585" s="10" t="s">
        <v>118</v>
      </c>
      <c r="C585" s="37">
        <v>9261520</v>
      </c>
      <c r="D585" s="11">
        <v>2024</v>
      </c>
      <c r="E585" s="10" t="s">
        <v>17</v>
      </c>
      <c r="F585" s="41">
        <f t="shared" si="55"/>
        <v>1.9435254688215326E-3</v>
      </c>
      <c r="G585" s="8">
        <v>7</v>
      </c>
      <c r="H585" s="36">
        <f t="shared" si="56"/>
        <v>143.65360467828177</v>
      </c>
      <c r="I585" s="37">
        <v>180</v>
      </c>
      <c r="J585" s="12">
        <v>0.13300000000000001</v>
      </c>
      <c r="K585" s="12">
        <v>6</v>
      </c>
      <c r="L585" s="40">
        <f t="shared" si="57"/>
        <v>143.64000000000001</v>
      </c>
      <c r="M585" s="11">
        <v>0</v>
      </c>
      <c r="N585" s="12">
        <v>73.8</v>
      </c>
      <c r="O585" s="9">
        <f t="shared" si="58"/>
        <v>0</v>
      </c>
      <c r="P585" s="75">
        <f t="shared" si="54"/>
        <v>1.5510802187792259</v>
      </c>
      <c r="Q585" s="78">
        <f t="shared" si="59"/>
        <v>1.5391129235636791</v>
      </c>
      <c r="R585" s="10" t="s">
        <v>179</v>
      </c>
      <c r="S585" s="81" t="s">
        <v>19</v>
      </c>
      <c r="T585" s="10" t="s">
        <v>99</v>
      </c>
      <c r="U585" s="10"/>
    </row>
    <row r="586" spans="1:21" ht="22.8" x14ac:dyDescent="0.3">
      <c r="A586" s="7" t="s">
        <v>177</v>
      </c>
      <c r="B586" s="7" t="s">
        <v>118</v>
      </c>
      <c r="C586" s="36">
        <v>9261520</v>
      </c>
      <c r="D586" s="8">
        <v>2024</v>
      </c>
      <c r="E586" s="7" t="s">
        <v>20</v>
      </c>
      <c r="F586" s="41">
        <f t="shared" si="55"/>
        <v>1.3388731007437224E-3</v>
      </c>
      <c r="G586" s="11">
        <v>7</v>
      </c>
      <c r="H586" s="36">
        <f t="shared" si="56"/>
        <v>2165.3613721117049</v>
      </c>
      <c r="I586" s="36">
        <v>124</v>
      </c>
      <c r="J586" s="9">
        <v>0.13300000000000001</v>
      </c>
      <c r="K586" s="9">
        <v>6</v>
      </c>
      <c r="L586" s="40">
        <f t="shared" si="57"/>
        <v>98.951999999999998</v>
      </c>
      <c r="M586" s="8">
        <v>28</v>
      </c>
      <c r="N586" s="9">
        <v>73.8</v>
      </c>
      <c r="O586" s="9">
        <f t="shared" si="58"/>
        <v>2066.4</v>
      </c>
      <c r="P586" s="75">
        <f t="shared" si="54"/>
        <v>23.380194310563546</v>
      </c>
      <c r="Q586" s="78">
        <f t="shared" si="59"/>
        <v>20.848143391862607</v>
      </c>
      <c r="R586" s="7" t="s">
        <v>180</v>
      </c>
      <c r="S586" s="80" t="s">
        <v>19</v>
      </c>
      <c r="T586" s="7"/>
      <c r="U586" s="7"/>
    </row>
    <row r="587" spans="1:21" ht="22.8" x14ac:dyDescent="0.3">
      <c r="A587" s="10" t="s">
        <v>177</v>
      </c>
      <c r="B587" s="10" t="s">
        <v>118</v>
      </c>
      <c r="C587" s="37">
        <v>9261520</v>
      </c>
      <c r="D587" s="11">
        <v>2024</v>
      </c>
      <c r="E587" s="10" t="s">
        <v>23</v>
      </c>
      <c r="F587" s="41">
        <f t="shared" si="55"/>
        <v>9.0697855211671521E-4</v>
      </c>
      <c r="G587" s="8">
        <v>8</v>
      </c>
      <c r="H587" s="36">
        <f t="shared" si="56"/>
        <v>1406.6112558284167</v>
      </c>
      <c r="I587" s="37">
        <v>84</v>
      </c>
      <c r="J587" s="12">
        <v>0.13300000000000001</v>
      </c>
      <c r="K587" s="12">
        <v>7</v>
      </c>
      <c r="L587" s="40">
        <f t="shared" si="57"/>
        <v>78.204000000000008</v>
      </c>
      <c r="M587" s="11">
        <v>18</v>
      </c>
      <c r="N587" s="12">
        <v>73.8</v>
      </c>
      <c r="O587" s="9">
        <f t="shared" si="58"/>
        <v>1328.3999999999999</v>
      </c>
      <c r="P587" s="75">
        <f t="shared" si="54"/>
        <v>15.187693335742047</v>
      </c>
      <c r="Q587" s="78">
        <f t="shared" si="59"/>
        <v>14.090599995002373</v>
      </c>
      <c r="R587" s="10" t="s">
        <v>181</v>
      </c>
      <c r="S587" s="81" t="s">
        <v>25</v>
      </c>
      <c r="T587" s="10" t="s">
        <v>15</v>
      </c>
      <c r="U587" s="10"/>
    </row>
    <row r="588" spans="1:21" ht="22.8" x14ac:dyDescent="0.3">
      <c r="A588" s="7" t="s">
        <v>177</v>
      </c>
      <c r="B588" s="7" t="s">
        <v>118</v>
      </c>
      <c r="C588" s="36">
        <v>9261520</v>
      </c>
      <c r="D588" s="8">
        <v>2024</v>
      </c>
      <c r="E588" s="7" t="s">
        <v>26</v>
      </c>
      <c r="F588" s="41">
        <f t="shared" si="55"/>
        <v>0</v>
      </c>
      <c r="G588" s="11">
        <v>6</v>
      </c>
      <c r="H588" s="36">
        <f t="shared" si="56"/>
        <v>0</v>
      </c>
      <c r="I588" s="36">
        <v>0</v>
      </c>
      <c r="J588" s="9">
        <v>0.128</v>
      </c>
      <c r="K588" s="9">
        <v>5</v>
      </c>
      <c r="L588" s="40">
        <f t="shared" si="57"/>
        <v>0</v>
      </c>
      <c r="M588" s="8">
        <v>0</v>
      </c>
      <c r="N588" s="9">
        <v>73.8</v>
      </c>
      <c r="O588" s="9">
        <f t="shared" si="58"/>
        <v>0</v>
      </c>
      <c r="P588" s="75">
        <f t="shared" si="54"/>
        <v>0</v>
      </c>
      <c r="Q588" s="78">
        <f t="shared" si="59"/>
        <v>0</v>
      </c>
      <c r="R588" s="7" t="s">
        <v>182</v>
      </c>
      <c r="S588" s="80" t="s">
        <v>28</v>
      </c>
      <c r="T588" s="7"/>
      <c r="U588" s="7"/>
    </row>
    <row r="589" spans="1:21" x14ac:dyDescent="0.3">
      <c r="A589" s="10" t="s">
        <v>177</v>
      </c>
      <c r="B589" s="10" t="s">
        <v>118</v>
      </c>
      <c r="C589" s="37">
        <v>9261520</v>
      </c>
      <c r="D589" s="11">
        <v>2024</v>
      </c>
      <c r="E589" s="10" t="s">
        <v>30</v>
      </c>
      <c r="F589" s="41">
        <f t="shared" si="55"/>
        <v>8.6378909725401447E-5</v>
      </c>
      <c r="G589" s="8">
        <v>6</v>
      </c>
      <c r="H589" s="36">
        <f t="shared" si="56"/>
        <v>299.0405182734583</v>
      </c>
      <c r="I589" s="37">
        <v>8</v>
      </c>
      <c r="J589" s="12">
        <v>0.12</v>
      </c>
      <c r="K589" s="12">
        <v>4</v>
      </c>
      <c r="L589" s="40">
        <f t="shared" si="57"/>
        <v>3.84</v>
      </c>
      <c r="M589" s="11">
        <v>4</v>
      </c>
      <c r="N589" s="12">
        <v>73.8</v>
      </c>
      <c r="O589" s="9">
        <f t="shared" si="58"/>
        <v>295.2</v>
      </c>
      <c r="P589" s="75">
        <f t="shared" si="54"/>
        <v>3.2288492415225396</v>
      </c>
      <c r="Q589" s="78">
        <f t="shared" si="59"/>
        <v>3.1772784424331846</v>
      </c>
      <c r="R589" s="10" t="s">
        <v>183</v>
      </c>
      <c r="S589" s="81" t="s">
        <v>29</v>
      </c>
      <c r="T589" s="10" t="s">
        <v>33</v>
      </c>
      <c r="U589" s="10"/>
    </row>
    <row r="590" spans="1:21" x14ac:dyDescent="0.3">
      <c r="A590" s="7" t="s">
        <v>177</v>
      </c>
      <c r="B590" s="7" t="s">
        <v>118</v>
      </c>
      <c r="C590" s="36">
        <v>9350000</v>
      </c>
      <c r="D590" s="8">
        <v>2025</v>
      </c>
      <c r="E590" s="7" t="s">
        <v>11</v>
      </c>
      <c r="F590" s="41">
        <f t="shared" si="55"/>
        <v>1.9251336898395723E-2</v>
      </c>
      <c r="G590" s="11">
        <v>9</v>
      </c>
      <c r="H590" s="36">
        <f t="shared" si="56"/>
        <v>32911.373262032081</v>
      </c>
      <c r="I590" s="36">
        <v>1800</v>
      </c>
      <c r="J590" s="9">
        <v>0.13300000000000001</v>
      </c>
      <c r="K590" s="9">
        <v>8</v>
      </c>
      <c r="L590" s="40">
        <f t="shared" si="57"/>
        <v>1915.2</v>
      </c>
      <c r="M590" s="8">
        <v>420</v>
      </c>
      <c r="N590" s="9">
        <v>73.8</v>
      </c>
      <c r="O590" s="9">
        <f t="shared" si="58"/>
        <v>30996</v>
      </c>
      <c r="P590" s="75">
        <f t="shared" si="54"/>
        <v>351.99329692012918</v>
      </c>
      <c r="Q590" s="78">
        <f t="shared" si="59"/>
        <v>97.039858069182884</v>
      </c>
      <c r="R590" s="7" t="s">
        <v>186</v>
      </c>
      <c r="S590" s="80" t="s">
        <v>19</v>
      </c>
      <c r="T590" s="7" t="s">
        <v>78</v>
      </c>
      <c r="U590" s="7"/>
    </row>
    <row r="591" spans="1:21" ht="22.8" x14ac:dyDescent="0.3">
      <c r="A591" s="10" t="s">
        <v>177</v>
      </c>
      <c r="B591" s="10" t="s">
        <v>118</v>
      </c>
      <c r="C591" s="37">
        <v>9350000</v>
      </c>
      <c r="D591" s="11">
        <v>2025</v>
      </c>
      <c r="E591" s="10" t="s">
        <v>17</v>
      </c>
      <c r="F591" s="41">
        <f t="shared" si="55"/>
        <v>1.9251336898395723E-3</v>
      </c>
      <c r="G591" s="8">
        <v>7</v>
      </c>
      <c r="H591" s="36">
        <f t="shared" si="56"/>
        <v>143.65347593582888</v>
      </c>
      <c r="I591" s="37">
        <v>180</v>
      </c>
      <c r="J591" s="12">
        <v>0.13300000000000001</v>
      </c>
      <c r="K591" s="12">
        <v>6</v>
      </c>
      <c r="L591" s="40">
        <f t="shared" si="57"/>
        <v>143.64000000000001</v>
      </c>
      <c r="M591" s="11">
        <v>0</v>
      </c>
      <c r="N591" s="12">
        <v>73.8</v>
      </c>
      <c r="O591" s="9">
        <f t="shared" si="58"/>
        <v>0</v>
      </c>
      <c r="P591" s="75">
        <f t="shared" si="54"/>
        <v>1.5364008121479025</v>
      </c>
      <c r="Q591" s="78">
        <f t="shared" si="59"/>
        <v>1.5246583886828979</v>
      </c>
      <c r="R591" s="10" t="s">
        <v>179</v>
      </c>
      <c r="S591" s="81" t="s">
        <v>19</v>
      </c>
      <c r="T591" s="10" t="s">
        <v>99</v>
      </c>
      <c r="U591" s="10"/>
    </row>
    <row r="592" spans="1:21" ht="22.8" x14ac:dyDescent="0.3">
      <c r="A592" s="7" t="s">
        <v>177</v>
      </c>
      <c r="B592" s="7" t="s">
        <v>118</v>
      </c>
      <c r="C592" s="36">
        <v>9350000</v>
      </c>
      <c r="D592" s="8">
        <v>2025</v>
      </c>
      <c r="E592" s="7" t="s">
        <v>20</v>
      </c>
      <c r="F592" s="41">
        <f t="shared" si="55"/>
        <v>1.3262032085561498E-3</v>
      </c>
      <c r="G592" s="11">
        <v>7</v>
      </c>
      <c r="H592" s="36">
        <f t="shared" si="56"/>
        <v>2165.3612834224596</v>
      </c>
      <c r="I592" s="36">
        <v>124</v>
      </c>
      <c r="J592" s="9">
        <v>0.13300000000000001</v>
      </c>
      <c r="K592" s="9">
        <v>6</v>
      </c>
      <c r="L592" s="40">
        <f t="shared" si="57"/>
        <v>98.951999999999998</v>
      </c>
      <c r="M592" s="8">
        <v>28</v>
      </c>
      <c r="N592" s="9">
        <v>73.8</v>
      </c>
      <c r="O592" s="9">
        <f t="shared" si="58"/>
        <v>2066.4</v>
      </c>
      <c r="P592" s="75">
        <f t="shared" si="54"/>
        <v>23.15894420772684</v>
      </c>
      <c r="Q592" s="78">
        <f t="shared" si="59"/>
        <v>20.672825954231666</v>
      </c>
      <c r="R592" s="7" t="s">
        <v>180</v>
      </c>
      <c r="S592" s="80" t="s">
        <v>19</v>
      </c>
      <c r="T592" s="7"/>
      <c r="U592" s="7"/>
    </row>
    <row r="593" spans="1:21" ht="22.8" x14ac:dyDescent="0.3">
      <c r="A593" s="10" t="s">
        <v>177</v>
      </c>
      <c r="B593" s="10" t="s">
        <v>118</v>
      </c>
      <c r="C593" s="37">
        <v>9350000</v>
      </c>
      <c r="D593" s="11">
        <v>2025</v>
      </c>
      <c r="E593" s="10" t="s">
        <v>23</v>
      </c>
      <c r="F593" s="41">
        <f t="shared" si="55"/>
        <v>8.9839572192513368E-4</v>
      </c>
      <c r="G593" s="8">
        <v>8</v>
      </c>
      <c r="H593" s="36">
        <f t="shared" si="56"/>
        <v>1406.6111871657752</v>
      </c>
      <c r="I593" s="37">
        <v>84</v>
      </c>
      <c r="J593" s="12">
        <v>0.13300000000000001</v>
      </c>
      <c r="K593" s="12">
        <v>7</v>
      </c>
      <c r="L593" s="40">
        <f t="shared" si="57"/>
        <v>78.204000000000008</v>
      </c>
      <c r="M593" s="11">
        <v>18</v>
      </c>
      <c r="N593" s="12">
        <v>73.8</v>
      </c>
      <c r="O593" s="9">
        <f t="shared" si="58"/>
        <v>1328.3999999999999</v>
      </c>
      <c r="P593" s="75">
        <f t="shared" si="54"/>
        <v>15.043969916211498</v>
      </c>
      <c r="Q593" s="78">
        <f t="shared" si="59"/>
        <v>13.967039296055505</v>
      </c>
      <c r="R593" s="10" t="s">
        <v>181</v>
      </c>
      <c r="S593" s="81" t="s">
        <v>25</v>
      </c>
      <c r="T593" s="10" t="s">
        <v>15</v>
      </c>
      <c r="U593" s="10"/>
    </row>
    <row r="594" spans="1:21" ht="22.8" x14ac:dyDescent="0.3">
      <c r="A594" s="7" t="s">
        <v>177</v>
      </c>
      <c r="B594" s="7" t="s">
        <v>118</v>
      </c>
      <c r="C594" s="36">
        <v>9350000</v>
      </c>
      <c r="D594" s="8">
        <v>2025</v>
      </c>
      <c r="E594" s="7" t="s">
        <v>26</v>
      </c>
      <c r="F594" s="41">
        <f t="shared" si="55"/>
        <v>0</v>
      </c>
      <c r="G594" s="11">
        <v>6</v>
      </c>
      <c r="H594" s="36">
        <f t="shared" si="56"/>
        <v>0</v>
      </c>
      <c r="I594" s="36">
        <v>0</v>
      </c>
      <c r="J594" s="9">
        <v>0.128</v>
      </c>
      <c r="K594" s="9">
        <v>5</v>
      </c>
      <c r="L594" s="40">
        <f t="shared" si="57"/>
        <v>0</v>
      </c>
      <c r="M594" s="8">
        <v>0</v>
      </c>
      <c r="N594" s="9">
        <v>73.8</v>
      </c>
      <c r="O594" s="9">
        <f t="shared" si="58"/>
        <v>0</v>
      </c>
      <c r="P594" s="75">
        <f t="shared" si="54"/>
        <v>0</v>
      </c>
      <c r="Q594" s="78">
        <f t="shared" si="59"/>
        <v>0</v>
      </c>
      <c r="R594" s="7" t="s">
        <v>182</v>
      </c>
      <c r="S594" s="80" t="s">
        <v>28</v>
      </c>
      <c r="T594" s="7"/>
      <c r="U594" s="7"/>
    </row>
    <row r="595" spans="1:21" x14ac:dyDescent="0.3">
      <c r="A595" s="10" t="s">
        <v>177</v>
      </c>
      <c r="B595" s="10" t="s">
        <v>118</v>
      </c>
      <c r="C595" s="37">
        <v>9350000</v>
      </c>
      <c r="D595" s="11">
        <v>2025</v>
      </c>
      <c r="E595" s="10" t="s">
        <v>30</v>
      </c>
      <c r="F595" s="41">
        <f t="shared" si="55"/>
        <v>8.5561497326203212E-5</v>
      </c>
      <c r="G595" s="8">
        <v>6</v>
      </c>
      <c r="H595" s="36">
        <f t="shared" si="56"/>
        <v>299.04051336898391</v>
      </c>
      <c r="I595" s="37">
        <v>8</v>
      </c>
      <c r="J595" s="12">
        <v>0.12</v>
      </c>
      <c r="K595" s="12">
        <v>4</v>
      </c>
      <c r="L595" s="40">
        <f t="shared" si="57"/>
        <v>3.84</v>
      </c>
      <c r="M595" s="11">
        <v>4</v>
      </c>
      <c r="N595" s="12">
        <v>73.8</v>
      </c>
      <c r="O595" s="9">
        <f t="shared" si="58"/>
        <v>295.2</v>
      </c>
      <c r="P595" s="75">
        <f t="shared" si="54"/>
        <v>3.1982942606308438</v>
      </c>
      <c r="Q595" s="78">
        <f t="shared" si="59"/>
        <v>3.1476897581842467</v>
      </c>
      <c r="R595" s="10" t="s">
        <v>183</v>
      </c>
      <c r="S595" s="81" t="s">
        <v>29</v>
      </c>
      <c r="T595" s="10" t="s">
        <v>33</v>
      </c>
      <c r="U595" s="10"/>
    </row>
    <row r="596" spans="1:21" ht="22.8" x14ac:dyDescent="0.3">
      <c r="A596" s="7" t="s">
        <v>187</v>
      </c>
      <c r="B596" s="7" t="s">
        <v>188</v>
      </c>
      <c r="C596" s="36">
        <v>44824184</v>
      </c>
      <c r="D596" s="8">
        <v>2015</v>
      </c>
      <c r="E596" s="7" t="s">
        <v>11</v>
      </c>
      <c r="F596" s="41">
        <f t="shared" si="55"/>
        <v>1.838293364135753E-2</v>
      </c>
      <c r="G596" s="11">
        <v>9</v>
      </c>
      <c r="H596" s="36">
        <f t="shared" si="56"/>
        <v>458947.52544640278</v>
      </c>
      <c r="I596" s="36">
        <v>8240</v>
      </c>
      <c r="J596" s="9">
        <v>0.13300000000000001</v>
      </c>
      <c r="K596" s="9">
        <v>8</v>
      </c>
      <c r="L596" s="40">
        <f t="shared" si="57"/>
        <v>8767.36</v>
      </c>
      <c r="M596" s="8">
        <v>6100</v>
      </c>
      <c r="N596" s="9">
        <v>73.8</v>
      </c>
      <c r="O596" s="9">
        <f t="shared" si="58"/>
        <v>450180</v>
      </c>
      <c r="P596" s="75">
        <f t="shared" si="54"/>
        <v>1023.8837263527269</v>
      </c>
      <c r="Q596" s="78">
        <f t="shared" si="59"/>
        <v>99.996424560157507</v>
      </c>
      <c r="R596" s="7" t="s">
        <v>189</v>
      </c>
      <c r="S596" s="80" t="s">
        <v>19</v>
      </c>
      <c r="T596" s="7" t="s">
        <v>78</v>
      </c>
      <c r="U596" s="7"/>
    </row>
    <row r="597" spans="1:21" x14ac:dyDescent="0.3">
      <c r="A597" s="10" t="s">
        <v>187</v>
      </c>
      <c r="B597" s="10" t="s">
        <v>188</v>
      </c>
      <c r="C597" s="37">
        <v>44824184</v>
      </c>
      <c r="D597" s="11">
        <v>2015</v>
      </c>
      <c r="E597" s="10" t="s">
        <v>17</v>
      </c>
      <c r="F597" s="41">
        <f t="shared" si="55"/>
        <v>2.6771262584501262E-4</v>
      </c>
      <c r="G597" s="8">
        <v>7</v>
      </c>
      <c r="H597" s="36">
        <f t="shared" si="56"/>
        <v>243.36187398838092</v>
      </c>
      <c r="I597" s="37">
        <v>120</v>
      </c>
      <c r="J597" s="12">
        <v>0.13300000000000001</v>
      </c>
      <c r="K597" s="12">
        <v>6</v>
      </c>
      <c r="L597" s="40">
        <f t="shared" si="57"/>
        <v>95.76</v>
      </c>
      <c r="M597" s="11">
        <v>2</v>
      </c>
      <c r="N597" s="12">
        <v>73.8</v>
      </c>
      <c r="O597" s="9">
        <f t="shared" si="58"/>
        <v>147.6</v>
      </c>
      <c r="P597" s="75">
        <f t="shared" si="54"/>
        <v>0.54292538596660433</v>
      </c>
      <c r="Q597" s="78">
        <f t="shared" si="59"/>
        <v>0.54145420976016156</v>
      </c>
      <c r="R597" s="10" t="s">
        <v>190</v>
      </c>
      <c r="S597" s="81" t="s">
        <v>19</v>
      </c>
      <c r="T597" s="10"/>
      <c r="U597" s="10"/>
    </row>
    <row r="598" spans="1:21" x14ac:dyDescent="0.3">
      <c r="A598" s="7" t="s">
        <v>187</v>
      </c>
      <c r="B598" s="7" t="s">
        <v>188</v>
      </c>
      <c r="C598" s="36">
        <v>44824184</v>
      </c>
      <c r="D598" s="8">
        <v>2015</v>
      </c>
      <c r="E598" s="7" t="s">
        <v>20</v>
      </c>
      <c r="F598" s="41">
        <f t="shared" si="55"/>
        <v>1.0708505033800504E-4</v>
      </c>
      <c r="G598" s="11">
        <v>7</v>
      </c>
      <c r="H598" s="36">
        <f t="shared" si="56"/>
        <v>923.9047495953522</v>
      </c>
      <c r="I598" s="36">
        <v>48</v>
      </c>
      <c r="J598" s="9">
        <v>0.13300000000000001</v>
      </c>
      <c r="K598" s="9">
        <v>6</v>
      </c>
      <c r="L598" s="40">
        <f t="shared" si="57"/>
        <v>38.304000000000002</v>
      </c>
      <c r="M598" s="8">
        <v>12</v>
      </c>
      <c r="N598" s="9">
        <v>73.8</v>
      </c>
      <c r="O598" s="9">
        <f t="shared" si="58"/>
        <v>885.59999999999991</v>
      </c>
      <c r="P598" s="75">
        <f t="shared" si="54"/>
        <v>2.0611747212070881</v>
      </c>
      <c r="Q598" s="78">
        <f t="shared" si="59"/>
        <v>2.0400777124156111</v>
      </c>
      <c r="R598" s="7" t="s">
        <v>191</v>
      </c>
      <c r="S598" s="80" t="s">
        <v>19</v>
      </c>
      <c r="T598" s="7"/>
      <c r="U598" s="7"/>
    </row>
    <row r="599" spans="1:21" ht="22.8" x14ac:dyDescent="0.3">
      <c r="A599" s="10" t="s">
        <v>187</v>
      </c>
      <c r="B599" s="10" t="s">
        <v>188</v>
      </c>
      <c r="C599" s="37">
        <v>44824184</v>
      </c>
      <c r="D599" s="11">
        <v>2015</v>
      </c>
      <c r="E599" s="10" t="s">
        <v>23</v>
      </c>
      <c r="F599" s="41">
        <f t="shared" si="55"/>
        <v>1.8739883809150881E-4</v>
      </c>
      <c r="G599" s="8">
        <v>8</v>
      </c>
      <c r="H599" s="36">
        <f t="shared" si="56"/>
        <v>3177.8054991907047</v>
      </c>
      <c r="I599" s="37">
        <v>84</v>
      </c>
      <c r="J599" s="12">
        <v>0.13300000000000001</v>
      </c>
      <c r="K599" s="12">
        <v>7</v>
      </c>
      <c r="L599" s="40">
        <f t="shared" si="57"/>
        <v>78.204000000000008</v>
      </c>
      <c r="M599" s="11">
        <v>42</v>
      </c>
      <c r="N599" s="12">
        <v>73.8</v>
      </c>
      <c r="O599" s="9">
        <f t="shared" si="58"/>
        <v>3099.6</v>
      </c>
      <c r="P599" s="75">
        <f t="shared" si="54"/>
        <v>7.0894887884422051</v>
      </c>
      <c r="Q599" s="78">
        <f t="shared" si="59"/>
        <v>6.8440194796510978</v>
      </c>
      <c r="R599" s="10" t="s">
        <v>192</v>
      </c>
      <c r="S599" s="81" t="s">
        <v>25</v>
      </c>
      <c r="T599" s="10" t="s">
        <v>15</v>
      </c>
      <c r="U599" s="10"/>
    </row>
    <row r="600" spans="1:21" x14ac:dyDescent="0.3">
      <c r="A600" s="7" t="s">
        <v>187</v>
      </c>
      <c r="B600" s="7" t="s">
        <v>188</v>
      </c>
      <c r="C600" s="36">
        <v>44824184</v>
      </c>
      <c r="D600" s="8">
        <v>2015</v>
      </c>
      <c r="E600" s="7" t="s">
        <v>26</v>
      </c>
      <c r="F600" s="41">
        <f t="shared" si="55"/>
        <v>4.0156893876751889</v>
      </c>
      <c r="G600" s="11">
        <v>6</v>
      </c>
      <c r="H600" s="36">
        <f t="shared" si="56"/>
        <v>1152024.0941363261</v>
      </c>
      <c r="I600" s="36">
        <v>1800000</v>
      </c>
      <c r="J600" s="9">
        <v>0.128</v>
      </c>
      <c r="K600" s="9">
        <v>5</v>
      </c>
      <c r="L600" s="40">
        <f t="shared" si="57"/>
        <v>1152000</v>
      </c>
      <c r="M600" s="8">
        <v>0</v>
      </c>
      <c r="N600" s="9">
        <v>73.8</v>
      </c>
      <c r="O600" s="9">
        <f t="shared" si="58"/>
        <v>0</v>
      </c>
      <c r="P600" s="75">
        <f t="shared" si="54"/>
        <v>2570.0949606496488</v>
      </c>
      <c r="Q600" s="78">
        <f t="shared" si="59"/>
        <v>99.999999999311001</v>
      </c>
      <c r="R600" s="7" t="s">
        <v>193</v>
      </c>
      <c r="S600" s="80" t="s">
        <v>28</v>
      </c>
      <c r="T600" s="7"/>
      <c r="U600" s="7"/>
    </row>
    <row r="601" spans="1:21" ht="22.8" x14ac:dyDescent="0.3">
      <c r="A601" s="10" t="s">
        <v>187</v>
      </c>
      <c r="B601" s="10" t="s">
        <v>188</v>
      </c>
      <c r="C601" s="37">
        <v>44824184</v>
      </c>
      <c r="D601" s="11">
        <v>2015</v>
      </c>
      <c r="E601" s="10" t="s">
        <v>30</v>
      </c>
      <c r="F601" s="41">
        <f t="shared" si="55"/>
        <v>4.0156893876751887E-5</v>
      </c>
      <c r="G601" s="8">
        <v>6</v>
      </c>
      <c r="H601" s="36">
        <f t="shared" si="56"/>
        <v>1779.8402409413632</v>
      </c>
      <c r="I601" s="37">
        <v>18</v>
      </c>
      <c r="J601" s="12">
        <v>0.12</v>
      </c>
      <c r="K601" s="12">
        <v>4</v>
      </c>
      <c r="L601" s="40">
        <f t="shared" si="57"/>
        <v>8.64</v>
      </c>
      <c r="M601" s="11">
        <v>24</v>
      </c>
      <c r="N601" s="12">
        <v>73.8</v>
      </c>
      <c r="O601" s="9">
        <f t="shared" si="58"/>
        <v>1771.1999999999998</v>
      </c>
      <c r="P601" s="75">
        <f t="shared" si="54"/>
        <v>3.9707142040586016</v>
      </c>
      <c r="Q601" s="78">
        <f t="shared" si="59"/>
        <v>3.8929144807647864</v>
      </c>
      <c r="R601" s="10" t="s">
        <v>194</v>
      </c>
      <c r="S601" s="81" t="s">
        <v>29</v>
      </c>
      <c r="T601" s="10" t="s">
        <v>33</v>
      </c>
      <c r="U601" s="10"/>
    </row>
    <row r="602" spans="1:21" x14ac:dyDescent="0.3">
      <c r="A602" s="7" t="s">
        <v>187</v>
      </c>
      <c r="B602" s="7" t="s">
        <v>188</v>
      </c>
      <c r="C602" s="36">
        <v>44624373</v>
      </c>
      <c r="D602" s="8">
        <v>2016</v>
      </c>
      <c r="E602" s="7" t="s">
        <v>11</v>
      </c>
      <c r="F602" s="41">
        <f t="shared" si="55"/>
        <v>8.6051629229614048E-3</v>
      </c>
      <c r="G602" s="11">
        <v>9</v>
      </c>
      <c r="H602" s="36">
        <f t="shared" si="56"/>
        <v>240245.83744646632</v>
      </c>
      <c r="I602" s="36">
        <v>3840</v>
      </c>
      <c r="J602" s="9">
        <v>0.13300000000000001</v>
      </c>
      <c r="K602" s="9">
        <v>8</v>
      </c>
      <c r="L602" s="40">
        <f t="shared" si="57"/>
        <v>4085.76</v>
      </c>
      <c r="M602" s="8">
        <v>3200</v>
      </c>
      <c r="N602" s="9">
        <v>73.8</v>
      </c>
      <c r="O602" s="9">
        <f t="shared" si="58"/>
        <v>236160</v>
      </c>
      <c r="P602" s="75">
        <f t="shared" si="54"/>
        <v>538.37358666410023</v>
      </c>
      <c r="Q602" s="78">
        <f t="shared" si="59"/>
        <v>99.540936016325489</v>
      </c>
      <c r="R602" s="7" t="s">
        <v>195</v>
      </c>
      <c r="S602" s="80" t="s">
        <v>19</v>
      </c>
      <c r="T602" s="7" t="s">
        <v>78</v>
      </c>
      <c r="U602" s="7"/>
    </row>
    <row r="603" spans="1:21" x14ac:dyDescent="0.3">
      <c r="A603" s="10" t="s">
        <v>187</v>
      </c>
      <c r="B603" s="10" t="s">
        <v>188</v>
      </c>
      <c r="C603" s="37">
        <v>44624373</v>
      </c>
      <c r="D603" s="11">
        <v>2016</v>
      </c>
      <c r="E603" s="10" t="s">
        <v>17</v>
      </c>
      <c r="F603" s="41">
        <f t="shared" si="55"/>
        <v>2.689113413425439E-4</v>
      </c>
      <c r="G603" s="8">
        <v>7</v>
      </c>
      <c r="H603" s="36">
        <f t="shared" si="56"/>
        <v>243.36188237938941</v>
      </c>
      <c r="I603" s="37">
        <v>120</v>
      </c>
      <c r="J603" s="12">
        <v>0.13300000000000001</v>
      </c>
      <c r="K603" s="12">
        <v>6</v>
      </c>
      <c r="L603" s="40">
        <f t="shared" si="57"/>
        <v>95.76</v>
      </c>
      <c r="M603" s="11">
        <v>2</v>
      </c>
      <c r="N603" s="12">
        <v>73.8</v>
      </c>
      <c r="O603" s="9">
        <f t="shared" si="58"/>
        <v>147.6</v>
      </c>
      <c r="P603" s="75">
        <f t="shared" si="54"/>
        <v>0.5453564185190668</v>
      </c>
      <c r="Q603" s="78">
        <f t="shared" si="59"/>
        <v>0.54387204999517547</v>
      </c>
      <c r="R603" s="10" t="s">
        <v>190</v>
      </c>
      <c r="S603" s="81" t="s">
        <v>19</v>
      </c>
      <c r="T603" s="10"/>
      <c r="U603" s="10"/>
    </row>
    <row r="604" spans="1:21" x14ac:dyDescent="0.3">
      <c r="A604" s="7" t="s">
        <v>187</v>
      </c>
      <c r="B604" s="7" t="s">
        <v>188</v>
      </c>
      <c r="C604" s="36">
        <v>44624373</v>
      </c>
      <c r="D604" s="8">
        <v>2016</v>
      </c>
      <c r="E604" s="7" t="s">
        <v>20</v>
      </c>
      <c r="F604" s="41">
        <f t="shared" si="55"/>
        <v>1.0756453653701756E-4</v>
      </c>
      <c r="G604" s="11">
        <v>7</v>
      </c>
      <c r="H604" s="36">
        <f t="shared" si="56"/>
        <v>923.90475295175565</v>
      </c>
      <c r="I604" s="36">
        <v>48</v>
      </c>
      <c r="J604" s="9">
        <v>0.13300000000000001</v>
      </c>
      <c r="K604" s="9">
        <v>6</v>
      </c>
      <c r="L604" s="40">
        <f t="shared" si="57"/>
        <v>38.304000000000002</v>
      </c>
      <c r="M604" s="8">
        <v>12</v>
      </c>
      <c r="N604" s="9">
        <v>73.8</v>
      </c>
      <c r="O604" s="9">
        <f t="shared" si="58"/>
        <v>885.59999999999991</v>
      </c>
      <c r="P604" s="75">
        <f t="shared" si="54"/>
        <v>2.0704038865750687</v>
      </c>
      <c r="Q604" s="78">
        <f t="shared" si="59"/>
        <v>2.049118178451681</v>
      </c>
      <c r="R604" s="7" t="s">
        <v>191</v>
      </c>
      <c r="S604" s="80" t="s">
        <v>19</v>
      </c>
      <c r="T604" s="7"/>
      <c r="U604" s="7"/>
    </row>
    <row r="605" spans="1:21" ht="22.8" x14ac:dyDescent="0.3">
      <c r="A605" s="10" t="s">
        <v>187</v>
      </c>
      <c r="B605" s="10" t="s">
        <v>188</v>
      </c>
      <c r="C605" s="37">
        <v>44624373</v>
      </c>
      <c r="D605" s="11">
        <v>2016</v>
      </c>
      <c r="E605" s="10" t="s">
        <v>23</v>
      </c>
      <c r="F605" s="41">
        <f t="shared" si="55"/>
        <v>1.8823793893978072E-4</v>
      </c>
      <c r="G605" s="8">
        <v>8</v>
      </c>
      <c r="H605" s="36">
        <f t="shared" si="56"/>
        <v>3177.8055059035114</v>
      </c>
      <c r="I605" s="37">
        <v>84</v>
      </c>
      <c r="J605" s="12">
        <v>0.13300000000000001</v>
      </c>
      <c r="K605" s="12">
        <v>7</v>
      </c>
      <c r="L605" s="40">
        <f t="shared" si="57"/>
        <v>78.204000000000008</v>
      </c>
      <c r="M605" s="11">
        <v>42</v>
      </c>
      <c r="N605" s="12">
        <v>73.8</v>
      </c>
      <c r="O605" s="9">
        <f t="shared" si="58"/>
        <v>3099.6</v>
      </c>
      <c r="P605" s="75">
        <f t="shared" ref="P605:P668" si="60">H605/C605*100000</f>
        <v>7.1212328426519553</v>
      </c>
      <c r="Q605" s="78">
        <f t="shared" si="59"/>
        <v>6.8735862715096019</v>
      </c>
      <c r="R605" s="10" t="s">
        <v>192</v>
      </c>
      <c r="S605" s="81" t="s">
        <v>25</v>
      </c>
      <c r="T605" s="10" t="s">
        <v>15</v>
      </c>
      <c r="U605" s="10"/>
    </row>
    <row r="606" spans="1:21" x14ac:dyDescent="0.3">
      <c r="A606" s="7" t="s">
        <v>187</v>
      </c>
      <c r="B606" s="7" t="s">
        <v>188</v>
      </c>
      <c r="C606" s="36">
        <v>44624373</v>
      </c>
      <c r="D606" s="8">
        <v>2016</v>
      </c>
      <c r="E606" s="7" t="s">
        <v>26</v>
      </c>
      <c r="F606" s="41">
        <f t="shared" si="55"/>
        <v>4.0336701201381588</v>
      </c>
      <c r="G606" s="11">
        <v>6</v>
      </c>
      <c r="H606" s="36">
        <f t="shared" si="56"/>
        <v>1152024.2020207208</v>
      </c>
      <c r="I606" s="36">
        <v>1800000</v>
      </c>
      <c r="J606" s="9">
        <v>0.128</v>
      </c>
      <c r="K606" s="9">
        <v>5</v>
      </c>
      <c r="L606" s="40">
        <f t="shared" si="57"/>
        <v>1152000</v>
      </c>
      <c r="M606" s="8">
        <v>0</v>
      </c>
      <c r="N606" s="9">
        <v>73.8</v>
      </c>
      <c r="O606" s="9">
        <f t="shared" si="58"/>
        <v>0</v>
      </c>
      <c r="P606" s="75">
        <f t="shared" si="60"/>
        <v>2581.6031118705482</v>
      </c>
      <c r="Q606" s="78">
        <f t="shared" si="59"/>
        <v>99.999999999385906</v>
      </c>
      <c r="R606" s="7" t="s">
        <v>193</v>
      </c>
      <c r="S606" s="80" t="s">
        <v>28</v>
      </c>
      <c r="T606" s="7"/>
      <c r="U606" s="7"/>
    </row>
    <row r="607" spans="1:21" ht="22.8" x14ac:dyDescent="0.3">
      <c r="A607" s="10" t="s">
        <v>187</v>
      </c>
      <c r="B607" s="10" t="s">
        <v>188</v>
      </c>
      <c r="C607" s="37">
        <v>44624373</v>
      </c>
      <c r="D607" s="11">
        <v>2016</v>
      </c>
      <c r="E607" s="10" t="s">
        <v>30</v>
      </c>
      <c r="F607" s="41">
        <f t="shared" si="55"/>
        <v>4.0336701201381587E-5</v>
      </c>
      <c r="G607" s="8">
        <v>6</v>
      </c>
      <c r="H607" s="36">
        <f t="shared" si="56"/>
        <v>1779.8402420202071</v>
      </c>
      <c r="I607" s="37">
        <v>18</v>
      </c>
      <c r="J607" s="12">
        <v>0.12</v>
      </c>
      <c r="K607" s="12">
        <v>4</v>
      </c>
      <c r="L607" s="40">
        <f t="shared" si="57"/>
        <v>8.64</v>
      </c>
      <c r="M607" s="11">
        <v>24</v>
      </c>
      <c r="N607" s="12">
        <v>73.8</v>
      </c>
      <c r="O607" s="9">
        <f t="shared" si="58"/>
        <v>1771.1999999999998</v>
      </c>
      <c r="P607" s="75">
        <f t="shared" si="60"/>
        <v>3.9884935571424323</v>
      </c>
      <c r="Q607" s="78">
        <f t="shared" si="59"/>
        <v>3.9100001799294293</v>
      </c>
      <c r="R607" s="10" t="s">
        <v>194</v>
      </c>
      <c r="S607" s="81" t="s">
        <v>29</v>
      </c>
      <c r="T607" s="10" t="s">
        <v>33</v>
      </c>
      <c r="U607" s="10"/>
    </row>
    <row r="608" spans="1:21" x14ac:dyDescent="0.3">
      <c r="A608" s="7" t="s">
        <v>187</v>
      </c>
      <c r="B608" s="7" t="s">
        <v>188</v>
      </c>
      <c r="C608" s="36">
        <v>44405055</v>
      </c>
      <c r="D608" s="8">
        <v>2017</v>
      </c>
      <c r="E608" s="7" t="s">
        <v>11</v>
      </c>
      <c r="F608" s="41">
        <f t="shared" si="55"/>
        <v>7.0262270815788881E-3</v>
      </c>
      <c r="G608" s="11">
        <v>9</v>
      </c>
      <c r="H608" s="36">
        <f t="shared" si="56"/>
        <v>186343.74323604372</v>
      </c>
      <c r="I608" s="36">
        <v>3120</v>
      </c>
      <c r="J608" s="9">
        <v>0.13300000000000001</v>
      </c>
      <c r="K608" s="9">
        <v>8</v>
      </c>
      <c r="L608" s="40">
        <f t="shared" si="57"/>
        <v>3319.6800000000003</v>
      </c>
      <c r="M608" s="8">
        <v>2480</v>
      </c>
      <c r="N608" s="9">
        <v>73.8</v>
      </c>
      <c r="O608" s="9">
        <f t="shared" si="58"/>
        <v>183024</v>
      </c>
      <c r="P608" s="75">
        <f t="shared" si="60"/>
        <v>419.64533820765166</v>
      </c>
      <c r="Q608" s="78">
        <f t="shared" si="59"/>
        <v>98.495114517548217</v>
      </c>
      <c r="R608" s="7" t="s">
        <v>196</v>
      </c>
      <c r="S608" s="80" t="s">
        <v>19</v>
      </c>
      <c r="T608" s="7" t="s">
        <v>78</v>
      </c>
      <c r="U608" s="7"/>
    </row>
    <row r="609" spans="1:21" x14ac:dyDescent="0.3">
      <c r="A609" s="10" t="s">
        <v>187</v>
      </c>
      <c r="B609" s="10" t="s">
        <v>188</v>
      </c>
      <c r="C609" s="37">
        <v>44405055</v>
      </c>
      <c r="D609" s="11">
        <v>2017</v>
      </c>
      <c r="E609" s="10" t="s">
        <v>17</v>
      </c>
      <c r="F609" s="41">
        <f t="shared" si="55"/>
        <v>2.7023950313764952E-4</v>
      </c>
      <c r="G609" s="8">
        <v>7</v>
      </c>
      <c r="H609" s="36">
        <f t="shared" si="56"/>
        <v>243.36189167652196</v>
      </c>
      <c r="I609" s="37">
        <v>120</v>
      </c>
      <c r="J609" s="12">
        <v>0.13300000000000001</v>
      </c>
      <c r="K609" s="12">
        <v>6</v>
      </c>
      <c r="L609" s="40">
        <f t="shared" si="57"/>
        <v>95.76</v>
      </c>
      <c r="M609" s="11">
        <v>2</v>
      </c>
      <c r="N609" s="12">
        <v>73.8</v>
      </c>
      <c r="O609" s="9">
        <f t="shared" si="58"/>
        <v>147.6</v>
      </c>
      <c r="P609" s="75">
        <f t="shared" si="60"/>
        <v>0.54804997241084819</v>
      </c>
      <c r="Q609" s="78">
        <f t="shared" si="59"/>
        <v>0.54655091832164215</v>
      </c>
      <c r="R609" s="10" t="s">
        <v>190</v>
      </c>
      <c r="S609" s="81" t="s">
        <v>19</v>
      </c>
      <c r="T609" s="10"/>
      <c r="U609" s="10"/>
    </row>
    <row r="610" spans="1:21" x14ac:dyDescent="0.3">
      <c r="A610" s="7" t="s">
        <v>187</v>
      </c>
      <c r="B610" s="7" t="s">
        <v>188</v>
      </c>
      <c r="C610" s="36">
        <v>44405055</v>
      </c>
      <c r="D610" s="8">
        <v>2017</v>
      </c>
      <c r="E610" s="7" t="s">
        <v>20</v>
      </c>
      <c r="F610" s="41">
        <f t="shared" si="55"/>
        <v>1.0809580125505981E-4</v>
      </c>
      <c r="G610" s="11">
        <v>7</v>
      </c>
      <c r="H610" s="36">
        <f t="shared" si="56"/>
        <v>923.90475667060866</v>
      </c>
      <c r="I610" s="36">
        <v>48</v>
      </c>
      <c r="J610" s="9">
        <v>0.13300000000000001</v>
      </c>
      <c r="K610" s="9">
        <v>6</v>
      </c>
      <c r="L610" s="40">
        <f t="shared" si="57"/>
        <v>38.304000000000002</v>
      </c>
      <c r="M610" s="8">
        <v>12</v>
      </c>
      <c r="N610" s="9">
        <v>73.8</v>
      </c>
      <c r="O610" s="9">
        <f t="shared" si="58"/>
        <v>885.59999999999991</v>
      </c>
      <c r="P610" s="75">
        <f t="shared" si="60"/>
        <v>2.0806296865764691</v>
      </c>
      <c r="Q610" s="78">
        <f t="shared" si="59"/>
        <v>2.0591339276223919</v>
      </c>
      <c r="R610" s="7" t="s">
        <v>191</v>
      </c>
      <c r="S610" s="80" t="s">
        <v>19</v>
      </c>
      <c r="T610" s="7"/>
      <c r="U610" s="7"/>
    </row>
    <row r="611" spans="1:21" ht="22.8" x14ac:dyDescent="0.3">
      <c r="A611" s="10" t="s">
        <v>187</v>
      </c>
      <c r="B611" s="10" t="s">
        <v>188</v>
      </c>
      <c r="C611" s="37">
        <v>44405055</v>
      </c>
      <c r="D611" s="11">
        <v>2017</v>
      </c>
      <c r="E611" s="10" t="s">
        <v>23</v>
      </c>
      <c r="F611" s="41">
        <f t="shared" si="55"/>
        <v>1.8916765219635466E-4</v>
      </c>
      <c r="G611" s="8">
        <v>8</v>
      </c>
      <c r="H611" s="36">
        <f t="shared" si="56"/>
        <v>3177.8055133412176</v>
      </c>
      <c r="I611" s="37">
        <v>84</v>
      </c>
      <c r="J611" s="12">
        <v>0.13300000000000001</v>
      </c>
      <c r="K611" s="12">
        <v>7</v>
      </c>
      <c r="L611" s="40">
        <f t="shared" si="57"/>
        <v>78.204000000000008</v>
      </c>
      <c r="M611" s="11">
        <v>42</v>
      </c>
      <c r="N611" s="12">
        <v>73.8</v>
      </c>
      <c r="O611" s="9">
        <f t="shared" si="58"/>
        <v>3099.6</v>
      </c>
      <c r="P611" s="75">
        <f t="shared" si="60"/>
        <v>7.1564048582784494</v>
      </c>
      <c r="Q611" s="78">
        <f t="shared" si="59"/>
        <v>6.9063349487760384</v>
      </c>
      <c r="R611" s="10" t="s">
        <v>192</v>
      </c>
      <c r="S611" s="81" t="s">
        <v>25</v>
      </c>
      <c r="T611" s="10" t="s">
        <v>15</v>
      </c>
      <c r="U611" s="10"/>
    </row>
    <row r="612" spans="1:21" x14ac:dyDescent="0.3">
      <c r="A612" s="7" t="s">
        <v>187</v>
      </c>
      <c r="B612" s="7" t="s">
        <v>188</v>
      </c>
      <c r="C612" s="36">
        <v>44405055</v>
      </c>
      <c r="D612" s="8">
        <v>2017</v>
      </c>
      <c r="E612" s="7" t="s">
        <v>26</v>
      </c>
      <c r="F612" s="41">
        <f t="shared" si="55"/>
        <v>4.0535925470647429</v>
      </c>
      <c r="G612" s="11">
        <v>6</v>
      </c>
      <c r="H612" s="36">
        <f t="shared" si="56"/>
        <v>1152024.3215552825</v>
      </c>
      <c r="I612" s="36">
        <v>1800000</v>
      </c>
      <c r="J612" s="9">
        <v>0.128</v>
      </c>
      <c r="K612" s="9">
        <v>5</v>
      </c>
      <c r="L612" s="40">
        <f t="shared" si="57"/>
        <v>1152000</v>
      </c>
      <c r="M612" s="8">
        <v>0</v>
      </c>
      <c r="N612" s="9">
        <v>73.8</v>
      </c>
      <c r="O612" s="9">
        <f t="shared" si="58"/>
        <v>0</v>
      </c>
      <c r="P612" s="75">
        <f t="shared" si="60"/>
        <v>2594.3540021632275</v>
      </c>
      <c r="Q612" s="78">
        <f t="shared" si="59"/>
        <v>99.999999999459405</v>
      </c>
      <c r="R612" s="7" t="s">
        <v>193</v>
      </c>
      <c r="S612" s="80" t="s">
        <v>28</v>
      </c>
      <c r="T612" s="7"/>
      <c r="U612" s="7"/>
    </row>
    <row r="613" spans="1:21" ht="22.8" x14ac:dyDescent="0.3">
      <c r="A613" s="10" t="s">
        <v>187</v>
      </c>
      <c r="B613" s="10" t="s">
        <v>188</v>
      </c>
      <c r="C613" s="37">
        <v>44405055</v>
      </c>
      <c r="D613" s="11">
        <v>2017</v>
      </c>
      <c r="E613" s="10" t="s">
        <v>30</v>
      </c>
      <c r="F613" s="41">
        <f t="shared" si="55"/>
        <v>4.0535925470647427E-5</v>
      </c>
      <c r="G613" s="8">
        <v>6</v>
      </c>
      <c r="H613" s="36">
        <f t="shared" si="56"/>
        <v>1779.8402432155528</v>
      </c>
      <c r="I613" s="37">
        <v>18</v>
      </c>
      <c r="J613" s="12">
        <v>0.12</v>
      </c>
      <c r="K613" s="12">
        <v>4</v>
      </c>
      <c r="L613" s="40">
        <f t="shared" si="57"/>
        <v>8.64</v>
      </c>
      <c r="M613" s="11">
        <v>24</v>
      </c>
      <c r="N613" s="12">
        <v>73.8</v>
      </c>
      <c r="O613" s="9">
        <f t="shared" si="58"/>
        <v>1771.1999999999998</v>
      </c>
      <c r="P613" s="75">
        <f t="shared" si="60"/>
        <v>4.0081928582580364</v>
      </c>
      <c r="Q613" s="78">
        <f t="shared" si="59"/>
        <v>3.928927374012281</v>
      </c>
      <c r="R613" s="10" t="s">
        <v>194</v>
      </c>
      <c r="S613" s="81" t="s">
        <v>29</v>
      </c>
      <c r="T613" s="10" t="s">
        <v>33</v>
      </c>
      <c r="U613" s="10"/>
    </row>
    <row r="614" spans="1:21" x14ac:dyDescent="0.3">
      <c r="A614" s="7" t="s">
        <v>187</v>
      </c>
      <c r="B614" s="7" t="s">
        <v>188</v>
      </c>
      <c r="C614" s="36">
        <v>44246156</v>
      </c>
      <c r="D614" s="8">
        <v>2018</v>
      </c>
      <c r="E614" s="7" t="s">
        <v>11</v>
      </c>
      <c r="F614" s="41">
        <f t="shared" si="55"/>
        <v>6.4186366833765178E-3</v>
      </c>
      <c r="G614" s="11">
        <v>9</v>
      </c>
      <c r="H614" s="36">
        <f t="shared" si="56"/>
        <v>158001.81776773016</v>
      </c>
      <c r="I614" s="36">
        <v>2840</v>
      </c>
      <c r="J614" s="9">
        <v>0.13300000000000001</v>
      </c>
      <c r="K614" s="9">
        <v>8</v>
      </c>
      <c r="L614" s="40">
        <f t="shared" si="57"/>
        <v>3021.76</v>
      </c>
      <c r="M614" s="8">
        <v>2100</v>
      </c>
      <c r="N614" s="9">
        <v>73.8</v>
      </c>
      <c r="O614" s="9">
        <f t="shared" si="58"/>
        <v>154980</v>
      </c>
      <c r="P614" s="75">
        <f t="shared" si="60"/>
        <v>357.0972759028607</v>
      </c>
      <c r="Q614" s="78">
        <f t="shared" si="59"/>
        <v>97.187152186351312</v>
      </c>
      <c r="R614" s="7" t="s">
        <v>197</v>
      </c>
      <c r="S614" s="80" t="s">
        <v>19</v>
      </c>
      <c r="T614" s="7" t="s">
        <v>78</v>
      </c>
      <c r="U614" s="7"/>
    </row>
    <row r="615" spans="1:21" x14ac:dyDescent="0.3">
      <c r="A615" s="10" t="s">
        <v>187</v>
      </c>
      <c r="B615" s="10" t="s">
        <v>188</v>
      </c>
      <c r="C615" s="37">
        <v>44246156</v>
      </c>
      <c r="D615" s="11">
        <v>2018</v>
      </c>
      <c r="E615" s="10" t="s">
        <v>17</v>
      </c>
      <c r="F615" s="41">
        <f t="shared" si="55"/>
        <v>2.7121000070605005E-4</v>
      </c>
      <c r="G615" s="8">
        <v>7</v>
      </c>
      <c r="H615" s="36">
        <f t="shared" si="56"/>
        <v>243.36189847000495</v>
      </c>
      <c r="I615" s="37">
        <v>120</v>
      </c>
      <c r="J615" s="12">
        <v>0.13300000000000001</v>
      </c>
      <c r="K615" s="12">
        <v>6</v>
      </c>
      <c r="L615" s="40">
        <f t="shared" si="57"/>
        <v>95.76</v>
      </c>
      <c r="M615" s="11">
        <v>2</v>
      </c>
      <c r="N615" s="12">
        <v>73.8</v>
      </c>
      <c r="O615" s="9">
        <f t="shared" si="58"/>
        <v>147.6</v>
      </c>
      <c r="P615" s="75">
        <f t="shared" si="60"/>
        <v>0.55001817213229764</v>
      </c>
      <c r="Q615" s="78">
        <f t="shared" si="59"/>
        <v>0.54850834156637829</v>
      </c>
      <c r="R615" s="10" t="s">
        <v>190</v>
      </c>
      <c r="S615" s="81" t="s">
        <v>19</v>
      </c>
      <c r="T615" s="10"/>
      <c r="U615" s="10"/>
    </row>
    <row r="616" spans="1:21" x14ac:dyDescent="0.3">
      <c r="A616" s="7" t="s">
        <v>187</v>
      </c>
      <c r="B616" s="7" t="s">
        <v>188</v>
      </c>
      <c r="C616" s="36">
        <v>44246156</v>
      </c>
      <c r="D616" s="8">
        <v>2018</v>
      </c>
      <c r="E616" s="7" t="s">
        <v>20</v>
      </c>
      <c r="F616" s="41">
        <f t="shared" si="55"/>
        <v>1.0848400028242002E-4</v>
      </c>
      <c r="G616" s="11">
        <v>7</v>
      </c>
      <c r="H616" s="36">
        <f t="shared" si="56"/>
        <v>923.90475938800182</v>
      </c>
      <c r="I616" s="36">
        <v>48</v>
      </c>
      <c r="J616" s="9">
        <v>0.13300000000000001</v>
      </c>
      <c r="K616" s="9">
        <v>6</v>
      </c>
      <c r="L616" s="40">
        <f t="shared" si="57"/>
        <v>38.304000000000002</v>
      </c>
      <c r="M616" s="8">
        <v>12</v>
      </c>
      <c r="N616" s="9">
        <v>73.8</v>
      </c>
      <c r="O616" s="9">
        <f t="shared" si="58"/>
        <v>885.59999999999991</v>
      </c>
      <c r="P616" s="75">
        <f t="shared" si="60"/>
        <v>2.0881017537161912</v>
      </c>
      <c r="Q616" s="78">
        <f t="shared" si="59"/>
        <v>2.0664518614886829</v>
      </c>
      <c r="R616" s="7" t="s">
        <v>191</v>
      </c>
      <c r="S616" s="80" t="s">
        <v>19</v>
      </c>
      <c r="T616" s="7"/>
      <c r="U616" s="7"/>
    </row>
    <row r="617" spans="1:21" ht="22.8" x14ac:dyDescent="0.3">
      <c r="A617" s="10" t="s">
        <v>187</v>
      </c>
      <c r="B617" s="10" t="s">
        <v>188</v>
      </c>
      <c r="C617" s="37">
        <v>44246156</v>
      </c>
      <c r="D617" s="11">
        <v>2018</v>
      </c>
      <c r="E617" s="10" t="s">
        <v>23</v>
      </c>
      <c r="F617" s="41">
        <f t="shared" si="55"/>
        <v>1.8984700049423504E-4</v>
      </c>
      <c r="G617" s="8">
        <v>8</v>
      </c>
      <c r="H617" s="36">
        <f t="shared" si="56"/>
        <v>3177.8055187760042</v>
      </c>
      <c r="I617" s="37">
        <v>84</v>
      </c>
      <c r="J617" s="12">
        <v>0.13300000000000001</v>
      </c>
      <c r="K617" s="12">
        <v>7</v>
      </c>
      <c r="L617" s="40">
        <f t="shared" si="57"/>
        <v>78.204000000000008</v>
      </c>
      <c r="M617" s="11">
        <v>42</v>
      </c>
      <c r="N617" s="12">
        <v>73.8</v>
      </c>
      <c r="O617" s="9">
        <f t="shared" si="58"/>
        <v>3099.6</v>
      </c>
      <c r="P617" s="75">
        <f t="shared" si="60"/>
        <v>7.1821053082577482</v>
      </c>
      <c r="Q617" s="78">
        <f t="shared" si="59"/>
        <v>6.9302573653803883</v>
      </c>
      <c r="R617" s="10" t="s">
        <v>192</v>
      </c>
      <c r="S617" s="81" t="s">
        <v>25</v>
      </c>
      <c r="T617" s="10" t="s">
        <v>15</v>
      </c>
      <c r="U617" s="10"/>
    </row>
    <row r="618" spans="1:21" x14ac:dyDescent="0.3">
      <c r="A618" s="7" t="s">
        <v>187</v>
      </c>
      <c r="B618" s="7" t="s">
        <v>188</v>
      </c>
      <c r="C618" s="36">
        <v>44246156</v>
      </c>
      <c r="D618" s="8">
        <v>2018</v>
      </c>
      <c r="E618" s="7" t="s">
        <v>26</v>
      </c>
      <c r="F618" s="41">
        <f t="shared" si="55"/>
        <v>4.0681500105907507</v>
      </c>
      <c r="G618" s="11">
        <v>6</v>
      </c>
      <c r="H618" s="36">
        <f t="shared" si="56"/>
        <v>1152024.4089000635</v>
      </c>
      <c r="I618" s="36">
        <v>1800000</v>
      </c>
      <c r="J618" s="9">
        <v>0.128</v>
      </c>
      <c r="K618" s="9">
        <v>5</v>
      </c>
      <c r="L618" s="40">
        <f t="shared" si="57"/>
        <v>1152000</v>
      </c>
      <c r="M618" s="8">
        <v>0</v>
      </c>
      <c r="N618" s="9">
        <v>73.8</v>
      </c>
      <c r="O618" s="9">
        <f t="shared" si="58"/>
        <v>0</v>
      </c>
      <c r="P618" s="75">
        <f t="shared" si="60"/>
        <v>2603.6711729264425</v>
      </c>
      <c r="Q618" s="78">
        <f t="shared" si="59"/>
        <v>99.999999999507509</v>
      </c>
      <c r="R618" s="7" t="s">
        <v>193</v>
      </c>
      <c r="S618" s="80" t="s">
        <v>28</v>
      </c>
      <c r="T618" s="7"/>
      <c r="U618" s="7"/>
    </row>
    <row r="619" spans="1:21" ht="22.8" x14ac:dyDescent="0.3">
      <c r="A619" s="10" t="s">
        <v>187</v>
      </c>
      <c r="B619" s="10" t="s">
        <v>188</v>
      </c>
      <c r="C619" s="37">
        <v>44246156</v>
      </c>
      <c r="D619" s="11">
        <v>2018</v>
      </c>
      <c r="E619" s="10" t="s">
        <v>30</v>
      </c>
      <c r="F619" s="41">
        <f t="shared" si="55"/>
        <v>4.0681500105907504E-5</v>
      </c>
      <c r="G619" s="8">
        <v>6</v>
      </c>
      <c r="H619" s="36">
        <f t="shared" si="56"/>
        <v>1779.8402440890006</v>
      </c>
      <c r="I619" s="37">
        <v>18</v>
      </c>
      <c r="J619" s="12">
        <v>0.12</v>
      </c>
      <c r="K619" s="12">
        <v>4</v>
      </c>
      <c r="L619" s="40">
        <f t="shared" si="57"/>
        <v>8.64</v>
      </c>
      <c r="M619" s="11">
        <v>24</v>
      </c>
      <c r="N619" s="12">
        <v>73.8</v>
      </c>
      <c r="O619" s="9">
        <f t="shared" si="58"/>
        <v>1771.1999999999998</v>
      </c>
      <c r="P619" s="75">
        <f t="shared" si="60"/>
        <v>4.0225872821336175</v>
      </c>
      <c r="Q619" s="78">
        <f t="shared" si="59"/>
        <v>3.9427552561820289</v>
      </c>
      <c r="R619" s="10" t="s">
        <v>194</v>
      </c>
      <c r="S619" s="81" t="s">
        <v>29</v>
      </c>
      <c r="T619" s="10" t="s">
        <v>33</v>
      </c>
      <c r="U619" s="10"/>
    </row>
    <row r="620" spans="1:21" ht="22.8" x14ac:dyDescent="0.3">
      <c r="A620" s="7" t="s">
        <v>187</v>
      </c>
      <c r="B620" s="7" t="s">
        <v>188</v>
      </c>
      <c r="C620" s="36">
        <v>44385155</v>
      </c>
      <c r="D620" s="8">
        <v>2019</v>
      </c>
      <c r="E620" s="7" t="s">
        <v>11</v>
      </c>
      <c r="F620" s="41">
        <f t="shared" si="55"/>
        <v>5.5874537331231577E-3</v>
      </c>
      <c r="G620" s="11">
        <v>9</v>
      </c>
      <c r="H620" s="36">
        <f t="shared" si="56"/>
        <v>135478.77028708361</v>
      </c>
      <c r="I620" s="36">
        <v>2480</v>
      </c>
      <c r="J620" s="9">
        <v>0.13300000000000001</v>
      </c>
      <c r="K620" s="9">
        <v>8</v>
      </c>
      <c r="L620" s="40">
        <f t="shared" si="57"/>
        <v>2638.7200000000003</v>
      </c>
      <c r="M620" s="8">
        <v>1800</v>
      </c>
      <c r="N620" s="9">
        <v>73.8</v>
      </c>
      <c r="O620" s="9">
        <f t="shared" si="58"/>
        <v>132840</v>
      </c>
      <c r="P620" s="75">
        <f t="shared" si="60"/>
        <v>305.23441967721777</v>
      </c>
      <c r="Q620" s="78">
        <f t="shared" si="59"/>
        <v>95.275196422340429</v>
      </c>
      <c r="R620" s="7" t="s">
        <v>198</v>
      </c>
      <c r="S620" s="80" t="s">
        <v>19</v>
      </c>
      <c r="T620" s="7" t="s">
        <v>78</v>
      </c>
      <c r="U620" s="7"/>
    </row>
    <row r="621" spans="1:21" x14ac:dyDescent="0.3">
      <c r="A621" s="10" t="s">
        <v>187</v>
      </c>
      <c r="B621" s="10" t="s">
        <v>188</v>
      </c>
      <c r="C621" s="37">
        <v>44385155</v>
      </c>
      <c r="D621" s="11">
        <v>2019</v>
      </c>
      <c r="E621" s="10" t="s">
        <v>17</v>
      </c>
      <c r="F621" s="41">
        <f t="shared" si="55"/>
        <v>2.7036066450595924E-4</v>
      </c>
      <c r="G621" s="8">
        <v>7</v>
      </c>
      <c r="H621" s="36">
        <f t="shared" si="56"/>
        <v>243.36189252465155</v>
      </c>
      <c r="I621" s="37">
        <v>120</v>
      </c>
      <c r="J621" s="12">
        <v>0.13300000000000001</v>
      </c>
      <c r="K621" s="12">
        <v>6</v>
      </c>
      <c r="L621" s="40">
        <f t="shared" si="57"/>
        <v>95.76</v>
      </c>
      <c r="M621" s="11">
        <v>2</v>
      </c>
      <c r="N621" s="12">
        <v>73.8</v>
      </c>
      <c r="O621" s="9">
        <f t="shared" si="58"/>
        <v>147.6</v>
      </c>
      <c r="P621" s="75">
        <f t="shared" si="60"/>
        <v>0.54829569148660517</v>
      </c>
      <c r="Q621" s="78">
        <f t="shared" si="59"/>
        <v>0.5467952941172971</v>
      </c>
      <c r="R621" s="10" t="s">
        <v>190</v>
      </c>
      <c r="S621" s="81" t="s">
        <v>19</v>
      </c>
      <c r="T621" s="10"/>
      <c r="U621" s="10"/>
    </row>
    <row r="622" spans="1:21" x14ac:dyDescent="0.3">
      <c r="A622" s="7" t="s">
        <v>187</v>
      </c>
      <c r="B622" s="7" t="s">
        <v>188</v>
      </c>
      <c r="C622" s="36">
        <v>44385155</v>
      </c>
      <c r="D622" s="8">
        <v>2019</v>
      </c>
      <c r="E622" s="7" t="s">
        <v>20</v>
      </c>
      <c r="F622" s="41">
        <f t="shared" si="55"/>
        <v>1.081442658023837E-4</v>
      </c>
      <c r="G622" s="11">
        <v>7</v>
      </c>
      <c r="H622" s="36">
        <f t="shared" si="56"/>
        <v>923.90475700986053</v>
      </c>
      <c r="I622" s="36">
        <v>48</v>
      </c>
      <c r="J622" s="9">
        <v>0.13300000000000001</v>
      </c>
      <c r="K622" s="9">
        <v>6</v>
      </c>
      <c r="L622" s="40">
        <f t="shared" si="57"/>
        <v>38.304000000000002</v>
      </c>
      <c r="M622" s="8">
        <v>12</v>
      </c>
      <c r="N622" s="9">
        <v>73.8</v>
      </c>
      <c r="O622" s="9">
        <f t="shared" si="58"/>
        <v>885.59999999999991</v>
      </c>
      <c r="P622" s="75">
        <f t="shared" si="60"/>
        <v>2.0815625337116894</v>
      </c>
      <c r="Q622" s="78">
        <f t="shared" si="59"/>
        <v>2.0600475619243497</v>
      </c>
      <c r="R622" s="7" t="s">
        <v>191</v>
      </c>
      <c r="S622" s="80" t="s">
        <v>19</v>
      </c>
      <c r="T622" s="7"/>
      <c r="U622" s="7"/>
    </row>
    <row r="623" spans="1:21" ht="22.8" x14ac:dyDescent="0.3">
      <c r="A623" s="10" t="s">
        <v>187</v>
      </c>
      <c r="B623" s="10" t="s">
        <v>188</v>
      </c>
      <c r="C623" s="37">
        <v>44385155</v>
      </c>
      <c r="D623" s="11">
        <v>2019</v>
      </c>
      <c r="E623" s="10" t="s">
        <v>23</v>
      </c>
      <c r="F623" s="41">
        <f t="shared" si="55"/>
        <v>1.8925246515417147E-4</v>
      </c>
      <c r="G623" s="8">
        <v>8</v>
      </c>
      <c r="H623" s="36">
        <f t="shared" si="56"/>
        <v>3177.8055140197212</v>
      </c>
      <c r="I623" s="37">
        <v>84</v>
      </c>
      <c r="J623" s="12">
        <v>0.13300000000000001</v>
      </c>
      <c r="K623" s="12">
        <v>7</v>
      </c>
      <c r="L623" s="40">
        <f t="shared" si="57"/>
        <v>78.204000000000008</v>
      </c>
      <c r="M623" s="11">
        <v>42</v>
      </c>
      <c r="N623" s="12">
        <v>73.8</v>
      </c>
      <c r="O623" s="9">
        <f t="shared" si="58"/>
        <v>3099.6</v>
      </c>
      <c r="P623" s="75">
        <f t="shared" si="60"/>
        <v>7.1596134203422768</v>
      </c>
      <c r="Q623" s="78">
        <f t="shared" si="59"/>
        <v>6.909321868877849</v>
      </c>
      <c r="R623" s="10" t="s">
        <v>192</v>
      </c>
      <c r="S623" s="81" t="s">
        <v>25</v>
      </c>
      <c r="T623" s="10" t="s">
        <v>15</v>
      </c>
      <c r="U623" s="10"/>
    </row>
    <row r="624" spans="1:21" x14ac:dyDescent="0.3">
      <c r="A624" s="7" t="s">
        <v>187</v>
      </c>
      <c r="B624" s="7" t="s">
        <v>188</v>
      </c>
      <c r="C624" s="36">
        <v>44385155</v>
      </c>
      <c r="D624" s="8">
        <v>2019</v>
      </c>
      <c r="E624" s="7" t="s">
        <v>26</v>
      </c>
      <c r="F624" s="41">
        <f t="shared" si="55"/>
        <v>4.0554099675893891</v>
      </c>
      <c r="G624" s="11">
        <v>6</v>
      </c>
      <c r="H624" s="36">
        <f t="shared" si="56"/>
        <v>1152024.3324598055</v>
      </c>
      <c r="I624" s="36">
        <v>1800000</v>
      </c>
      <c r="J624" s="9">
        <v>0.128</v>
      </c>
      <c r="K624" s="9">
        <v>5</v>
      </c>
      <c r="L624" s="40">
        <f t="shared" si="57"/>
        <v>1152000</v>
      </c>
      <c r="M624" s="8">
        <v>0</v>
      </c>
      <c r="N624" s="9">
        <v>73.8</v>
      </c>
      <c r="O624" s="9">
        <f t="shared" si="58"/>
        <v>0</v>
      </c>
      <c r="P624" s="75">
        <f t="shared" si="60"/>
        <v>2595.517200423893</v>
      </c>
      <c r="Q624" s="78">
        <f t="shared" si="59"/>
        <v>99.999999999465672</v>
      </c>
      <c r="R624" s="7" t="s">
        <v>193</v>
      </c>
      <c r="S624" s="80" t="s">
        <v>28</v>
      </c>
      <c r="T624" s="7"/>
      <c r="U624" s="7"/>
    </row>
    <row r="625" spans="1:21" ht="22.8" x14ac:dyDescent="0.3">
      <c r="A625" s="10" t="s">
        <v>187</v>
      </c>
      <c r="B625" s="10" t="s">
        <v>188</v>
      </c>
      <c r="C625" s="37">
        <v>44385155</v>
      </c>
      <c r="D625" s="11">
        <v>2019</v>
      </c>
      <c r="E625" s="10" t="s">
        <v>30</v>
      </c>
      <c r="F625" s="41">
        <f t="shared" si="55"/>
        <v>4.0554099675893887E-5</v>
      </c>
      <c r="G625" s="8">
        <v>6</v>
      </c>
      <c r="H625" s="36">
        <f t="shared" si="56"/>
        <v>1779.8402433245981</v>
      </c>
      <c r="I625" s="37">
        <v>18</v>
      </c>
      <c r="J625" s="12">
        <v>0.12</v>
      </c>
      <c r="K625" s="12">
        <v>4</v>
      </c>
      <c r="L625" s="40">
        <f t="shared" si="57"/>
        <v>8.64</v>
      </c>
      <c r="M625" s="11">
        <v>24</v>
      </c>
      <c r="N625" s="12">
        <v>73.8</v>
      </c>
      <c r="O625" s="9">
        <f t="shared" si="58"/>
        <v>1771.1999999999998</v>
      </c>
      <c r="P625" s="75">
        <f t="shared" si="60"/>
        <v>4.0099899241640546</v>
      </c>
      <c r="Q625" s="78">
        <f t="shared" si="59"/>
        <v>3.9306538189912699</v>
      </c>
      <c r="R625" s="10" t="s">
        <v>194</v>
      </c>
      <c r="S625" s="81" t="s">
        <v>29</v>
      </c>
      <c r="T625" s="10" t="s">
        <v>33</v>
      </c>
      <c r="U625" s="10"/>
    </row>
    <row r="626" spans="1:21" x14ac:dyDescent="0.3">
      <c r="A626" s="7" t="s">
        <v>187</v>
      </c>
      <c r="B626" s="7" t="s">
        <v>188</v>
      </c>
      <c r="C626" s="36">
        <v>44134693</v>
      </c>
      <c r="D626" s="8">
        <v>2020</v>
      </c>
      <c r="E626" s="7" t="s">
        <v>11</v>
      </c>
      <c r="F626" s="41">
        <f t="shared" si="55"/>
        <v>4.803477391357407E-3</v>
      </c>
      <c r="G626" s="11">
        <v>9</v>
      </c>
      <c r="H626" s="36">
        <f t="shared" si="56"/>
        <v>112955.72323129652</v>
      </c>
      <c r="I626" s="36">
        <v>2120</v>
      </c>
      <c r="J626" s="9">
        <v>0.13300000000000001</v>
      </c>
      <c r="K626" s="9">
        <v>8</v>
      </c>
      <c r="L626" s="40">
        <f t="shared" si="57"/>
        <v>2255.6800000000003</v>
      </c>
      <c r="M626" s="8">
        <v>1500</v>
      </c>
      <c r="N626" s="9">
        <v>73.8</v>
      </c>
      <c r="O626" s="9">
        <f t="shared" si="58"/>
        <v>110700</v>
      </c>
      <c r="P626" s="75">
        <f t="shared" si="60"/>
        <v>255.93408621035726</v>
      </c>
      <c r="Q626" s="78">
        <f t="shared" si="59"/>
        <v>92.26442882759946</v>
      </c>
      <c r="R626" s="7" t="s">
        <v>199</v>
      </c>
      <c r="S626" s="80" t="s">
        <v>19</v>
      </c>
      <c r="T626" s="7" t="s">
        <v>78</v>
      </c>
      <c r="U626" s="7"/>
    </row>
    <row r="627" spans="1:21" x14ac:dyDescent="0.3">
      <c r="A627" s="10" t="s">
        <v>187</v>
      </c>
      <c r="B627" s="10" t="s">
        <v>188</v>
      </c>
      <c r="C627" s="37">
        <v>44134693</v>
      </c>
      <c r="D627" s="11">
        <v>2020</v>
      </c>
      <c r="E627" s="10" t="s">
        <v>17</v>
      </c>
      <c r="F627" s="41">
        <f t="shared" si="55"/>
        <v>2.7189494668060794E-4</v>
      </c>
      <c r="G627" s="8">
        <v>7</v>
      </c>
      <c r="H627" s="36">
        <f t="shared" si="56"/>
        <v>243.36190326462679</v>
      </c>
      <c r="I627" s="37">
        <v>120</v>
      </c>
      <c r="J627" s="12">
        <v>0.13300000000000001</v>
      </c>
      <c r="K627" s="12">
        <v>6</v>
      </c>
      <c r="L627" s="40">
        <f t="shared" si="57"/>
        <v>95.76</v>
      </c>
      <c r="M627" s="11">
        <v>2</v>
      </c>
      <c r="N627" s="12">
        <v>73.8</v>
      </c>
      <c r="O627" s="9">
        <f t="shared" si="58"/>
        <v>147.6</v>
      </c>
      <c r="P627" s="75">
        <f t="shared" si="60"/>
        <v>0.55140726426855813</v>
      </c>
      <c r="Q627" s="78">
        <f t="shared" si="59"/>
        <v>0.54988980482147953</v>
      </c>
      <c r="R627" s="10" t="s">
        <v>190</v>
      </c>
      <c r="S627" s="81" t="s">
        <v>19</v>
      </c>
      <c r="T627" s="10"/>
      <c r="U627" s="10"/>
    </row>
    <row r="628" spans="1:21" x14ac:dyDescent="0.3">
      <c r="A628" s="7" t="s">
        <v>187</v>
      </c>
      <c r="B628" s="7" t="s">
        <v>188</v>
      </c>
      <c r="C628" s="36">
        <v>44134693</v>
      </c>
      <c r="D628" s="8">
        <v>2020</v>
      </c>
      <c r="E628" s="7" t="s">
        <v>20</v>
      </c>
      <c r="F628" s="41">
        <f t="shared" si="55"/>
        <v>1.0875797867224317E-4</v>
      </c>
      <c r="G628" s="11">
        <v>7</v>
      </c>
      <c r="H628" s="36">
        <f t="shared" si="56"/>
        <v>923.90476130585057</v>
      </c>
      <c r="I628" s="36">
        <v>48</v>
      </c>
      <c r="J628" s="9">
        <v>0.13300000000000001</v>
      </c>
      <c r="K628" s="9">
        <v>6</v>
      </c>
      <c r="L628" s="40">
        <f t="shared" si="57"/>
        <v>38.304000000000002</v>
      </c>
      <c r="M628" s="8">
        <v>12</v>
      </c>
      <c r="N628" s="9">
        <v>73.8</v>
      </c>
      <c r="O628" s="9">
        <f t="shared" si="58"/>
        <v>885.59999999999991</v>
      </c>
      <c r="P628" s="75">
        <f t="shared" si="60"/>
        <v>2.0933752984434504</v>
      </c>
      <c r="Q628" s="78">
        <f t="shared" si="59"/>
        <v>2.0716162947772121</v>
      </c>
      <c r="R628" s="7" t="s">
        <v>191</v>
      </c>
      <c r="S628" s="80" t="s">
        <v>19</v>
      </c>
      <c r="T628" s="7"/>
      <c r="U628" s="7"/>
    </row>
    <row r="629" spans="1:21" ht="22.8" x14ac:dyDescent="0.3">
      <c r="A629" s="10" t="s">
        <v>187</v>
      </c>
      <c r="B629" s="10" t="s">
        <v>188</v>
      </c>
      <c r="C629" s="37">
        <v>44134693</v>
      </c>
      <c r="D629" s="11">
        <v>2020</v>
      </c>
      <c r="E629" s="10" t="s">
        <v>23</v>
      </c>
      <c r="F629" s="41">
        <f t="shared" si="55"/>
        <v>1.9032646267642554E-4</v>
      </c>
      <c r="G629" s="8">
        <v>8</v>
      </c>
      <c r="H629" s="36">
        <f t="shared" si="56"/>
        <v>3177.8055226117017</v>
      </c>
      <c r="I629" s="37">
        <v>84</v>
      </c>
      <c r="J629" s="12">
        <v>0.13300000000000001</v>
      </c>
      <c r="K629" s="12">
        <v>7</v>
      </c>
      <c r="L629" s="40">
        <f t="shared" si="57"/>
        <v>78.204000000000008</v>
      </c>
      <c r="M629" s="11">
        <v>42</v>
      </c>
      <c r="N629" s="12">
        <v>73.8</v>
      </c>
      <c r="O629" s="9">
        <f t="shared" si="58"/>
        <v>3099.6</v>
      </c>
      <c r="P629" s="75">
        <f t="shared" si="60"/>
        <v>7.2002438594320832</v>
      </c>
      <c r="Q629" s="78">
        <f t="shared" si="59"/>
        <v>6.9471373373385381</v>
      </c>
      <c r="R629" s="10" t="s">
        <v>192</v>
      </c>
      <c r="S629" s="81" t="s">
        <v>25</v>
      </c>
      <c r="T629" s="10" t="s">
        <v>15</v>
      </c>
      <c r="U629" s="10"/>
    </row>
    <row r="630" spans="1:21" x14ac:dyDescent="0.3">
      <c r="A630" s="7" t="s">
        <v>187</v>
      </c>
      <c r="B630" s="7" t="s">
        <v>188</v>
      </c>
      <c r="C630" s="36">
        <v>44134693</v>
      </c>
      <c r="D630" s="8">
        <v>2020</v>
      </c>
      <c r="E630" s="7" t="s">
        <v>26</v>
      </c>
      <c r="F630" s="41">
        <f t="shared" si="55"/>
        <v>4.0784242002091187</v>
      </c>
      <c r="G630" s="11">
        <v>6</v>
      </c>
      <c r="H630" s="36">
        <f t="shared" si="56"/>
        <v>1152024.4705452013</v>
      </c>
      <c r="I630" s="36">
        <v>1800000</v>
      </c>
      <c r="J630" s="9">
        <v>0.128</v>
      </c>
      <c r="K630" s="9">
        <v>5</v>
      </c>
      <c r="L630" s="40">
        <f t="shared" si="57"/>
        <v>1152000</v>
      </c>
      <c r="M630" s="8">
        <v>0</v>
      </c>
      <c r="N630" s="9">
        <v>73.8</v>
      </c>
      <c r="O630" s="9">
        <f t="shared" si="58"/>
        <v>0</v>
      </c>
      <c r="P630" s="75">
        <f t="shared" si="60"/>
        <v>2610.2469332803589</v>
      </c>
      <c r="Q630" s="78">
        <f t="shared" si="59"/>
        <v>99.999999999538844</v>
      </c>
      <c r="R630" s="7" t="s">
        <v>193</v>
      </c>
      <c r="S630" s="80" t="s">
        <v>28</v>
      </c>
      <c r="T630" s="7"/>
      <c r="U630" s="7"/>
    </row>
    <row r="631" spans="1:21" ht="22.8" x14ac:dyDescent="0.3">
      <c r="A631" s="10" t="s">
        <v>187</v>
      </c>
      <c r="B631" s="10" t="s">
        <v>188</v>
      </c>
      <c r="C631" s="37">
        <v>44134693</v>
      </c>
      <c r="D631" s="11">
        <v>2020</v>
      </c>
      <c r="E631" s="10" t="s">
        <v>30</v>
      </c>
      <c r="F631" s="41">
        <f t="shared" si="55"/>
        <v>4.0784242002091192E-5</v>
      </c>
      <c r="G631" s="8">
        <v>6</v>
      </c>
      <c r="H631" s="36">
        <f t="shared" si="56"/>
        <v>1779.8402447054518</v>
      </c>
      <c r="I631" s="37">
        <v>18</v>
      </c>
      <c r="J631" s="12">
        <v>0.12</v>
      </c>
      <c r="K631" s="12">
        <v>4</v>
      </c>
      <c r="L631" s="40">
        <f t="shared" si="57"/>
        <v>8.64</v>
      </c>
      <c r="M631" s="11">
        <v>24</v>
      </c>
      <c r="N631" s="12">
        <v>73.8</v>
      </c>
      <c r="O631" s="9">
        <f t="shared" si="58"/>
        <v>1771.1999999999998</v>
      </c>
      <c r="P631" s="75">
        <f t="shared" si="60"/>
        <v>4.0327464036182414</v>
      </c>
      <c r="Q631" s="78">
        <f t="shared" si="59"/>
        <v>3.9525133326945183</v>
      </c>
      <c r="R631" s="10" t="s">
        <v>194</v>
      </c>
      <c r="S631" s="81" t="s">
        <v>29</v>
      </c>
      <c r="T631" s="10" t="s">
        <v>33</v>
      </c>
      <c r="U631" s="10"/>
    </row>
    <row r="632" spans="1:21" x14ac:dyDescent="0.3">
      <c r="A632" s="7" t="s">
        <v>187</v>
      </c>
      <c r="B632" s="7" t="s">
        <v>188</v>
      </c>
      <c r="C632" s="36">
        <v>43467122</v>
      </c>
      <c r="D632" s="8">
        <v>2021</v>
      </c>
      <c r="E632" s="7" t="s">
        <v>11</v>
      </c>
      <c r="F632" s="41">
        <f t="shared" si="55"/>
        <v>6.5336738880480746E-3</v>
      </c>
      <c r="G632" s="11">
        <v>9</v>
      </c>
      <c r="H632" s="36">
        <f t="shared" si="56"/>
        <v>135861.81880306499</v>
      </c>
      <c r="I632" s="36">
        <v>2840</v>
      </c>
      <c r="J632" s="9">
        <v>0.13300000000000001</v>
      </c>
      <c r="K632" s="9">
        <v>8</v>
      </c>
      <c r="L632" s="40">
        <f t="shared" si="57"/>
        <v>3021.76</v>
      </c>
      <c r="M632" s="8">
        <v>1800</v>
      </c>
      <c r="N632" s="9">
        <v>73.8</v>
      </c>
      <c r="O632" s="9">
        <f t="shared" si="58"/>
        <v>132840</v>
      </c>
      <c r="P632" s="75">
        <f t="shared" si="60"/>
        <v>312.56225982264249</v>
      </c>
      <c r="Q632" s="78">
        <f t="shared" si="59"/>
        <v>95.609041291970314</v>
      </c>
      <c r="R632" s="7" t="s">
        <v>200</v>
      </c>
      <c r="S632" s="80" t="s">
        <v>19</v>
      </c>
      <c r="T632" s="7" t="s">
        <v>78</v>
      </c>
      <c r="U632" s="7"/>
    </row>
    <row r="633" spans="1:21" x14ac:dyDescent="0.3">
      <c r="A633" s="10" t="s">
        <v>187</v>
      </c>
      <c r="B633" s="10" t="s">
        <v>188</v>
      </c>
      <c r="C633" s="37">
        <v>43467122</v>
      </c>
      <c r="D633" s="11">
        <v>2021</v>
      </c>
      <c r="E633" s="10" t="s">
        <v>17</v>
      </c>
      <c r="F633" s="41">
        <f t="shared" si="55"/>
        <v>2.7607072766400317E-4</v>
      </c>
      <c r="G633" s="8">
        <v>7</v>
      </c>
      <c r="H633" s="36">
        <f t="shared" si="56"/>
        <v>243.36193249509367</v>
      </c>
      <c r="I633" s="37">
        <v>120</v>
      </c>
      <c r="J633" s="12">
        <v>0.13300000000000001</v>
      </c>
      <c r="K633" s="12">
        <v>6</v>
      </c>
      <c r="L633" s="40">
        <f t="shared" si="57"/>
        <v>95.76</v>
      </c>
      <c r="M633" s="11">
        <v>2</v>
      </c>
      <c r="N633" s="12">
        <v>73.8</v>
      </c>
      <c r="O633" s="9">
        <f t="shared" si="58"/>
        <v>147.6</v>
      </c>
      <c r="P633" s="75">
        <f t="shared" si="60"/>
        <v>0.55987588158032098</v>
      </c>
      <c r="Q633" s="78">
        <f t="shared" si="59"/>
        <v>0.55831149746453645</v>
      </c>
      <c r="R633" s="10" t="s">
        <v>190</v>
      </c>
      <c r="S633" s="81" t="s">
        <v>19</v>
      </c>
      <c r="T633" s="10"/>
      <c r="U633" s="10"/>
    </row>
    <row r="634" spans="1:21" x14ac:dyDescent="0.3">
      <c r="A634" s="7" t="s">
        <v>187</v>
      </c>
      <c r="B634" s="7" t="s">
        <v>188</v>
      </c>
      <c r="C634" s="36">
        <v>43467122</v>
      </c>
      <c r="D634" s="8">
        <v>2021</v>
      </c>
      <c r="E634" s="7" t="s">
        <v>20</v>
      </c>
      <c r="F634" s="41">
        <f t="shared" si="55"/>
        <v>1.1042829106560126E-4</v>
      </c>
      <c r="G634" s="11">
        <v>7</v>
      </c>
      <c r="H634" s="36">
        <f t="shared" si="56"/>
        <v>923.90477299803729</v>
      </c>
      <c r="I634" s="36">
        <v>48</v>
      </c>
      <c r="J634" s="9">
        <v>0.13300000000000001</v>
      </c>
      <c r="K634" s="9">
        <v>6</v>
      </c>
      <c r="L634" s="40">
        <f t="shared" si="57"/>
        <v>38.304000000000002</v>
      </c>
      <c r="M634" s="8">
        <v>12</v>
      </c>
      <c r="N634" s="9">
        <v>73.8</v>
      </c>
      <c r="O634" s="9">
        <f t="shared" si="58"/>
        <v>885.59999999999991</v>
      </c>
      <c r="P634" s="75">
        <f t="shared" si="60"/>
        <v>2.1255255247817817</v>
      </c>
      <c r="Q634" s="78">
        <f t="shared" si="59"/>
        <v>2.1030954312099559</v>
      </c>
      <c r="R634" s="7" t="s">
        <v>191</v>
      </c>
      <c r="S634" s="80" t="s">
        <v>19</v>
      </c>
      <c r="T634" s="7"/>
      <c r="U634" s="7"/>
    </row>
    <row r="635" spans="1:21" ht="22.8" x14ac:dyDescent="0.3">
      <c r="A635" s="10" t="s">
        <v>187</v>
      </c>
      <c r="B635" s="10" t="s">
        <v>188</v>
      </c>
      <c r="C635" s="37">
        <v>43467122</v>
      </c>
      <c r="D635" s="11">
        <v>2021</v>
      </c>
      <c r="E635" s="10" t="s">
        <v>23</v>
      </c>
      <c r="F635" s="41">
        <f t="shared" si="55"/>
        <v>1.932495093648022E-4</v>
      </c>
      <c r="G635" s="8">
        <v>8</v>
      </c>
      <c r="H635" s="36">
        <f t="shared" si="56"/>
        <v>3177.8055459960751</v>
      </c>
      <c r="I635" s="37">
        <v>84</v>
      </c>
      <c r="J635" s="12">
        <v>0.13300000000000001</v>
      </c>
      <c r="K635" s="12">
        <v>7</v>
      </c>
      <c r="L635" s="40">
        <f t="shared" si="57"/>
        <v>78.204000000000008</v>
      </c>
      <c r="M635" s="11">
        <v>42</v>
      </c>
      <c r="N635" s="12">
        <v>73.8</v>
      </c>
      <c r="O635" s="9">
        <f t="shared" si="58"/>
        <v>3099.6</v>
      </c>
      <c r="P635" s="75">
        <f t="shared" si="60"/>
        <v>7.3108257454820107</v>
      </c>
      <c r="Q635" s="78">
        <f t="shared" si="59"/>
        <v>7.0499800746950614</v>
      </c>
      <c r="R635" s="10" t="s">
        <v>192</v>
      </c>
      <c r="S635" s="81" t="s">
        <v>25</v>
      </c>
      <c r="T635" s="10" t="s">
        <v>15</v>
      </c>
      <c r="U635" s="10"/>
    </row>
    <row r="636" spans="1:21" x14ac:dyDescent="0.3">
      <c r="A636" s="7" t="s">
        <v>187</v>
      </c>
      <c r="B636" s="7" t="s">
        <v>188</v>
      </c>
      <c r="C636" s="36">
        <v>43467122</v>
      </c>
      <c r="D636" s="8">
        <v>2021</v>
      </c>
      <c r="E636" s="7" t="s">
        <v>26</v>
      </c>
      <c r="F636" s="41">
        <f t="shared" si="55"/>
        <v>4.1410609149600477</v>
      </c>
      <c r="G636" s="11">
        <v>6</v>
      </c>
      <c r="H636" s="36">
        <f t="shared" si="56"/>
        <v>1152024.8463654898</v>
      </c>
      <c r="I636" s="36">
        <v>1800000</v>
      </c>
      <c r="J636" s="9">
        <v>0.128</v>
      </c>
      <c r="K636" s="9">
        <v>5</v>
      </c>
      <c r="L636" s="40">
        <f t="shared" si="57"/>
        <v>1152000</v>
      </c>
      <c r="M636" s="8">
        <v>0</v>
      </c>
      <c r="N636" s="9">
        <v>73.8</v>
      </c>
      <c r="O636" s="9">
        <f t="shared" si="58"/>
        <v>0</v>
      </c>
      <c r="P636" s="75">
        <f t="shared" si="60"/>
        <v>2650.3361468594348</v>
      </c>
      <c r="Q636" s="78">
        <f t="shared" si="59"/>
        <v>99.999999999691155</v>
      </c>
      <c r="R636" s="7" t="s">
        <v>193</v>
      </c>
      <c r="S636" s="80" t="s">
        <v>28</v>
      </c>
      <c r="T636" s="7"/>
      <c r="U636" s="7"/>
    </row>
    <row r="637" spans="1:21" ht="22.8" x14ac:dyDescent="0.3">
      <c r="A637" s="10" t="s">
        <v>187</v>
      </c>
      <c r="B637" s="10" t="s">
        <v>188</v>
      </c>
      <c r="C637" s="37">
        <v>43467122</v>
      </c>
      <c r="D637" s="11">
        <v>2021</v>
      </c>
      <c r="E637" s="10" t="s">
        <v>30</v>
      </c>
      <c r="F637" s="41">
        <f t="shared" si="55"/>
        <v>4.141060914960047E-5</v>
      </c>
      <c r="G637" s="8">
        <v>6</v>
      </c>
      <c r="H637" s="36">
        <f t="shared" si="56"/>
        <v>1779.8402484636549</v>
      </c>
      <c r="I637" s="37">
        <v>18</v>
      </c>
      <c r="J637" s="12">
        <v>0.12</v>
      </c>
      <c r="K637" s="12">
        <v>4</v>
      </c>
      <c r="L637" s="40">
        <f t="shared" si="57"/>
        <v>8.64</v>
      </c>
      <c r="M637" s="11">
        <v>24</v>
      </c>
      <c r="N637" s="12">
        <v>73.8</v>
      </c>
      <c r="O637" s="9">
        <f t="shared" si="58"/>
        <v>1771.1999999999998</v>
      </c>
      <c r="P637" s="75">
        <f t="shared" si="60"/>
        <v>4.0946816043253449</v>
      </c>
      <c r="Q637" s="78">
        <f t="shared" si="59"/>
        <v>4.0119821183791533</v>
      </c>
      <c r="R637" s="10" t="s">
        <v>194</v>
      </c>
      <c r="S637" s="81" t="s">
        <v>29</v>
      </c>
      <c r="T637" s="10" t="s">
        <v>33</v>
      </c>
      <c r="U637" s="10"/>
    </row>
    <row r="638" spans="1:21" x14ac:dyDescent="0.3">
      <c r="A638" s="7" t="s">
        <v>187</v>
      </c>
      <c r="B638" s="7" t="s">
        <v>188</v>
      </c>
      <c r="C638" s="36">
        <v>43531422</v>
      </c>
      <c r="D638" s="8">
        <v>2022</v>
      </c>
      <c r="E638" s="7" t="s">
        <v>11</v>
      </c>
      <c r="F638" s="41">
        <f t="shared" si="55"/>
        <v>9.6482030841997302E-2</v>
      </c>
      <c r="G638" s="11">
        <v>9</v>
      </c>
      <c r="H638" s="36">
        <f t="shared" si="56"/>
        <v>2295588.8683382776</v>
      </c>
      <c r="I638" s="36">
        <v>42000</v>
      </c>
      <c r="J638" s="9">
        <v>0.13300000000000001</v>
      </c>
      <c r="K638" s="9">
        <v>8</v>
      </c>
      <c r="L638" s="40">
        <f t="shared" si="57"/>
        <v>44688</v>
      </c>
      <c r="M638" s="8">
        <v>30500</v>
      </c>
      <c r="N638" s="9">
        <v>73.8</v>
      </c>
      <c r="O638" s="9">
        <f t="shared" si="58"/>
        <v>2250900</v>
      </c>
      <c r="P638" s="75">
        <f t="shared" si="60"/>
        <v>5273.4065713228429</v>
      </c>
      <c r="Q638" s="78">
        <f t="shared" si="59"/>
        <v>100</v>
      </c>
      <c r="R638" s="7" t="s">
        <v>201</v>
      </c>
      <c r="S638" s="80" t="s">
        <v>19</v>
      </c>
      <c r="T638" s="7" t="s">
        <v>78</v>
      </c>
      <c r="U638" s="7"/>
    </row>
    <row r="639" spans="1:21" x14ac:dyDescent="0.3">
      <c r="A639" s="10" t="s">
        <v>187</v>
      </c>
      <c r="B639" s="10" t="s">
        <v>188</v>
      </c>
      <c r="C639" s="37">
        <v>43531422</v>
      </c>
      <c r="D639" s="11">
        <v>2022</v>
      </c>
      <c r="E639" s="10" t="s">
        <v>17</v>
      </c>
      <c r="F639" s="41">
        <f t="shared" si="55"/>
        <v>2.7566294526284942E-4</v>
      </c>
      <c r="G639" s="8">
        <v>7</v>
      </c>
      <c r="H639" s="36">
        <f t="shared" si="56"/>
        <v>243.36192964061686</v>
      </c>
      <c r="I639" s="37">
        <v>120</v>
      </c>
      <c r="J639" s="12">
        <v>0.13300000000000001</v>
      </c>
      <c r="K639" s="12">
        <v>6</v>
      </c>
      <c r="L639" s="40">
        <f t="shared" si="57"/>
        <v>95.76</v>
      </c>
      <c r="M639" s="11">
        <v>2</v>
      </c>
      <c r="N639" s="12">
        <v>73.8</v>
      </c>
      <c r="O639" s="9">
        <f t="shared" si="58"/>
        <v>147.6</v>
      </c>
      <c r="P639" s="75">
        <f t="shared" si="60"/>
        <v>0.55904888574652323</v>
      </c>
      <c r="Q639" s="78">
        <f t="shared" si="59"/>
        <v>0.55748911544303281</v>
      </c>
      <c r="R639" s="10" t="s">
        <v>190</v>
      </c>
      <c r="S639" s="81" t="s">
        <v>19</v>
      </c>
      <c r="T639" s="10"/>
      <c r="U639" s="10"/>
    </row>
    <row r="640" spans="1:21" x14ac:dyDescent="0.3">
      <c r="A640" s="7" t="s">
        <v>187</v>
      </c>
      <c r="B640" s="7" t="s">
        <v>188</v>
      </c>
      <c r="C640" s="36">
        <v>43531422</v>
      </c>
      <c r="D640" s="8">
        <v>2022</v>
      </c>
      <c r="E640" s="7" t="s">
        <v>20</v>
      </c>
      <c r="F640" s="41">
        <f t="shared" si="55"/>
        <v>1.1026517810513978E-4</v>
      </c>
      <c r="G640" s="11">
        <v>7</v>
      </c>
      <c r="H640" s="36">
        <f t="shared" si="56"/>
        <v>923.90477185624661</v>
      </c>
      <c r="I640" s="36">
        <v>48</v>
      </c>
      <c r="J640" s="9">
        <v>0.13300000000000001</v>
      </c>
      <c r="K640" s="9">
        <v>6</v>
      </c>
      <c r="L640" s="40">
        <f t="shared" si="57"/>
        <v>38.304000000000002</v>
      </c>
      <c r="M640" s="8">
        <v>12</v>
      </c>
      <c r="N640" s="9">
        <v>73.8</v>
      </c>
      <c r="O640" s="9">
        <f t="shared" si="58"/>
        <v>885.59999999999991</v>
      </c>
      <c r="P640" s="75">
        <f t="shared" si="60"/>
        <v>2.1223859212691161</v>
      </c>
      <c r="Q640" s="78">
        <f t="shared" si="59"/>
        <v>2.1000218083057853</v>
      </c>
      <c r="R640" s="7" t="s">
        <v>191</v>
      </c>
      <c r="S640" s="80" t="s">
        <v>19</v>
      </c>
      <c r="T640" s="7"/>
      <c r="U640" s="7"/>
    </row>
    <row r="641" spans="1:21" ht="22.8" x14ac:dyDescent="0.3">
      <c r="A641" s="10" t="s">
        <v>187</v>
      </c>
      <c r="B641" s="10" t="s">
        <v>188</v>
      </c>
      <c r="C641" s="37">
        <v>43531422</v>
      </c>
      <c r="D641" s="11">
        <v>2022</v>
      </c>
      <c r="E641" s="10" t="s">
        <v>23</v>
      </c>
      <c r="F641" s="41">
        <f t="shared" si="55"/>
        <v>1.9296406168399461E-4</v>
      </c>
      <c r="G641" s="8">
        <v>8</v>
      </c>
      <c r="H641" s="36">
        <f t="shared" si="56"/>
        <v>3177.8055437124935</v>
      </c>
      <c r="I641" s="37">
        <v>84</v>
      </c>
      <c r="J641" s="12">
        <v>0.13300000000000001</v>
      </c>
      <c r="K641" s="12">
        <v>7</v>
      </c>
      <c r="L641" s="40">
        <f t="shared" si="57"/>
        <v>78.204000000000008</v>
      </c>
      <c r="M641" s="11">
        <v>42</v>
      </c>
      <c r="N641" s="12">
        <v>73.8</v>
      </c>
      <c r="O641" s="9">
        <f t="shared" si="58"/>
        <v>3099.6</v>
      </c>
      <c r="P641" s="75">
        <f t="shared" si="60"/>
        <v>7.3000269637699713</v>
      </c>
      <c r="Q641" s="78">
        <f t="shared" si="59"/>
        <v>7.0399420629602911</v>
      </c>
      <c r="R641" s="10" t="s">
        <v>192</v>
      </c>
      <c r="S641" s="81" t="s">
        <v>25</v>
      </c>
      <c r="T641" s="10" t="s">
        <v>15</v>
      </c>
      <c r="U641" s="10"/>
    </row>
    <row r="642" spans="1:21" x14ac:dyDescent="0.3">
      <c r="A642" s="7" t="s">
        <v>187</v>
      </c>
      <c r="B642" s="7" t="s">
        <v>188</v>
      </c>
      <c r="C642" s="36">
        <v>43531422</v>
      </c>
      <c r="D642" s="8">
        <v>2022</v>
      </c>
      <c r="E642" s="7" t="s">
        <v>26</v>
      </c>
      <c r="F642" s="41">
        <f t="shared" ref="F642:F705" si="61">I642*100/C642</f>
        <v>18.607248805242339</v>
      </c>
      <c r="G642" s="11">
        <v>6</v>
      </c>
      <c r="H642" s="36">
        <f t="shared" ref="H642:H705" si="62">O642+L642+(G642*F642)</f>
        <v>5184111.6434928318</v>
      </c>
      <c r="I642" s="36">
        <v>8100000</v>
      </c>
      <c r="J642" s="9">
        <v>0.128</v>
      </c>
      <c r="K642" s="9">
        <v>5</v>
      </c>
      <c r="L642" s="40">
        <f t="shared" si="57"/>
        <v>5184000</v>
      </c>
      <c r="M642" s="8">
        <v>0</v>
      </c>
      <c r="N642" s="9">
        <v>73.8</v>
      </c>
      <c r="O642" s="9">
        <f t="shared" si="58"/>
        <v>0</v>
      </c>
      <c r="P642" s="75">
        <f t="shared" si="60"/>
        <v>11908.895701805541</v>
      </c>
      <c r="Q642" s="78">
        <f t="shared" si="59"/>
        <v>100</v>
      </c>
      <c r="R642" s="7" t="s">
        <v>202</v>
      </c>
      <c r="S642" s="80" t="s">
        <v>28</v>
      </c>
      <c r="T642" s="7"/>
      <c r="U642" s="7"/>
    </row>
    <row r="643" spans="1:21" ht="22.8" x14ac:dyDescent="0.3">
      <c r="A643" s="10" t="s">
        <v>187</v>
      </c>
      <c r="B643" s="10" t="s">
        <v>188</v>
      </c>
      <c r="C643" s="37">
        <v>43531422</v>
      </c>
      <c r="D643" s="11">
        <v>2022</v>
      </c>
      <c r="E643" s="10" t="s">
        <v>30</v>
      </c>
      <c r="F643" s="41">
        <f t="shared" si="61"/>
        <v>4.1349441789427415E-5</v>
      </c>
      <c r="G643" s="8">
        <v>6</v>
      </c>
      <c r="H643" s="36">
        <f t="shared" si="62"/>
        <v>1779.8402480966506</v>
      </c>
      <c r="I643" s="37">
        <v>18</v>
      </c>
      <c r="J643" s="12">
        <v>0.12</v>
      </c>
      <c r="K643" s="12">
        <v>4</v>
      </c>
      <c r="L643" s="40">
        <f t="shared" ref="L643:L706" si="63">I643*J643*K643</f>
        <v>8.64</v>
      </c>
      <c r="M643" s="11">
        <v>24</v>
      </c>
      <c r="N643" s="12">
        <v>73.8</v>
      </c>
      <c r="O643" s="9">
        <f t="shared" ref="O643:O706" si="64">M643*N643</f>
        <v>1771.1999999999998</v>
      </c>
      <c r="P643" s="75">
        <f t="shared" si="60"/>
        <v>4.0886333740640284</v>
      </c>
      <c r="Q643" s="78">
        <f t="shared" ref="Q643:Q706" si="65">100*(1-EXP(-P643/100))</f>
        <v>4.006176366463543</v>
      </c>
      <c r="R643" s="10" t="s">
        <v>194</v>
      </c>
      <c r="S643" s="81" t="s">
        <v>29</v>
      </c>
      <c r="T643" s="10" t="s">
        <v>33</v>
      </c>
      <c r="U643" s="10"/>
    </row>
    <row r="644" spans="1:21" ht="22.8" x14ac:dyDescent="0.3">
      <c r="A644" s="7" t="s">
        <v>187</v>
      </c>
      <c r="B644" s="7" t="s">
        <v>188</v>
      </c>
      <c r="C644" s="36">
        <v>37000000</v>
      </c>
      <c r="D644" s="8">
        <v>2023</v>
      </c>
      <c r="E644" s="7" t="s">
        <v>11</v>
      </c>
      <c r="F644" s="41">
        <f t="shared" si="61"/>
        <v>0.10378378378378378</v>
      </c>
      <c r="G644" s="11">
        <v>9</v>
      </c>
      <c r="H644" s="36">
        <f t="shared" si="62"/>
        <v>1664458.5340540542</v>
      </c>
      <c r="I644" s="36">
        <v>38400</v>
      </c>
      <c r="J644" s="9">
        <v>0.13300000000000001</v>
      </c>
      <c r="K644" s="9">
        <v>8</v>
      </c>
      <c r="L644" s="40">
        <f t="shared" si="63"/>
        <v>40857.600000000006</v>
      </c>
      <c r="M644" s="8">
        <v>22000</v>
      </c>
      <c r="N644" s="9">
        <v>73.8</v>
      </c>
      <c r="O644" s="9">
        <f t="shared" si="64"/>
        <v>1623600</v>
      </c>
      <c r="P644" s="75">
        <f t="shared" si="60"/>
        <v>4498.5365785244712</v>
      </c>
      <c r="Q644" s="78">
        <f t="shared" si="65"/>
        <v>100</v>
      </c>
      <c r="R644" s="7" t="s">
        <v>203</v>
      </c>
      <c r="S644" s="80" t="s">
        <v>19</v>
      </c>
      <c r="T644" s="7" t="s">
        <v>78</v>
      </c>
      <c r="U644" s="7"/>
    </row>
    <row r="645" spans="1:21" x14ac:dyDescent="0.3">
      <c r="A645" s="10" t="s">
        <v>187</v>
      </c>
      <c r="B645" s="10" t="s">
        <v>188</v>
      </c>
      <c r="C645" s="37">
        <v>37000000</v>
      </c>
      <c r="D645" s="11">
        <v>2023</v>
      </c>
      <c r="E645" s="10" t="s">
        <v>17</v>
      </c>
      <c r="F645" s="41">
        <f t="shared" si="61"/>
        <v>3.2432432432432431E-4</v>
      </c>
      <c r="G645" s="8">
        <v>7</v>
      </c>
      <c r="H645" s="36">
        <f t="shared" si="62"/>
        <v>243.36227027027027</v>
      </c>
      <c r="I645" s="37">
        <v>120</v>
      </c>
      <c r="J645" s="12">
        <v>0.13300000000000001</v>
      </c>
      <c r="K645" s="12">
        <v>6</v>
      </c>
      <c r="L645" s="40">
        <f t="shared" si="63"/>
        <v>95.76</v>
      </c>
      <c r="M645" s="11">
        <v>2</v>
      </c>
      <c r="N645" s="12">
        <v>73.8</v>
      </c>
      <c r="O645" s="9">
        <f t="shared" si="64"/>
        <v>147.6</v>
      </c>
      <c r="P645" s="75">
        <f t="shared" si="60"/>
        <v>0.65773586559532504</v>
      </c>
      <c r="Q645" s="78">
        <f t="shared" si="65"/>
        <v>0.65557751791903707</v>
      </c>
      <c r="R645" s="10" t="s">
        <v>190</v>
      </c>
      <c r="S645" s="81" t="s">
        <v>19</v>
      </c>
      <c r="T645" s="10"/>
      <c r="U645" s="10"/>
    </row>
    <row r="646" spans="1:21" x14ac:dyDescent="0.3">
      <c r="A646" s="7" t="s">
        <v>187</v>
      </c>
      <c r="B646" s="7" t="s">
        <v>188</v>
      </c>
      <c r="C646" s="36">
        <v>37000000</v>
      </c>
      <c r="D646" s="8">
        <v>2023</v>
      </c>
      <c r="E646" s="7" t="s">
        <v>20</v>
      </c>
      <c r="F646" s="41">
        <f t="shared" si="61"/>
        <v>1.2972972972972972E-4</v>
      </c>
      <c r="G646" s="11">
        <v>7</v>
      </c>
      <c r="H646" s="36">
        <f t="shared" si="62"/>
        <v>923.90490810810797</v>
      </c>
      <c r="I646" s="36">
        <v>48</v>
      </c>
      <c r="J646" s="9">
        <v>0.13300000000000001</v>
      </c>
      <c r="K646" s="9">
        <v>6</v>
      </c>
      <c r="L646" s="40">
        <f t="shared" si="63"/>
        <v>38.304000000000002</v>
      </c>
      <c r="M646" s="8">
        <v>12</v>
      </c>
      <c r="N646" s="9">
        <v>73.8</v>
      </c>
      <c r="O646" s="9">
        <f t="shared" si="64"/>
        <v>885.59999999999991</v>
      </c>
      <c r="P646" s="75">
        <f t="shared" si="60"/>
        <v>2.4970402921840757</v>
      </c>
      <c r="Q646" s="78">
        <f t="shared" si="65"/>
        <v>2.4661221220787954</v>
      </c>
      <c r="R646" s="7" t="s">
        <v>191</v>
      </c>
      <c r="S646" s="80" t="s">
        <v>19</v>
      </c>
      <c r="T646" s="7"/>
      <c r="U646" s="7"/>
    </row>
    <row r="647" spans="1:21" ht="22.8" x14ac:dyDescent="0.3">
      <c r="A647" s="10" t="s">
        <v>187</v>
      </c>
      <c r="B647" s="10" t="s">
        <v>188</v>
      </c>
      <c r="C647" s="37">
        <v>37000000</v>
      </c>
      <c r="D647" s="11">
        <v>2023</v>
      </c>
      <c r="E647" s="10" t="s">
        <v>23</v>
      </c>
      <c r="F647" s="41">
        <f t="shared" si="61"/>
        <v>2.2702702702702703E-4</v>
      </c>
      <c r="G647" s="8">
        <v>8</v>
      </c>
      <c r="H647" s="36">
        <f t="shared" si="62"/>
        <v>3177.8058162162165</v>
      </c>
      <c r="I647" s="37">
        <v>84</v>
      </c>
      <c r="J647" s="12">
        <v>0.13300000000000001</v>
      </c>
      <c r="K647" s="12">
        <v>7</v>
      </c>
      <c r="L647" s="40">
        <f t="shared" si="63"/>
        <v>78.204000000000008</v>
      </c>
      <c r="M647" s="11">
        <v>42</v>
      </c>
      <c r="N647" s="12">
        <v>73.8</v>
      </c>
      <c r="O647" s="9">
        <f t="shared" si="64"/>
        <v>3099.6</v>
      </c>
      <c r="P647" s="75">
        <f t="shared" si="60"/>
        <v>8.588664368151937</v>
      </c>
      <c r="Q647" s="78">
        <f t="shared" si="65"/>
        <v>8.2301747780331382</v>
      </c>
      <c r="R647" s="10" t="s">
        <v>192</v>
      </c>
      <c r="S647" s="81" t="s">
        <v>25</v>
      </c>
      <c r="T647" s="10" t="s">
        <v>15</v>
      </c>
      <c r="U647" s="10"/>
    </row>
    <row r="648" spans="1:21" ht="22.8" x14ac:dyDescent="0.3">
      <c r="A648" s="7" t="s">
        <v>187</v>
      </c>
      <c r="B648" s="7" t="s">
        <v>188</v>
      </c>
      <c r="C648" s="36">
        <v>37000000</v>
      </c>
      <c r="D648" s="8">
        <v>2023</v>
      </c>
      <c r="E648" s="7" t="s">
        <v>26</v>
      </c>
      <c r="F648" s="41">
        <f t="shared" si="61"/>
        <v>17.567567567567568</v>
      </c>
      <c r="G648" s="11">
        <v>6</v>
      </c>
      <c r="H648" s="36">
        <f t="shared" si="62"/>
        <v>4160105.4054054054</v>
      </c>
      <c r="I648" s="36">
        <v>6500000</v>
      </c>
      <c r="J648" s="9">
        <v>0.128</v>
      </c>
      <c r="K648" s="9">
        <v>5</v>
      </c>
      <c r="L648" s="40">
        <f t="shared" si="63"/>
        <v>4160000</v>
      </c>
      <c r="M648" s="8">
        <v>0</v>
      </c>
      <c r="N648" s="9">
        <v>73.8</v>
      </c>
      <c r="O648" s="9">
        <f t="shared" si="64"/>
        <v>0</v>
      </c>
      <c r="P648" s="75">
        <f t="shared" si="60"/>
        <v>11243.528122717313</v>
      </c>
      <c r="Q648" s="78">
        <f t="shared" si="65"/>
        <v>100</v>
      </c>
      <c r="R648" s="7" t="s">
        <v>204</v>
      </c>
      <c r="S648" s="80" t="s">
        <v>28</v>
      </c>
      <c r="T648" s="7"/>
      <c r="U648" s="7"/>
    </row>
    <row r="649" spans="1:21" ht="22.8" x14ac:dyDescent="0.3">
      <c r="A649" s="10" t="s">
        <v>187</v>
      </c>
      <c r="B649" s="10" t="s">
        <v>188</v>
      </c>
      <c r="C649" s="37">
        <v>37000000</v>
      </c>
      <c r="D649" s="11">
        <v>2023</v>
      </c>
      <c r="E649" s="10" t="s">
        <v>30</v>
      </c>
      <c r="F649" s="41">
        <f t="shared" si="61"/>
        <v>4.8648648648648648E-5</v>
      </c>
      <c r="G649" s="8">
        <v>6</v>
      </c>
      <c r="H649" s="36">
        <f t="shared" si="62"/>
        <v>1779.8402918918919</v>
      </c>
      <c r="I649" s="37">
        <v>18</v>
      </c>
      <c r="J649" s="12">
        <v>0.12</v>
      </c>
      <c r="K649" s="12">
        <v>4</v>
      </c>
      <c r="L649" s="40">
        <f t="shared" si="63"/>
        <v>8.64</v>
      </c>
      <c r="M649" s="11">
        <v>24</v>
      </c>
      <c r="N649" s="12">
        <v>73.8</v>
      </c>
      <c r="O649" s="9">
        <f t="shared" si="64"/>
        <v>1771.1999999999998</v>
      </c>
      <c r="P649" s="75">
        <f t="shared" si="60"/>
        <v>4.8103791672753831</v>
      </c>
      <c r="Q649" s="78">
        <f t="shared" si="65"/>
        <v>4.6965135138874237</v>
      </c>
      <c r="R649" s="10" t="s">
        <v>194</v>
      </c>
      <c r="S649" s="81" t="s">
        <v>29</v>
      </c>
      <c r="T649" s="10" t="s">
        <v>33</v>
      </c>
      <c r="U649" s="10"/>
    </row>
    <row r="650" spans="1:21" x14ac:dyDescent="0.3">
      <c r="A650" s="7" t="s">
        <v>187</v>
      </c>
      <c r="B650" s="7" t="s">
        <v>188</v>
      </c>
      <c r="C650" s="36">
        <v>36744600</v>
      </c>
      <c r="D650" s="8">
        <v>2024</v>
      </c>
      <c r="E650" s="7" t="s">
        <v>11</v>
      </c>
      <c r="F650" s="41">
        <f t="shared" si="61"/>
        <v>0.1121253190945064</v>
      </c>
      <c r="G650" s="11">
        <v>9</v>
      </c>
      <c r="H650" s="36">
        <f t="shared" si="62"/>
        <v>1815037.8091278719</v>
      </c>
      <c r="I650" s="36">
        <v>41200</v>
      </c>
      <c r="J650" s="9">
        <v>0.13300000000000001</v>
      </c>
      <c r="K650" s="9">
        <v>8</v>
      </c>
      <c r="L650" s="40">
        <f t="shared" si="63"/>
        <v>43836.800000000003</v>
      </c>
      <c r="M650" s="8">
        <v>24000</v>
      </c>
      <c r="N650" s="9">
        <v>73.8</v>
      </c>
      <c r="O650" s="9">
        <f t="shared" si="64"/>
        <v>1771200</v>
      </c>
      <c r="P650" s="75">
        <f t="shared" si="60"/>
        <v>4939.6042115790397</v>
      </c>
      <c r="Q650" s="78">
        <f t="shared" si="65"/>
        <v>100</v>
      </c>
      <c r="R650" s="7" t="s">
        <v>205</v>
      </c>
      <c r="S650" s="80" t="s">
        <v>19</v>
      </c>
      <c r="T650" s="7" t="s">
        <v>78</v>
      </c>
      <c r="U650" s="7"/>
    </row>
    <row r="651" spans="1:21" x14ac:dyDescent="0.3">
      <c r="A651" s="10" t="s">
        <v>187</v>
      </c>
      <c r="B651" s="10" t="s">
        <v>188</v>
      </c>
      <c r="C651" s="37">
        <v>36744600</v>
      </c>
      <c r="D651" s="11">
        <v>2024</v>
      </c>
      <c r="E651" s="10" t="s">
        <v>17</v>
      </c>
      <c r="F651" s="41">
        <f t="shared" si="61"/>
        <v>3.2657859930438759E-4</v>
      </c>
      <c r="G651" s="8">
        <v>7</v>
      </c>
      <c r="H651" s="36">
        <f t="shared" si="62"/>
        <v>243.36228605019514</v>
      </c>
      <c r="I651" s="37">
        <v>120</v>
      </c>
      <c r="J651" s="12">
        <v>0.13300000000000001</v>
      </c>
      <c r="K651" s="12">
        <v>6</v>
      </c>
      <c r="L651" s="40">
        <f t="shared" si="63"/>
        <v>95.76</v>
      </c>
      <c r="M651" s="11">
        <v>2</v>
      </c>
      <c r="N651" s="12">
        <v>73.8</v>
      </c>
      <c r="O651" s="9">
        <f t="shared" si="64"/>
        <v>147.6</v>
      </c>
      <c r="P651" s="75">
        <f t="shared" si="60"/>
        <v>0.66230762084822026</v>
      </c>
      <c r="Q651" s="78">
        <f t="shared" si="65"/>
        <v>0.66011919795427865</v>
      </c>
      <c r="R651" s="10" t="s">
        <v>190</v>
      </c>
      <c r="S651" s="81" t="s">
        <v>19</v>
      </c>
      <c r="T651" s="10"/>
      <c r="U651" s="10"/>
    </row>
    <row r="652" spans="1:21" x14ac:dyDescent="0.3">
      <c r="A652" s="7" t="s">
        <v>187</v>
      </c>
      <c r="B652" s="7" t="s">
        <v>188</v>
      </c>
      <c r="C652" s="36">
        <v>36744600</v>
      </c>
      <c r="D652" s="8">
        <v>2024</v>
      </c>
      <c r="E652" s="7" t="s">
        <v>20</v>
      </c>
      <c r="F652" s="41">
        <f t="shared" si="61"/>
        <v>1.3063143972175502E-4</v>
      </c>
      <c r="G652" s="11">
        <v>7</v>
      </c>
      <c r="H652" s="36">
        <f t="shared" si="62"/>
        <v>923.90491442007794</v>
      </c>
      <c r="I652" s="36">
        <v>48</v>
      </c>
      <c r="J652" s="9">
        <v>0.13300000000000001</v>
      </c>
      <c r="K652" s="9">
        <v>6</v>
      </c>
      <c r="L652" s="40">
        <f t="shared" si="63"/>
        <v>38.304000000000002</v>
      </c>
      <c r="M652" s="8">
        <v>12</v>
      </c>
      <c r="N652" s="9">
        <v>73.8</v>
      </c>
      <c r="O652" s="9">
        <f t="shared" si="64"/>
        <v>885.59999999999991</v>
      </c>
      <c r="P652" s="75">
        <f t="shared" si="60"/>
        <v>2.5143964403479098</v>
      </c>
      <c r="Q652" s="78">
        <f t="shared" si="65"/>
        <v>2.4830487774830323</v>
      </c>
      <c r="R652" s="7" t="s">
        <v>191</v>
      </c>
      <c r="S652" s="80" t="s">
        <v>19</v>
      </c>
      <c r="T652" s="7"/>
      <c r="U652" s="7"/>
    </row>
    <row r="653" spans="1:21" ht="22.8" x14ac:dyDescent="0.3">
      <c r="A653" s="10" t="s">
        <v>187</v>
      </c>
      <c r="B653" s="10" t="s">
        <v>188</v>
      </c>
      <c r="C653" s="37">
        <v>36744600</v>
      </c>
      <c r="D653" s="11">
        <v>2024</v>
      </c>
      <c r="E653" s="10" t="s">
        <v>23</v>
      </c>
      <c r="F653" s="41">
        <f t="shared" si="61"/>
        <v>2.286050195130713E-4</v>
      </c>
      <c r="G653" s="8">
        <v>8</v>
      </c>
      <c r="H653" s="36">
        <f t="shared" si="62"/>
        <v>3177.8058288401562</v>
      </c>
      <c r="I653" s="37">
        <v>84</v>
      </c>
      <c r="J653" s="12">
        <v>0.13300000000000001</v>
      </c>
      <c r="K653" s="12">
        <v>7</v>
      </c>
      <c r="L653" s="40">
        <f t="shared" si="63"/>
        <v>78.204000000000008</v>
      </c>
      <c r="M653" s="11">
        <v>42</v>
      </c>
      <c r="N653" s="12">
        <v>73.8</v>
      </c>
      <c r="O653" s="9">
        <f t="shared" si="64"/>
        <v>3099.6</v>
      </c>
      <c r="P653" s="75">
        <f t="shared" si="60"/>
        <v>8.6483614703661384</v>
      </c>
      <c r="Q653" s="78">
        <f t="shared" si="65"/>
        <v>8.2849423554428814</v>
      </c>
      <c r="R653" s="10" t="s">
        <v>192</v>
      </c>
      <c r="S653" s="81" t="s">
        <v>25</v>
      </c>
      <c r="T653" s="10" t="s">
        <v>15</v>
      </c>
      <c r="U653" s="10"/>
    </row>
    <row r="654" spans="1:21" x14ac:dyDescent="0.3">
      <c r="A654" s="7" t="s">
        <v>187</v>
      </c>
      <c r="B654" s="7" t="s">
        <v>188</v>
      </c>
      <c r="C654" s="36">
        <v>36744600</v>
      </c>
      <c r="D654" s="8">
        <v>2024</v>
      </c>
      <c r="E654" s="7" t="s">
        <v>26</v>
      </c>
      <c r="F654" s="41">
        <f t="shared" si="61"/>
        <v>16.873227630726692</v>
      </c>
      <c r="G654" s="11">
        <v>6</v>
      </c>
      <c r="H654" s="36">
        <f t="shared" si="62"/>
        <v>3968101.2393657845</v>
      </c>
      <c r="I654" s="36">
        <v>6200000</v>
      </c>
      <c r="J654" s="9">
        <v>0.128</v>
      </c>
      <c r="K654" s="9">
        <v>5</v>
      </c>
      <c r="L654" s="40">
        <f t="shared" si="63"/>
        <v>3968000</v>
      </c>
      <c r="M654" s="8">
        <v>0</v>
      </c>
      <c r="N654" s="9">
        <v>73.8</v>
      </c>
      <c r="O654" s="9">
        <f t="shared" si="64"/>
        <v>0</v>
      </c>
      <c r="P654" s="75">
        <f t="shared" si="60"/>
        <v>10799.141205417352</v>
      </c>
      <c r="Q654" s="78">
        <f t="shared" si="65"/>
        <v>100</v>
      </c>
      <c r="R654" s="7" t="s">
        <v>206</v>
      </c>
      <c r="S654" s="80" t="s">
        <v>28</v>
      </c>
      <c r="T654" s="7"/>
      <c r="U654" s="7"/>
    </row>
    <row r="655" spans="1:21" ht="22.8" x14ac:dyDescent="0.3">
      <c r="A655" s="10" t="s">
        <v>187</v>
      </c>
      <c r="B655" s="10" t="s">
        <v>188</v>
      </c>
      <c r="C655" s="37">
        <v>36744600</v>
      </c>
      <c r="D655" s="11">
        <v>2024</v>
      </c>
      <c r="E655" s="10" t="s">
        <v>30</v>
      </c>
      <c r="F655" s="41">
        <f t="shared" si="61"/>
        <v>4.8986789895658141E-5</v>
      </c>
      <c r="G655" s="8">
        <v>6</v>
      </c>
      <c r="H655" s="36">
        <f t="shared" si="62"/>
        <v>1779.8402939207392</v>
      </c>
      <c r="I655" s="37">
        <v>18</v>
      </c>
      <c r="J655" s="12">
        <v>0.12</v>
      </c>
      <c r="K655" s="12">
        <v>4</v>
      </c>
      <c r="L655" s="40">
        <f t="shared" si="63"/>
        <v>8.64</v>
      </c>
      <c r="M655" s="11">
        <v>24</v>
      </c>
      <c r="N655" s="12">
        <v>73.8</v>
      </c>
      <c r="O655" s="9">
        <f t="shared" si="64"/>
        <v>1771.1999999999998</v>
      </c>
      <c r="P655" s="75">
        <f t="shared" si="60"/>
        <v>4.8438145847845373</v>
      </c>
      <c r="Q655" s="78">
        <f t="shared" si="65"/>
        <v>4.7283733059707789</v>
      </c>
      <c r="R655" s="10" t="s">
        <v>194</v>
      </c>
      <c r="S655" s="81" t="s">
        <v>29</v>
      </c>
      <c r="T655" s="10" t="s">
        <v>33</v>
      </c>
      <c r="U655" s="10"/>
    </row>
    <row r="656" spans="1:21" x14ac:dyDescent="0.3">
      <c r="A656" s="7" t="s">
        <v>187</v>
      </c>
      <c r="B656" s="7" t="s">
        <v>188</v>
      </c>
      <c r="C656" s="36">
        <v>36000000</v>
      </c>
      <c r="D656" s="8">
        <v>2025</v>
      </c>
      <c r="E656" s="7" t="s">
        <v>11</v>
      </c>
      <c r="F656" s="41">
        <f t="shared" si="61"/>
        <v>0.10555555555555556</v>
      </c>
      <c r="G656" s="11">
        <v>9</v>
      </c>
      <c r="H656" s="36">
        <f t="shared" si="62"/>
        <v>1516432.95</v>
      </c>
      <c r="I656" s="36">
        <v>38000</v>
      </c>
      <c r="J656" s="9">
        <v>0.13300000000000001</v>
      </c>
      <c r="K656" s="9">
        <v>8</v>
      </c>
      <c r="L656" s="40">
        <f t="shared" si="63"/>
        <v>40432</v>
      </c>
      <c r="M656" s="8">
        <v>20000</v>
      </c>
      <c r="N656" s="9">
        <v>73.8</v>
      </c>
      <c r="O656" s="9">
        <f t="shared" si="64"/>
        <v>1476000</v>
      </c>
      <c r="P656" s="75">
        <f t="shared" si="60"/>
        <v>4212.3137499999993</v>
      </c>
      <c r="Q656" s="78">
        <f t="shared" si="65"/>
        <v>100</v>
      </c>
      <c r="R656" s="7" t="s">
        <v>207</v>
      </c>
      <c r="S656" s="80" t="s">
        <v>19</v>
      </c>
      <c r="T656" s="7" t="s">
        <v>78</v>
      </c>
      <c r="U656" s="7"/>
    </row>
    <row r="657" spans="1:21" x14ac:dyDescent="0.3">
      <c r="A657" s="10" t="s">
        <v>187</v>
      </c>
      <c r="B657" s="10" t="s">
        <v>188</v>
      </c>
      <c r="C657" s="37">
        <v>36000000</v>
      </c>
      <c r="D657" s="11">
        <v>2025</v>
      </c>
      <c r="E657" s="10" t="s">
        <v>17</v>
      </c>
      <c r="F657" s="41">
        <f t="shared" si="61"/>
        <v>3.3333333333333332E-4</v>
      </c>
      <c r="G657" s="8">
        <v>7</v>
      </c>
      <c r="H657" s="36">
        <f t="shared" si="62"/>
        <v>243.36233333333334</v>
      </c>
      <c r="I657" s="37">
        <v>120</v>
      </c>
      <c r="J657" s="12">
        <v>0.13300000000000001</v>
      </c>
      <c r="K657" s="12">
        <v>6</v>
      </c>
      <c r="L657" s="40">
        <f t="shared" si="63"/>
        <v>95.76</v>
      </c>
      <c r="M657" s="11">
        <v>2</v>
      </c>
      <c r="N657" s="12">
        <v>73.8</v>
      </c>
      <c r="O657" s="9">
        <f t="shared" si="64"/>
        <v>147.6</v>
      </c>
      <c r="P657" s="75">
        <f t="shared" si="60"/>
        <v>0.67600648148148146</v>
      </c>
      <c r="Q657" s="78">
        <f t="shared" si="65"/>
        <v>0.67372669772111093</v>
      </c>
      <c r="R657" s="10" t="s">
        <v>190</v>
      </c>
      <c r="S657" s="81" t="s">
        <v>19</v>
      </c>
      <c r="T657" s="10"/>
      <c r="U657" s="10"/>
    </row>
    <row r="658" spans="1:21" x14ac:dyDescent="0.3">
      <c r="A658" s="7" t="s">
        <v>187</v>
      </c>
      <c r="B658" s="7" t="s">
        <v>188</v>
      </c>
      <c r="C658" s="36">
        <v>36000000</v>
      </c>
      <c r="D658" s="8">
        <v>2025</v>
      </c>
      <c r="E658" s="7" t="s">
        <v>20</v>
      </c>
      <c r="F658" s="41">
        <f t="shared" si="61"/>
        <v>1.3333333333333334E-4</v>
      </c>
      <c r="G658" s="11">
        <v>7</v>
      </c>
      <c r="H658" s="36">
        <f t="shared" si="62"/>
        <v>923.90493333333325</v>
      </c>
      <c r="I658" s="36">
        <v>48</v>
      </c>
      <c r="J658" s="9">
        <v>0.13300000000000001</v>
      </c>
      <c r="K658" s="9">
        <v>6</v>
      </c>
      <c r="L658" s="40">
        <f t="shared" si="63"/>
        <v>38.304000000000002</v>
      </c>
      <c r="M658" s="8">
        <v>12</v>
      </c>
      <c r="N658" s="9">
        <v>73.8</v>
      </c>
      <c r="O658" s="9">
        <f t="shared" si="64"/>
        <v>885.59999999999991</v>
      </c>
      <c r="P658" s="75">
        <f t="shared" si="60"/>
        <v>2.5664025925925924</v>
      </c>
      <c r="Q658" s="78">
        <f t="shared" si="65"/>
        <v>2.5337504064742555</v>
      </c>
      <c r="R658" s="7" t="s">
        <v>191</v>
      </c>
      <c r="S658" s="80" t="s">
        <v>19</v>
      </c>
      <c r="T658" s="7"/>
      <c r="U658" s="7"/>
    </row>
    <row r="659" spans="1:21" ht="22.8" x14ac:dyDescent="0.3">
      <c r="A659" s="10" t="s">
        <v>187</v>
      </c>
      <c r="B659" s="10" t="s">
        <v>188</v>
      </c>
      <c r="C659" s="37">
        <v>36000000</v>
      </c>
      <c r="D659" s="11">
        <v>2025</v>
      </c>
      <c r="E659" s="10" t="s">
        <v>23</v>
      </c>
      <c r="F659" s="41">
        <f t="shared" si="61"/>
        <v>2.3333333333333333E-4</v>
      </c>
      <c r="G659" s="8">
        <v>8</v>
      </c>
      <c r="H659" s="36">
        <f t="shared" si="62"/>
        <v>3177.8058666666666</v>
      </c>
      <c r="I659" s="37">
        <v>84</v>
      </c>
      <c r="J659" s="12">
        <v>0.13300000000000001</v>
      </c>
      <c r="K659" s="12">
        <v>7</v>
      </c>
      <c r="L659" s="40">
        <f t="shared" si="63"/>
        <v>78.204000000000008</v>
      </c>
      <c r="M659" s="11">
        <v>42</v>
      </c>
      <c r="N659" s="12">
        <v>73.8</v>
      </c>
      <c r="O659" s="9">
        <f t="shared" si="64"/>
        <v>3099.6</v>
      </c>
      <c r="P659" s="75">
        <f t="shared" si="60"/>
        <v>8.8272385185185183</v>
      </c>
      <c r="Q659" s="78">
        <f t="shared" si="65"/>
        <v>8.4488529003911346</v>
      </c>
      <c r="R659" s="10" t="s">
        <v>192</v>
      </c>
      <c r="S659" s="81" t="s">
        <v>25</v>
      </c>
      <c r="T659" s="10" t="s">
        <v>15</v>
      </c>
      <c r="U659" s="10"/>
    </row>
    <row r="660" spans="1:21" x14ac:dyDescent="0.3">
      <c r="A660" s="7" t="s">
        <v>187</v>
      </c>
      <c r="B660" s="7" t="s">
        <v>188</v>
      </c>
      <c r="C660" s="36">
        <v>36000000</v>
      </c>
      <c r="D660" s="8">
        <v>2025</v>
      </c>
      <c r="E660" s="7" t="s">
        <v>26</v>
      </c>
      <c r="F660" s="41">
        <f t="shared" si="61"/>
        <v>16.111111111111111</v>
      </c>
      <c r="G660" s="11">
        <v>6</v>
      </c>
      <c r="H660" s="36">
        <f t="shared" si="62"/>
        <v>3712096.6666666665</v>
      </c>
      <c r="I660" s="36">
        <v>5800000</v>
      </c>
      <c r="J660" s="9">
        <v>0.128</v>
      </c>
      <c r="K660" s="9">
        <v>5</v>
      </c>
      <c r="L660" s="40">
        <f t="shared" si="63"/>
        <v>3712000</v>
      </c>
      <c r="M660" s="8">
        <v>0</v>
      </c>
      <c r="N660" s="9">
        <v>73.8</v>
      </c>
      <c r="O660" s="9">
        <f t="shared" si="64"/>
        <v>0</v>
      </c>
      <c r="P660" s="75">
        <f t="shared" si="60"/>
        <v>10311.37962962963</v>
      </c>
      <c r="Q660" s="78">
        <f t="shared" si="65"/>
        <v>100</v>
      </c>
      <c r="R660" s="7" t="s">
        <v>208</v>
      </c>
      <c r="S660" s="80" t="s">
        <v>28</v>
      </c>
      <c r="T660" s="7"/>
      <c r="U660" s="7"/>
    </row>
    <row r="661" spans="1:21" ht="22.8" x14ac:dyDescent="0.3">
      <c r="A661" s="10" t="s">
        <v>187</v>
      </c>
      <c r="B661" s="10" t="s">
        <v>188</v>
      </c>
      <c r="C661" s="37">
        <v>36000000</v>
      </c>
      <c r="D661" s="11">
        <v>2025</v>
      </c>
      <c r="E661" s="10" t="s">
        <v>30</v>
      </c>
      <c r="F661" s="41">
        <f t="shared" si="61"/>
        <v>5.0000000000000002E-5</v>
      </c>
      <c r="G661" s="8">
        <v>6</v>
      </c>
      <c r="H661" s="36">
        <f t="shared" si="62"/>
        <v>1779.8402999999998</v>
      </c>
      <c r="I661" s="37">
        <v>18</v>
      </c>
      <c r="J661" s="12">
        <v>0.12</v>
      </c>
      <c r="K661" s="12">
        <v>4</v>
      </c>
      <c r="L661" s="40">
        <f t="shared" si="63"/>
        <v>8.64</v>
      </c>
      <c r="M661" s="11">
        <v>24</v>
      </c>
      <c r="N661" s="12">
        <v>73.8</v>
      </c>
      <c r="O661" s="9">
        <f t="shared" si="64"/>
        <v>1771.1999999999998</v>
      </c>
      <c r="P661" s="75">
        <f t="shared" si="60"/>
        <v>4.944000833333333</v>
      </c>
      <c r="Q661" s="78">
        <f t="shared" si="65"/>
        <v>4.8237745772298224</v>
      </c>
      <c r="R661" s="10" t="s">
        <v>194</v>
      </c>
      <c r="S661" s="81" t="s">
        <v>29</v>
      </c>
      <c r="T661" s="10" t="s">
        <v>33</v>
      </c>
      <c r="U661" s="10"/>
    </row>
    <row r="662" spans="1:21" ht="22.8" x14ac:dyDescent="0.3">
      <c r="A662" s="7" t="s">
        <v>209</v>
      </c>
      <c r="B662" s="7" t="s">
        <v>118</v>
      </c>
      <c r="C662" s="36">
        <v>4422143</v>
      </c>
      <c r="D662" s="8">
        <v>2015</v>
      </c>
      <c r="E662" s="7" t="s">
        <v>11</v>
      </c>
      <c r="F662" s="41">
        <f t="shared" si="61"/>
        <v>1.0899692750777169E-2</v>
      </c>
      <c r="G662" s="11">
        <v>9</v>
      </c>
      <c r="H662" s="36">
        <f t="shared" si="62"/>
        <v>16306.146097234756</v>
      </c>
      <c r="I662" s="36">
        <v>482</v>
      </c>
      <c r="J662" s="9">
        <v>0.13300000000000001</v>
      </c>
      <c r="K662" s="9">
        <v>8</v>
      </c>
      <c r="L662" s="40">
        <f t="shared" si="63"/>
        <v>512.84800000000007</v>
      </c>
      <c r="M662" s="8">
        <v>214</v>
      </c>
      <c r="N662" s="9">
        <v>73.8</v>
      </c>
      <c r="O662" s="9">
        <f t="shared" si="64"/>
        <v>15793.199999999999</v>
      </c>
      <c r="P662" s="75">
        <f t="shared" si="60"/>
        <v>368.73855271606453</v>
      </c>
      <c r="Q662" s="78">
        <f t="shared" si="65"/>
        <v>97.496262391454835</v>
      </c>
      <c r="R662" s="7" t="s">
        <v>210</v>
      </c>
      <c r="S662" s="80" t="s">
        <v>19</v>
      </c>
      <c r="T662" s="7" t="s">
        <v>78</v>
      </c>
      <c r="U662" s="7"/>
    </row>
    <row r="663" spans="1:21" ht="22.8" x14ac:dyDescent="0.3">
      <c r="A663" s="10" t="s">
        <v>209</v>
      </c>
      <c r="B663" s="10" t="s">
        <v>118</v>
      </c>
      <c r="C663" s="37">
        <v>4422143</v>
      </c>
      <c r="D663" s="11">
        <v>2015</v>
      </c>
      <c r="E663" s="10" t="s">
        <v>17</v>
      </c>
      <c r="F663" s="41">
        <f t="shared" si="61"/>
        <v>1.0854465809902574E-2</v>
      </c>
      <c r="G663" s="8">
        <v>7</v>
      </c>
      <c r="H663" s="36">
        <f t="shared" si="62"/>
        <v>2449.5159812606694</v>
      </c>
      <c r="I663" s="37">
        <v>480</v>
      </c>
      <c r="J663" s="12">
        <v>0.13300000000000001</v>
      </c>
      <c r="K663" s="12">
        <v>6</v>
      </c>
      <c r="L663" s="40">
        <f t="shared" si="63"/>
        <v>383.04</v>
      </c>
      <c r="M663" s="11">
        <v>28</v>
      </c>
      <c r="N663" s="12">
        <v>73.8</v>
      </c>
      <c r="O663" s="9">
        <f t="shared" si="64"/>
        <v>2066.4</v>
      </c>
      <c r="P663" s="75">
        <f t="shared" si="60"/>
        <v>55.392057227924774</v>
      </c>
      <c r="Q663" s="78">
        <f t="shared" si="65"/>
        <v>42.530773472652029</v>
      </c>
      <c r="R663" s="10" t="s">
        <v>211</v>
      </c>
      <c r="S663" s="81" t="s">
        <v>19</v>
      </c>
      <c r="T663" s="10" t="s">
        <v>99</v>
      </c>
      <c r="U663" s="10"/>
    </row>
    <row r="664" spans="1:21" x14ac:dyDescent="0.3">
      <c r="A664" s="7" t="s">
        <v>209</v>
      </c>
      <c r="B664" s="7" t="s">
        <v>118</v>
      </c>
      <c r="C664" s="36">
        <v>4422143</v>
      </c>
      <c r="D664" s="8">
        <v>2015</v>
      </c>
      <c r="E664" s="7" t="s">
        <v>20</v>
      </c>
      <c r="F664" s="41">
        <f t="shared" si="61"/>
        <v>1.8995315167329506E-3</v>
      </c>
      <c r="G664" s="11">
        <v>7</v>
      </c>
      <c r="H664" s="36">
        <f t="shared" si="62"/>
        <v>1395.4452967206169</v>
      </c>
      <c r="I664" s="36">
        <v>84</v>
      </c>
      <c r="J664" s="9">
        <v>0.13300000000000001</v>
      </c>
      <c r="K664" s="9">
        <v>6</v>
      </c>
      <c r="L664" s="40">
        <f t="shared" si="63"/>
        <v>67.032000000000011</v>
      </c>
      <c r="M664" s="8">
        <v>18</v>
      </c>
      <c r="N664" s="9">
        <v>73.8</v>
      </c>
      <c r="O664" s="9">
        <f t="shared" si="64"/>
        <v>1328.3999999999999</v>
      </c>
      <c r="P664" s="75">
        <f t="shared" si="60"/>
        <v>31.555860964256848</v>
      </c>
      <c r="Q664" s="78">
        <f t="shared" si="65"/>
        <v>27.061867899096072</v>
      </c>
      <c r="R664" s="7" t="s">
        <v>212</v>
      </c>
      <c r="S664" s="80" t="s">
        <v>19</v>
      </c>
      <c r="T664" s="7"/>
      <c r="U664" s="7"/>
    </row>
    <row r="665" spans="1:21" x14ac:dyDescent="0.3">
      <c r="A665" s="10" t="s">
        <v>209</v>
      </c>
      <c r="B665" s="10" t="s">
        <v>118</v>
      </c>
      <c r="C665" s="37">
        <v>4422143</v>
      </c>
      <c r="D665" s="11">
        <v>2015</v>
      </c>
      <c r="E665" s="10" t="s">
        <v>23</v>
      </c>
      <c r="F665" s="41">
        <f t="shared" si="61"/>
        <v>8.593118766172872E-3</v>
      </c>
      <c r="G665" s="8">
        <v>8</v>
      </c>
      <c r="H665" s="36">
        <f t="shared" si="62"/>
        <v>9505.0487449501288</v>
      </c>
      <c r="I665" s="37">
        <v>380</v>
      </c>
      <c r="J665" s="12">
        <v>0.13300000000000001</v>
      </c>
      <c r="K665" s="12">
        <v>7</v>
      </c>
      <c r="L665" s="40">
        <f t="shared" si="63"/>
        <v>353.78000000000003</v>
      </c>
      <c r="M665" s="11">
        <v>124</v>
      </c>
      <c r="N665" s="12">
        <v>73.8</v>
      </c>
      <c r="O665" s="9">
        <f t="shared" si="64"/>
        <v>9151.1999999999989</v>
      </c>
      <c r="P665" s="75">
        <f t="shared" si="60"/>
        <v>214.94213879899698</v>
      </c>
      <c r="Q665" s="78">
        <f t="shared" si="65"/>
        <v>88.344842359110189</v>
      </c>
      <c r="R665" s="10" t="s">
        <v>213</v>
      </c>
      <c r="S665" s="81" t="s">
        <v>25</v>
      </c>
      <c r="T665" s="10" t="s">
        <v>15</v>
      </c>
      <c r="U665" s="10"/>
    </row>
    <row r="666" spans="1:21" ht="22.8" x14ac:dyDescent="0.3">
      <c r="A666" s="7" t="s">
        <v>209</v>
      </c>
      <c r="B666" s="7" t="s">
        <v>118</v>
      </c>
      <c r="C666" s="36">
        <v>4422143</v>
      </c>
      <c r="D666" s="8">
        <v>2015</v>
      </c>
      <c r="E666" s="7" t="s">
        <v>26</v>
      </c>
      <c r="F666" s="41">
        <f t="shared" si="61"/>
        <v>5.6533676093242571</v>
      </c>
      <c r="G666" s="11">
        <v>6</v>
      </c>
      <c r="H666" s="36">
        <f t="shared" si="62"/>
        <v>160033.92020565594</v>
      </c>
      <c r="I666" s="36">
        <v>250000</v>
      </c>
      <c r="J666" s="9">
        <v>0.128</v>
      </c>
      <c r="K666" s="9">
        <v>5</v>
      </c>
      <c r="L666" s="40">
        <f t="shared" si="63"/>
        <v>160000</v>
      </c>
      <c r="M666" s="8">
        <v>0</v>
      </c>
      <c r="N666" s="9">
        <v>73.8</v>
      </c>
      <c r="O666" s="9">
        <f t="shared" si="64"/>
        <v>0</v>
      </c>
      <c r="P666" s="75">
        <f t="shared" si="60"/>
        <v>3618.9223235353529</v>
      </c>
      <c r="Q666" s="78">
        <f t="shared" si="65"/>
        <v>99.999999999999972</v>
      </c>
      <c r="R666" s="7" t="s">
        <v>214</v>
      </c>
      <c r="S666" s="80" t="s">
        <v>28</v>
      </c>
      <c r="T666" s="7"/>
      <c r="U666" s="7"/>
    </row>
    <row r="667" spans="1:21" ht="22.8" x14ac:dyDescent="0.3">
      <c r="A667" s="10" t="s">
        <v>209</v>
      </c>
      <c r="B667" s="10" t="s">
        <v>118</v>
      </c>
      <c r="C667" s="37">
        <v>4422143</v>
      </c>
      <c r="D667" s="11">
        <v>2015</v>
      </c>
      <c r="E667" s="10" t="s">
        <v>30</v>
      </c>
      <c r="F667" s="41">
        <f t="shared" si="61"/>
        <v>4.0704246787134652E-4</v>
      </c>
      <c r="G667" s="8">
        <v>6</v>
      </c>
      <c r="H667" s="36">
        <f t="shared" si="62"/>
        <v>894.24244225480709</v>
      </c>
      <c r="I667" s="37">
        <v>18</v>
      </c>
      <c r="J667" s="12">
        <v>0.12</v>
      </c>
      <c r="K667" s="12">
        <v>4</v>
      </c>
      <c r="L667" s="40">
        <f t="shared" si="63"/>
        <v>8.64</v>
      </c>
      <c r="M667" s="11">
        <v>12</v>
      </c>
      <c r="N667" s="12">
        <v>73.8</v>
      </c>
      <c r="O667" s="9">
        <f t="shared" si="64"/>
        <v>885.59999999999991</v>
      </c>
      <c r="P667" s="75">
        <f t="shared" si="60"/>
        <v>20.221925031705378</v>
      </c>
      <c r="Q667" s="78">
        <f t="shared" si="65"/>
        <v>18.308420074204978</v>
      </c>
      <c r="R667" s="10" t="s">
        <v>215</v>
      </c>
      <c r="S667" s="81" t="s">
        <v>29</v>
      </c>
      <c r="T667" s="10" t="s">
        <v>33</v>
      </c>
      <c r="U667" s="10"/>
    </row>
    <row r="668" spans="1:21" ht="22.8" x14ac:dyDescent="0.3">
      <c r="A668" s="7" t="s">
        <v>209</v>
      </c>
      <c r="B668" s="7" t="s">
        <v>118</v>
      </c>
      <c r="C668" s="36">
        <v>4551566</v>
      </c>
      <c r="D668" s="8">
        <v>2016</v>
      </c>
      <c r="E668" s="7" t="s">
        <v>11</v>
      </c>
      <c r="F668" s="41">
        <f t="shared" si="61"/>
        <v>1.1424639343909327E-2</v>
      </c>
      <c r="G668" s="11">
        <v>9</v>
      </c>
      <c r="H668" s="36">
        <f t="shared" si="62"/>
        <v>17822.582821754095</v>
      </c>
      <c r="I668" s="36">
        <v>520</v>
      </c>
      <c r="J668" s="9">
        <v>0.13300000000000001</v>
      </c>
      <c r="K668" s="9">
        <v>8</v>
      </c>
      <c r="L668" s="40">
        <f t="shared" si="63"/>
        <v>553.28</v>
      </c>
      <c r="M668" s="8">
        <v>234</v>
      </c>
      <c r="N668" s="9">
        <v>73.8</v>
      </c>
      <c r="O668" s="9">
        <f t="shared" si="64"/>
        <v>17269.2</v>
      </c>
      <c r="P668" s="75">
        <f t="shared" si="60"/>
        <v>391.57034791441225</v>
      </c>
      <c r="Q668" s="78">
        <f t="shared" si="65"/>
        <v>98.007347418148328</v>
      </c>
      <c r="R668" s="7" t="s">
        <v>216</v>
      </c>
      <c r="S668" s="80" t="s">
        <v>19</v>
      </c>
      <c r="T668" s="7" t="s">
        <v>78</v>
      </c>
      <c r="U668" s="7"/>
    </row>
    <row r="669" spans="1:21" ht="22.8" x14ac:dyDescent="0.3">
      <c r="A669" s="10" t="s">
        <v>209</v>
      </c>
      <c r="B669" s="10" t="s">
        <v>118</v>
      </c>
      <c r="C669" s="37">
        <v>4551566</v>
      </c>
      <c r="D669" s="11">
        <v>2016</v>
      </c>
      <c r="E669" s="10" t="s">
        <v>17</v>
      </c>
      <c r="F669" s="41">
        <f t="shared" si="61"/>
        <v>1.054582093283938E-2</v>
      </c>
      <c r="G669" s="8">
        <v>7</v>
      </c>
      <c r="H669" s="36">
        <f t="shared" si="62"/>
        <v>2449.5138207465297</v>
      </c>
      <c r="I669" s="37">
        <v>480</v>
      </c>
      <c r="J669" s="12">
        <v>0.13300000000000001</v>
      </c>
      <c r="K669" s="12">
        <v>6</v>
      </c>
      <c r="L669" s="40">
        <f t="shared" si="63"/>
        <v>383.04</v>
      </c>
      <c r="M669" s="11">
        <v>28</v>
      </c>
      <c r="N669" s="12">
        <v>73.8</v>
      </c>
      <c r="O669" s="9">
        <f t="shared" si="64"/>
        <v>2066.4</v>
      </c>
      <c r="P669" s="75">
        <f t="shared" ref="P669:P732" si="66">H669/C669*100000</f>
        <v>53.816946096058579</v>
      </c>
      <c r="Q669" s="78">
        <f t="shared" si="65"/>
        <v>41.618402724611968</v>
      </c>
      <c r="R669" s="10" t="s">
        <v>211</v>
      </c>
      <c r="S669" s="81" t="s">
        <v>19</v>
      </c>
      <c r="T669" s="10" t="s">
        <v>99</v>
      </c>
      <c r="U669" s="10"/>
    </row>
    <row r="670" spans="1:21" x14ac:dyDescent="0.3">
      <c r="A670" s="7" t="s">
        <v>209</v>
      </c>
      <c r="B670" s="7" t="s">
        <v>118</v>
      </c>
      <c r="C670" s="36">
        <v>4551566</v>
      </c>
      <c r="D670" s="8">
        <v>2016</v>
      </c>
      <c r="E670" s="7" t="s">
        <v>20</v>
      </c>
      <c r="F670" s="41">
        <f t="shared" si="61"/>
        <v>1.8455186632468912E-3</v>
      </c>
      <c r="G670" s="11">
        <v>7</v>
      </c>
      <c r="H670" s="36">
        <f t="shared" si="62"/>
        <v>1395.4449186306424</v>
      </c>
      <c r="I670" s="36">
        <v>84</v>
      </c>
      <c r="J670" s="9">
        <v>0.13300000000000001</v>
      </c>
      <c r="K670" s="9">
        <v>6</v>
      </c>
      <c r="L670" s="40">
        <f t="shared" si="63"/>
        <v>67.032000000000011</v>
      </c>
      <c r="M670" s="8">
        <v>18</v>
      </c>
      <c r="N670" s="9">
        <v>73.8</v>
      </c>
      <c r="O670" s="9">
        <f t="shared" si="64"/>
        <v>1328.3999999999999</v>
      </c>
      <c r="P670" s="75">
        <f t="shared" si="66"/>
        <v>30.658567153165357</v>
      </c>
      <c r="Q670" s="78">
        <f t="shared" si="65"/>
        <v>26.404453495345003</v>
      </c>
      <c r="R670" s="7" t="s">
        <v>212</v>
      </c>
      <c r="S670" s="80" t="s">
        <v>19</v>
      </c>
      <c r="T670" s="7"/>
      <c r="U670" s="7"/>
    </row>
    <row r="671" spans="1:21" x14ac:dyDescent="0.3">
      <c r="A671" s="10" t="s">
        <v>209</v>
      </c>
      <c r="B671" s="10" t="s">
        <v>118</v>
      </c>
      <c r="C671" s="37">
        <v>4551566</v>
      </c>
      <c r="D671" s="11">
        <v>2016</v>
      </c>
      <c r="E671" s="10" t="s">
        <v>23</v>
      </c>
      <c r="F671" s="41">
        <f t="shared" si="61"/>
        <v>8.3487749051645074E-3</v>
      </c>
      <c r="G671" s="8">
        <v>8</v>
      </c>
      <c r="H671" s="36">
        <f t="shared" si="62"/>
        <v>9505.0467901992415</v>
      </c>
      <c r="I671" s="37">
        <v>380</v>
      </c>
      <c r="J671" s="12">
        <v>0.13300000000000001</v>
      </c>
      <c r="K671" s="12">
        <v>7</v>
      </c>
      <c r="L671" s="40">
        <f t="shared" si="63"/>
        <v>353.78000000000003</v>
      </c>
      <c r="M671" s="11">
        <v>124</v>
      </c>
      <c r="N671" s="12">
        <v>73.8</v>
      </c>
      <c r="O671" s="9">
        <f t="shared" si="64"/>
        <v>9151.1999999999989</v>
      </c>
      <c r="P671" s="75">
        <f t="shared" si="66"/>
        <v>208.83025293271024</v>
      </c>
      <c r="Q671" s="78">
        <f t="shared" si="65"/>
        <v>87.610273059953968</v>
      </c>
      <c r="R671" s="10" t="s">
        <v>213</v>
      </c>
      <c r="S671" s="81" t="s">
        <v>25</v>
      </c>
      <c r="T671" s="10" t="s">
        <v>15</v>
      </c>
      <c r="U671" s="10"/>
    </row>
    <row r="672" spans="1:21" ht="22.8" x14ac:dyDescent="0.3">
      <c r="A672" s="7" t="s">
        <v>209</v>
      </c>
      <c r="B672" s="7" t="s">
        <v>118</v>
      </c>
      <c r="C672" s="36">
        <v>4551566</v>
      </c>
      <c r="D672" s="8">
        <v>2016</v>
      </c>
      <c r="E672" s="7" t="s">
        <v>26</v>
      </c>
      <c r="F672" s="41">
        <f t="shared" si="61"/>
        <v>5.4926150691871767</v>
      </c>
      <c r="G672" s="11">
        <v>6</v>
      </c>
      <c r="H672" s="36">
        <f t="shared" si="62"/>
        <v>160032.95569041511</v>
      </c>
      <c r="I672" s="36">
        <v>250000</v>
      </c>
      <c r="J672" s="9">
        <v>0.128</v>
      </c>
      <c r="K672" s="9">
        <v>5</v>
      </c>
      <c r="L672" s="40">
        <f t="shared" si="63"/>
        <v>160000</v>
      </c>
      <c r="M672" s="8">
        <v>0</v>
      </c>
      <c r="N672" s="9">
        <v>73.8</v>
      </c>
      <c r="O672" s="9">
        <f t="shared" si="64"/>
        <v>0</v>
      </c>
      <c r="P672" s="75">
        <f t="shared" si="66"/>
        <v>3515.9976959669507</v>
      </c>
      <c r="Q672" s="78">
        <f t="shared" si="65"/>
        <v>99.999999999999943</v>
      </c>
      <c r="R672" s="7" t="s">
        <v>214</v>
      </c>
      <c r="S672" s="80" t="s">
        <v>28</v>
      </c>
      <c r="T672" s="7"/>
      <c r="U672" s="7"/>
    </row>
    <row r="673" spans="1:21" ht="22.8" x14ac:dyDescent="0.3">
      <c r="A673" s="10" t="s">
        <v>209</v>
      </c>
      <c r="B673" s="10" t="s">
        <v>118</v>
      </c>
      <c r="C673" s="37">
        <v>4551566</v>
      </c>
      <c r="D673" s="11">
        <v>2016</v>
      </c>
      <c r="E673" s="10" t="s">
        <v>30</v>
      </c>
      <c r="F673" s="41">
        <f t="shared" si="61"/>
        <v>3.9546828498147668E-4</v>
      </c>
      <c r="G673" s="8">
        <v>6</v>
      </c>
      <c r="H673" s="36">
        <f t="shared" si="62"/>
        <v>894.24237280970976</v>
      </c>
      <c r="I673" s="37">
        <v>18</v>
      </c>
      <c r="J673" s="12">
        <v>0.12</v>
      </c>
      <c r="K673" s="12">
        <v>4</v>
      </c>
      <c r="L673" s="40">
        <f t="shared" si="63"/>
        <v>8.64</v>
      </c>
      <c r="M673" s="11">
        <v>12</v>
      </c>
      <c r="N673" s="12">
        <v>73.8</v>
      </c>
      <c r="O673" s="9">
        <f t="shared" si="64"/>
        <v>885.59999999999991</v>
      </c>
      <c r="P673" s="75">
        <f t="shared" si="66"/>
        <v>19.646916529601235</v>
      </c>
      <c r="Q673" s="78">
        <f t="shared" si="65"/>
        <v>17.837333448031533</v>
      </c>
      <c r="R673" s="10" t="s">
        <v>215</v>
      </c>
      <c r="S673" s="81" t="s">
        <v>29</v>
      </c>
      <c r="T673" s="10" t="s">
        <v>33</v>
      </c>
      <c r="U673" s="10"/>
    </row>
    <row r="674" spans="1:21" ht="22.8" x14ac:dyDescent="0.3">
      <c r="A674" s="7" t="s">
        <v>209</v>
      </c>
      <c r="B674" s="7" t="s">
        <v>118</v>
      </c>
      <c r="C674" s="36">
        <v>4684777</v>
      </c>
      <c r="D674" s="8">
        <v>2017</v>
      </c>
      <c r="E674" s="7" t="s">
        <v>11</v>
      </c>
      <c r="F674" s="41">
        <f t="shared" si="61"/>
        <v>1.0245951941789332E-2</v>
      </c>
      <c r="G674" s="11">
        <v>9</v>
      </c>
      <c r="H674" s="36">
        <f t="shared" si="62"/>
        <v>15861.212213567474</v>
      </c>
      <c r="I674" s="36">
        <v>480</v>
      </c>
      <c r="J674" s="9">
        <v>0.13300000000000001</v>
      </c>
      <c r="K674" s="9">
        <v>8</v>
      </c>
      <c r="L674" s="40">
        <f t="shared" si="63"/>
        <v>510.72</v>
      </c>
      <c r="M674" s="8">
        <v>208</v>
      </c>
      <c r="N674" s="9">
        <v>73.8</v>
      </c>
      <c r="O674" s="9">
        <f t="shared" si="64"/>
        <v>15350.4</v>
      </c>
      <c r="P674" s="75">
        <f t="shared" si="66"/>
        <v>338.56920433069655</v>
      </c>
      <c r="Q674" s="78">
        <f t="shared" si="65"/>
        <v>96.614579433943092</v>
      </c>
      <c r="R674" s="7" t="s">
        <v>217</v>
      </c>
      <c r="S674" s="80" t="s">
        <v>19</v>
      </c>
      <c r="T674" s="7" t="s">
        <v>78</v>
      </c>
      <c r="U674" s="7"/>
    </row>
    <row r="675" spans="1:21" ht="22.8" x14ac:dyDescent="0.3">
      <c r="A675" s="10" t="s">
        <v>209</v>
      </c>
      <c r="B675" s="10" t="s">
        <v>118</v>
      </c>
      <c r="C675" s="37">
        <v>4684777</v>
      </c>
      <c r="D675" s="11">
        <v>2017</v>
      </c>
      <c r="E675" s="10" t="s">
        <v>17</v>
      </c>
      <c r="F675" s="41">
        <f t="shared" si="61"/>
        <v>1.0245951941789332E-2</v>
      </c>
      <c r="G675" s="8">
        <v>7</v>
      </c>
      <c r="H675" s="36">
        <f t="shared" si="62"/>
        <v>2449.5117216635927</v>
      </c>
      <c r="I675" s="37">
        <v>480</v>
      </c>
      <c r="J675" s="12">
        <v>0.13300000000000001</v>
      </c>
      <c r="K675" s="12">
        <v>6</v>
      </c>
      <c r="L675" s="40">
        <f t="shared" si="63"/>
        <v>383.04</v>
      </c>
      <c r="M675" s="11">
        <v>28</v>
      </c>
      <c r="N675" s="12">
        <v>73.8</v>
      </c>
      <c r="O675" s="9">
        <f t="shared" si="64"/>
        <v>2066.4</v>
      </c>
      <c r="P675" s="75">
        <f t="shared" si="66"/>
        <v>52.286623710447536</v>
      </c>
      <c r="Q675" s="78">
        <f t="shared" si="65"/>
        <v>40.718104912847075</v>
      </c>
      <c r="R675" s="10" t="s">
        <v>211</v>
      </c>
      <c r="S675" s="81" t="s">
        <v>19</v>
      </c>
      <c r="T675" s="10" t="s">
        <v>99</v>
      </c>
      <c r="U675" s="10"/>
    </row>
    <row r="676" spans="1:21" x14ac:dyDescent="0.3">
      <c r="A676" s="7" t="s">
        <v>209</v>
      </c>
      <c r="B676" s="7" t="s">
        <v>118</v>
      </c>
      <c r="C676" s="36">
        <v>4684777</v>
      </c>
      <c r="D676" s="8">
        <v>2017</v>
      </c>
      <c r="E676" s="7" t="s">
        <v>20</v>
      </c>
      <c r="F676" s="41">
        <f t="shared" si="61"/>
        <v>1.793041589813133E-3</v>
      </c>
      <c r="G676" s="11">
        <v>7</v>
      </c>
      <c r="H676" s="36">
        <f t="shared" si="62"/>
        <v>1395.4445512911284</v>
      </c>
      <c r="I676" s="36">
        <v>84</v>
      </c>
      <c r="J676" s="9">
        <v>0.13300000000000001</v>
      </c>
      <c r="K676" s="9">
        <v>6</v>
      </c>
      <c r="L676" s="40">
        <f t="shared" si="63"/>
        <v>67.032000000000011</v>
      </c>
      <c r="M676" s="8">
        <v>18</v>
      </c>
      <c r="N676" s="9">
        <v>73.8</v>
      </c>
      <c r="O676" s="9">
        <f t="shared" si="64"/>
        <v>1328.3999999999999</v>
      </c>
      <c r="P676" s="75">
        <f t="shared" si="66"/>
        <v>29.786787104084748</v>
      </c>
      <c r="Q676" s="78">
        <f t="shared" si="65"/>
        <v>25.760057426897053</v>
      </c>
      <c r="R676" s="7" t="s">
        <v>212</v>
      </c>
      <c r="S676" s="80" t="s">
        <v>19</v>
      </c>
      <c r="T676" s="7"/>
      <c r="U676" s="7"/>
    </row>
    <row r="677" spans="1:21" x14ac:dyDescent="0.3">
      <c r="A677" s="10" t="s">
        <v>209</v>
      </c>
      <c r="B677" s="10" t="s">
        <v>118</v>
      </c>
      <c r="C677" s="37">
        <v>4684777</v>
      </c>
      <c r="D677" s="11">
        <v>2017</v>
      </c>
      <c r="E677" s="10" t="s">
        <v>23</v>
      </c>
      <c r="F677" s="41">
        <f t="shared" si="61"/>
        <v>8.1113786205832209E-3</v>
      </c>
      <c r="G677" s="8">
        <v>8</v>
      </c>
      <c r="H677" s="36">
        <f t="shared" si="62"/>
        <v>9505.0448910289633</v>
      </c>
      <c r="I677" s="37">
        <v>380</v>
      </c>
      <c r="J677" s="12">
        <v>0.13300000000000001</v>
      </c>
      <c r="K677" s="12">
        <v>7</v>
      </c>
      <c r="L677" s="40">
        <f t="shared" si="63"/>
        <v>353.78000000000003</v>
      </c>
      <c r="M677" s="11">
        <v>124</v>
      </c>
      <c r="N677" s="12">
        <v>73.8</v>
      </c>
      <c r="O677" s="9">
        <f t="shared" si="64"/>
        <v>9151.1999999999989</v>
      </c>
      <c r="P677" s="75">
        <f t="shared" si="66"/>
        <v>202.89215241256869</v>
      </c>
      <c r="Q677" s="78">
        <f t="shared" si="65"/>
        <v>86.852276025420011</v>
      </c>
      <c r="R677" s="10" t="s">
        <v>213</v>
      </c>
      <c r="S677" s="81" t="s">
        <v>25</v>
      </c>
      <c r="T677" s="10" t="s">
        <v>15</v>
      </c>
      <c r="U677" s="10"/>
    </row>
    <row r="678" spans="1:21" ht="22.8" x14ac:dyDescent="0.3">
      <c r="A678" s="7" t="s">
        <v>209</v>
      </c>
      <c r="B678" s="7" t="s">
        <v>118</v>
      </c>
      <c r="C678" s="36">
        <v>4684777</v>
      </c>
      <c r="D678" s="8">
        <v>2017</v>
      </c>
      <c r="E678" s="7" t="s">
        <v>26</v>
      </c>
      <c r="F678" s="41">
        <f t="shared" si="61"/>
        <v>5.3364333030152773</v>
      </c>
      <c r="G678" s="11">
        <v>6</v>
      </c>
      <c r="H678" s="36">
        <f t="shared" si="62"/>
        <v>160032.01859981808</v>
      </c>
      <c r="I678" s="36">
        <v>250000</v>
      </c>
      <c r="J678" s="9">
        <v>0.128</v>
      </c>
      <c r="K678" s="9">
        <v>5</v>
      </c>
      <c r="L678" s="40">
        <f t="shared" si="63"/>
        <v>160000</v>
      </c>
      <c r="M678" s="8">
        <v>0</v>
      </c>
      <c r="N678" s="9">
        <v>73.8</v>
      </c>
      <c r="O678" s="9">
        <f t="shared" si="64"/>
        <v>0</v>
      </c>
      <c r="P678" s="75">
        <f t="shared" si="66"/>
        <v>3416.0007744193176</v>
      </c>
      <c r="Q678" s="78">
        <f t="shared" si="65"/>
        <v>99.999999999999858</v>
      </c>
      <c r="R678" s="7" t="s">
        <v>214</v>
      </c>
      <c r="S678" s="80" t="s">
        <v>28</v>
      </c>
      <c r="T678" s="7"/>
      <c r="U678" s="7"/>
    </row>
    <row r="679" spans="1:21" ht="22.8" x14ac:dyDescent="0.3">
      <c r="A679" s="10" t="s">
        <v>209</v>
      </c>
      <c r="B679" s="10" t="s">
        <v>118</v>
      </c>
      <c r="C679" s="37">
        <v>4684777</v>
      </c>
      <c r="D679" s="11">
        <v>2017</v>
      </c>
      <c r="E679" s="10" t="s">
        <v>30</v>
      </c>
      <c r="F679" s="41">
        <f t="shared" si="61"/>
        <v>3.8422319781709994E-4</v>
      </c>
      <c r="G679" s="8">
        <v>6</v>
      </c>
      <c r="H679" s="36">
        <f t="shared" si="62"/>
        <v>894.24230533918683</v>
      </c>
      <c r="I679" s="37">
        <v>18</v>
      </c>
      <c r="J679" s="12">
        <v>0.12</v>
      </c>
      <c r="K679" s="12">
        <v>4</v>
      </c>
      <c r="L679" s="40">
        <f t="shared" si="63"/>
        <v>8.64</v>
      </c>
      <c r="M679" s="11">
        <v>12</v>
      </c>
      <c r="N679" s="12">
        <v>73.8</v>
      </c>
      <c r="O679" s="9">
        <f t="shared" si="64"/>
        <v>885.59999999999991</v>
      </c>
      <c r="P679" s="75">
        <f t="shared" si="66"/>
        <v>19.088257676708771</v>
      </c>
      <c r="Q679" s="78">
        <f t="shared" si="65"/>
        <v>17.377039899382119</v>
      </c>
      <c r="R679" s="10" t="s">
        <v>215</v>
      </c>
      <c r="S679" s="81" t="s">
        <v>29</v>
      </c>
      <c r="T679" s="10" t="s">
        <v>33</v>
      </c>
      <c r="U679" s="10"/>
    </row>
    <row r="680" spans="1:21" ht="22.8" x14ac:dyDescent="0.3">
      <c r="A680" s="7" t="s">
        <v>209</v>
      </c>
      <c r="B680" s="7" t="s">
        <v>118</v>
      </c>
      <c r="C680" s="36">
        <v>4862079</v>
      </c>
      <c r="D680" s="8">
        <v>2018</v>
      </c>
      <c r="E680" s="7" t="s">
        <v>11</v>
      </c>
      <c r="F680" s="41">
        <f t="shared" si="61"/>
        <v>5.8411226966900376E-2</v>
      </c>
      <c r="G680" s="11">
        <v>9</v>
      </c>
      <c r="H680" s="36">
        <f t="shared" si="62"/>
        <v>24424.285701042703</v>
      </c>
      <c r="I680" s="36">
        <v>2840</v>
      </c>
      <c r="J680" s="9">
        <v>0.13300000000000001</v>
      </c>
      <c r="K680" s="9">
        <v>8</v>
      </c>
      <c r="L680" s="40">
        <f t="shared" si="63"/>
        <v>3021.76</v>
      </c>
      <c r="M680" s="8">
        <v>290</v>
      </c>
      <c r="N680" s="9">
        <v>73.8</v>
      </c>
      <c r="O680" s="9">
        <f t="shared" si="64"/>
        <v>21402</v>
      </c>
      <c r="P680" s="75">
        <f t="shared" si="66"/>
        <v>502.34242802395238</v>
      </c>
      <c r="Q680" s="78">
        <f t="shared" si="65"/>
        <v>99.341805036381359</v>
      </c>
      <c r="R680" s="7" t="s">
        <v>218</v>
      </c>
      <c r="S680" s="80" t="s">
        <v>19</v>
      </c>
      <c r="T680" s="7" t="s">
        <v>78</v>
      </c>
      <c r="U680" s="7"/>
    </row>
    <row r="681" spans="1:21" ht="22.8" x14ac:dyDescent="0.3">
      <c r="A681" s="10" t="s">
        <v>209</v>
      </c>
      <c r="B681" s="10" t="s">
        <v>118</v>
      </c>
      <c r="C681" s="37">
        <v>4862079</v>
      </c>
      <c r="D681" s="11">
        <v>2018</v>
      </c>
      <c r="E681" s="10" t="s">
        <v>17</v>
      </c>
      <c r="F681" s="41">
        <f t="shared" si="61"/>
        <v>9.8723200507437256E-3</v>
      </c>
      <c r="G681" s="8">
        <v>7</v>
      </c>
      <c r="H681" s="36">
        <f t="shared" si="62"/>
        <v>2449.5091062403553</v>
      </c>
      <c r="I681" s="37">
        <v>480</v>
      </c>
      <c r="J681" s="12">
        <v>0.13300000000000001</v>
      </c>
      <c r="K681" s="12">
        <v>6</v>
      </c>
      <c r="L681" s="40">
        <f t="shared" si="63"/>
        <v>383.04</v>
      </c>
      <c r="M681" s="11">
        <v>28</v>
      </c>
      <c r="N681" s="12">
        <v>73.8</v>
      </c>
      <c r="O681" s="9">
        <f t="shared" si="64"/>
        <v>2066.4</v>
      </c>
      <c r="P681" s="75">
        <f t="shared" si="66"/>
        <v>50.379870550033338</v>
      </c>
      <c r="Q681" s="78">
        <f t="shared" si="65"/>
        <v>39.576900100825043</v>
      </c>
      <c r="R681" s="10" t="s">
        <v>211</v>
      </c>
      <c r="S681" s="81" t="s">
        <v>19</v>
      </c>
      <c r="T681" s="10" t="s">
        <v>99</v>
      </c>
      <c r="U681" s="10"/>
    </row>
    <row r="682" spans="1:21" x14ac:dyDescent="0.3">
      <c r="A682" s="7" t="s">
        <v>209</v>
      </c>
      <c r="B682" s="7" t="s">
        <v>118</v>
      </c>
      <c r="C682" s="36">
        <v>4862079</v>
      </c>
      <c r="D682" s="8">
        <v>2018</v>
      </c>
      <c r="E682" s="7" t="s">
        <v>20</v>
      </c>
      <c r="F682" s="41">
        <f t="shared" si="61"/>
        <v>1.727656008880152E-3</v>
      </c>
      <c r="G682" s="11">
        <v>7</v>
      </c>
      <c r="H682" s="36">
        <f t="shared" si="62"/>
        <v>1395.444093592062</v>
      </c>
      <c r="I682" s="36">
        <v>84</v>
      </c>
      <c r="J682" s="9">
        <v>0.13300000000000001</v>
      </c>
      <c r="K682" s="9">
        <v>6</v>
      </c>
      <c r="L682" s="40">
        <f t="shared" si="63"/>
        <v>67.032000000000011</v>
      </c>
      <c r="M682" s="8">
        <v>18</v>
      </c>
      <c r="N682" s="9">
        <v>73.8</v>
      </c>
      <c r="O682" s="9">
        <f t="shared" si="64"/>
        <v>1328.3999999999999</v>
      </c>
      <c r="P682" s="75">
        <f t="shared" si="66"/>
        <v>28.700563968460038</v>
      </c>
      <c r="Q682" s="78">
        <f t="shared" si="65"/>
        <v>24.949250380043619</v>
      </c>
      <c r="R682" s="7" t="s">
        <v>212</v>
      </c>
      <c r="S682" s="80" t="s">
        <v>19</v>
      </c>
      <c r="T682" s="7"/>
      <c r="U682" s="7"/>
    </row>
    <row r="683" spans="1:21" x14ac:dyDescent="0.3">
      <c r="A683" s="10" t="s">
        <v>209</v>
      </c>
      <c r="B683" s="10" t="s">
        <v>118</v>
      </c>
      <c r="C683" s="37">
        <v>4862079</v>
      </c>
      <c r="D683" s="11">
        <v>2018</v>
      </c>
      <c r="E683" s="10" t="s">
        <v>23</v>
      </c>
      <c r="F683" s="41">
        <f t="shared" si="61"/>
        <v>7.8155867068387831E-3</v>
      </c>
      <c r="G683" s="8">
        <v>8</v>
      </c>
      <c r="H683" s="36">
        <f t="shared" si="62"/>
        <v>9505.0425246936538</v>
      </c>
      <c r="I683" s="37">
        <v>380</v>
      </c>
      <c r="J683" s="12">
        <v>0.13300000000000001</v>
      </c>
      <c r="K683" s="12">
        <v>7</v>
      </c>
      <c r="L683" s="40">
        <f t="shared" si="63"/>
        <v>353.78000000000003</v>
      </c>
      <c r="M683" s="11">
        <v>124</v>
      </c>
      <c r="N683" s="12">
        <v>73.8</v>
      </c>
      <c r="O683" s="9">
        <f t="shared" si="64"/>
        <v>9151.1999999999989</v>
      </c>
      <c r="P683" s="75">
        <f t="shared" si="66"/>
        <v>195.49337895771856</v>
      </c>
      <c r="Q683" s="78">
        <f t="shared" si="65"/>
        <v>85.842614995170507</v>
      </c>
      <c r="R683" s="10" t="s">
        <v>213</v>
      </c>
      <c r="S683" s="81" t="s">
        <v>25</v>
      </c>
      <c r="T683" s="10" t="s">
        <v>15</v>
      </c>
      <c r="U683" s="10"/>
    </row>
    <row r="684" spans="1:21" ht="22.8" x14ac:dyDescent="0.3">
      <c r="A684" s="7" t="s">
        <v>209</v>
      </c>
      <c r="B684" s="7" t="s">
        <v>118</v>
      </c>
      <c r="C684" s="36">
        <v>4862079</v>
      </c>
      <c r="D684" s="8">
        <v>2018</v>
      </c>
      <c r="E684" s="7" t="s">
        <v>26</v>
      </c>
      <c r="F684" s="41">
        <f t="shared" si="61"/>
        <v>5.1418333597623569</v>
      </c>
      <c r="G684" s="11">
        <v>6</v>
      </c>
      <c r="H684" s="36">
        <f t="shared" si="62"/>
        <v>160030.85100015858</v>
      </c>
      <c r="I684" s="36">
        <v>250000</v>
      </c>
      <c r="J684" s="9">
        <v>0.128</v>
      </c>
      <c r="K684" s="9">
        <v>5</v>
      </c>
      <c r="L684" s="40">
        <f t="shared" si="63"/>
        <v>160000</v>
      </c>
      <c r="M684" s="8">
        <v>0</v>
      </c>
      <c r="N684" s="9">
        <v>73.8</v>
      </c>
      <c r="O684" s="9">
        <f t="shared" si="64"/>
        <v>0</v>
      </c>
      <c r="P684" s="75">
        <f t="shared" si="66"/>
        <v>3291.4078730550982</v>
      </c>
      <c r="Q684" s="78">
        <f t="shared" si="65"/>
        <v>99.999999999999488</v>
      </c>
      <c r="R684" s="7" t="s">
        <v>214</v>
      </c>
      <c r="S684" s="80" t="s">
        <v>28</v>
      </c>
      <c r="T684" s="7"/>
      <c r="U684" s="7"/>
    </row>
    <row r="685" spans="1:21" ht="22.8" x14ac:dyDescent="0.3">
      <c r="A685" s="10" t="s">
        <v>209</v>
      </c>
      <c r="B685" s="10" t="s">
        <v>118</v>
      </c>
      <c r="C685" s="37">
        <v>4862079</v>
      </c>
      <c r="D685" s="11">
        <v>2018</v>
      </c>
      <c r="E685" s="10" t="s">
        <v>30</v>
      </c>
      <c r="F685" s="41">
        <f t="shared" si="61"/>
        <v>3.7021200190288971E-4</v>
      </c>
      <c r="G685" s="8">
        <v>6</v>
      </c>
      <c r="H685" s="36">
        <f t="shared" si="62"/>
        <v>894.24222127201131</v>
      </c>
      <c r="I685" s="37">
        <v>18</v>
      </c>
      <c r="J685" s="12">
        <v>0.12</v>
      </c>
      <c r="K685" s="12">
        <v>4</v>
      </c>
      <c r="L685" s="40">
        <f t="shared" si="63"/>
        <v>8.64</v>
      </c>
      <c r="M685" s="11">
        <v>12</v>
      </c>
      <c r="N685" s="12">
        <v>73.8</v>
      </c>
      <c r="O685" s="9">
        <f t="shared" si="64"/>
        <v>885.59999999999991</v>
      </c>
      <c r="P685" s="75">
        <f t="shared" si="66"/>
        <v>18.392177940177678</v>
      </c>
      <c r="Q685" s="78">
        <f t="shared" si="65"/>
        <v>16.799911911191945</v>
      </c>
      <c r="R685" s="10" t="s">
        <v>215</v>
      </c>
      <c r="S685" s="81" t="s">
        <v>29</v>
      </c>
      <c r="T685" s="10" t="s">
        <v>33</v>
      </c>
      <c r="U685" s="10"/>
    </row>
    <row r="686" spans="1:21" ht="22.8" x14ac:dyDescent="0.3">
      <c r="A686" s="7" t="s">
        <v>209</v>
      </c>
      <c r="B686" s="7" t="s">
        <v>118</v>
      </c>
      <c r="C686" s="36">
        <v>4981420</v>
      </c>
      <c r="D686" s="8">
        <v>2019</v>
      </c>
      <c r="E686" s="7" t="s">
        <v>11</v>
      </c>
      <c r="F686" s="41">
        <f t="shared" si="61"/>
        <v>2.4892500531976825E-2</v>
      </c>
      <c r="G686" s="11">
        <v>9</v>
      </c>
      <c r="H686" s="36">
        <f t="shared" si="62"/>
        <v>19621.984032504784</v>
      </c>
      <c r="I686" s="36">
        <v>1240</v>
      </c>
      <c r="J686" s="9">
        <v>0.13300000000000001</v>
      </c>
      <c r="K686" s="9">
        <v>8</v>
      </c>
      <c r="L686" s="40">
        <f t="shared" si="63"/>
        <v>1319.3600000000001</v>
      </c>
      <c r="M686" s="8">
        <v>248</v>
      </c>
      <c r="N686" s="9">
        <v>73.8</v>
      </c>
      <c r="O686" s="9">
        <f t="shared" si="64"/>
        <v>18302.399999999998</v>
      </c>
      <c r="P686" s="75">
        <f t="shared" si="66"/>
        <v>393.90342578029527</v>
      </c>
      <c r="Q686" s="78">
        <f t="shared" si="65"/>
        <v>98.053299422079107</v>
      </c>
      <c r="R686" s="7" t="s">
        <v>219</v>
      </c>
      <c r="S686" s="80" t="s">
        <v>19</v>
      </c>
      <c r="T686" s="7" t="s">
        <v>78</v>
      </c>
      <c r="U686" s="7"/>
    </row>
    <row r="687" spans="1:21" ht="22.8" x14ac:dyDescent="0.3">
      <c r="A687" s="10" t="s">
        <v>209</v>
      </c>
      <c r="B687" s="10" t="s">
        <v>118</v>
      </c>
      <c r="C687" s="37">
        <v>4981420</v>
      </c>
      <c r="D687" s="11">
        <v>2019</v>
      </c>
      <c r="E687" s="10" t="s">
        <v>17</v>
      </c>
      <c r="F687" s="41">
        <f t="shared" si="61"/>
        <v>9.6358066575394172E-3</v>
      </c>
      <c r="G687" s="8">
        <v>7</v>
      </c>
      <c r="H687" s="36">
        <f t="shared" si="62"/>
        <v>2449.507450646603</v>
      </c>
      <c r="I687" s="37">
        <v>480</v>
      </c>
      <c r="J687" s="12">
        <v>0.13300000000000001</v>
      </c>
      <c r="K687" s="12">
        <v>6</v>
      </c>
      <c r="L687" s="40">
        <f t="shared" si="63"/>
        <v>383.04</v>
      </c>
      <c r="M687" s="11">
        <v>28</v>
      </c>
      <c r="N687" s="12">
        <v>73.8</v>
      </c>
      <c r="O687" s="9">
        <f t="shared" si="64"/>
        <v>2066.4</v>
      </c>
      <c r="P687" s="75">
        <f t="shared" si="66"/>
        <v>49.172875417985296</v>
      </c>
      <c r="Q687" s="78">
        <f t="shared" si="65"/>
        <v>38.843177133764847</v>
      </c>
      <c r="R687" s="10" t="s">
        <v>211</v>
      </c>
      <c r="S687" s="81" t="s">
        <v>19</v>
      </c>
      <c r="T687" s="10" t="s">
        <v>99</v>
      </c>
      <c r="U687" s="10"/>
    </row>
    <row r="688" spans="1:21" x14ac:dyDescent="0.3">
      <c r="A688" s="7" t="s">
        <v>209</v>
      </c>
      <c r="B688" s="7" t="s">
        <v>118</v>
      </c>
      <c r="C688" s="36">
        <v>4981420</v>
      </c>
      <c r="D688" s="8">
        <v>2019</v>
      </c>
      <c r="E688" s="7" t="s">
        <v>20</v>
      </c>
      <c r="F688" s="41">
        <f t="shared" si="61"/>
        <v>1.6862661650693979E-3</v>
      </c>
      <c r="G688" s="11">
        <v>7</v>
      </c>
      <c r="H688" s="36">
        <f t="shared" si="62"/>
        <v>1395.4438038631554</v>
      </c>
      <c r="I688" s="36">
        <v>84</v>
      </c>
      <c r="J688" s="9">
        <v>0.13300000000000001</v>
      </c>
      <c r="K688" s="9">
        <v>6</v>
      </c>
      <c r="L688" s="40">
        <f t="shared" si="63"/>
        <v>67.032000000000011</v>
      </c>
      <c r="M688" s="8">
        <v>18</v>
      </c>
      <c r="N688" s="9">
        <v>73.8</v>
      </c>
      <c r="O688" s="9">
        <f t="shared" si="64"/>
        <v>1328.3999999999999</v>
      </c>
      <c r="P688" s="75">
        <f t="shared" si="66"/>
        <v>28.012972282264002</v>
      </c>
      <c r="Q688" s="78">
        <f t="shared" si="65"/>
        <v>24.431429458562814</v>
      </c>
      <c r="R688" s="7" t="s">
        <v>212</v>
      </c>
      <c r="S688" s="80" t="s">
        <v>19</v>
      </c>
      <c r="T688" s="7"/>
      <c r="U688" s="7"/>
    </row>
    <row r="689" spans="1:21" x14ac:dyDescent="0.3">
      <c r="A689" s="10" t="s">
        <v>209</v>
      </c>
      <c r="B689" s="10" t="s">
        <v>118</v>
      </c>
      <c r="C689" s="37">
        <v>4981420</v>
      </c>
      <c r="D689" s="11">
        <v>2019</v>
      </c>
      <c r="E689" s="10" t="s">
        <v>23</v>
      </c>
      <c r="F689" s="41">
        <f t="shared" si="61"/>
        <v>7.6283469372187048E-3</v>
      </c>
      <c r="G689" s="8">
        <v>8</v>
      </c>
      <c r="H689" s="36">
        <f t="shared" si="62"/>
        <v>9505.0410267754978</v>
      </c>
      <c r="I689" s="37">
        <v>380</v>
      </c>
      <c r="J689" s="12">
        <v>0.13300000000000001</v>
      </c>
      <c r="K689" s="12">
        <v>7</v>
      </c>
      <c r="L689" s="40">
        <f t="shared" si="63"/>
        <v>353.78000000000003</v>
      </c>
      <c r="M689" s="11">
        <v>124</v>
      </c>
      <c r="N689" s="12">
        <v>73.8</v>
      </c>
      <c r="O689" s="9">
        <f t="shared" si="64"/>
        <v>9151.1999999999989</v>
      </c>
      <c r="P689" s="75">
        <f t="shared" si="66"/>
        <v>190.80987001247632</v>
      </c>
      <c r="Q689" s="78">
        <f t="shared" si="65"/>
        <v>85.163780036332341</v>
      </c>
      <c r="R689" s="10" t="s">
        <v>213</v>
      </c>
      <c r="S689" s="81" t="s">
        <v>25</v>
      </c>
      <c r="T689" s="10" t="s">
        <v>15</v>
      </c>
      <c r="U689" s="10"/>
    </row>
    <row r="690" spans="1:21" ht="22.8" x14ac:dyDescent="0.3">
      <c r="A690" s="7" t="s">
        <v>209</v>
      </c>
      <c r="B690" s="7" t="s">
        <v>118</v>
      </c>
      <c r="C690" s="36">
        <v>4981420</v>
      </c>
      <c r="D690" s="8">
        <v>2019</v>
      </c>
      <c r="E690" s="7" t="s">
        <v>26</v>
      </c>
      <c r="F690" s="41">
        <f t="shared" si="61"/>
        <v>5.0186493008017798</v>
      </c>
      <c r="G690" s="11">
        <v>6</v>
      </c>
      <c r="H690" s="36">
        <f t="shared" si="62"/>
        <v>160030.11189580482</v>
      </c>
      <c r="I690" s="36">
        <v>250000</v>
      </c>
      <c r="J690" s="9">
        <v>0.128</v>
      </c>
      <c r="K690" s="9">
        <v>5</v>
      </c>
      <c r="L690" s="40">
        <f t="shared" si="63"/>
        <v>160000</v>
      </c>
      <c r="M690" s="8">
        <v>0</v>
      </c>
      <c r="N690" s="9">
        <v>73.8</v>
      </c>
      <c r="O690" s="9">
        <f t="shared" si="64"/>
        <v>0</v>
      </c>
      <c r="P690" s="75">
        <f t="shared" si="66"/>
        <v>3212.5400366924455</v>
      </c>
      <c r="Q690" s="78">
        <f t="shared" si="65"/>
        <v>99.999999999998877</v>
      </c>
      <c r="R690" s="7" t="s">
        <v>214</v>
      </c>
      <c r="S690" s="80" t="s">
        <v>28</v>
      </c>
      <c r="T690" s="7"/>
      <c r="U690" s="7"/>
    </row>
    <row r="691" spans="1:21" ht="22.8" x14ac:dyDescent="0.3">
      <c r="A691" s="10" t="s">
        <v>209</v>
      </c>
      <c r="B691" s="10" t="s">
        <v>118</v>
      </c>
      <c r="C691" s="37">
        <v>4981420</v>
      </c>
      <c r="D691" s="11">
        <v>2019</v>
      </c>
      <c r="E691" s="10" t="s">
        <v>30</v>
      </c>
      <c r="F691" s="41">
        <f t="shared" si="61"/>
        <v>3.613427496577281E-4</v>
      </c>
      <c r="G691" s="8">
        <v>6</v>
      </c>
      <c r="H691" s="36">
        <f t="shared" si="62"/>
        <v>894.2421680564978</v>
      </c>
      <c r="I691" s="37">
        <v>18</v>
      </c>
      <c r="J691" s="12">
        <v>0.12</v>
      </c>
      <c r="K691" s="12">
        <v>4</v>
      </c>
      <c r="L691" s="40">
        <f t="shared" si="63"/>
        <v>8.64</v>
      </c>
      <c r="M691" s="11">
        <v>12</v>
      </c>
      <c r="N691" s="12">
        <v>73.8</v>
      </c>
      <c r="O691" s="9">
        <f t="shared" si="64"/>
        <v>885.59999999999991</v>
      </c>
      <c r="P691" s="75">
        <f t="shared" si="66"/>
        <v>17.95155132585684</v>
      </c>
      <c r="Q691" s="78">
        <f t="shared" si="65"/>
        <v>16.432501319954941</v>
      </c>
      <c r="R691" s="10" t="s">
        <v>215</v>
      </c>
      <c r="S691" s="81" t="s">
        <v>29</v>
      </c>
      <c r="T691" s="10" t="s">
        <v>33</v>
      </c>
      <c r="U691" s="10"/>
    </row>
    <row r="692" spans="1:21" x14ac:dyDescent="0.3">
      <c r="A692" s="7" t="s">
        <v>209</v>
      </c>
      <c r="B692" s="7" t="s">
        <v>118</v>
      </c>
      <c r="C692" s="36">
        <v>5101414</v>
      </c>
      <c r="D692" s="8">
        <v>2020</v>
      </c>
      <c r="E692" s="7" t="s">
        <v>11</v>
      </c>
      <c r="F692" s="41">
        <f t="shared" si="61"/>
        <v>1.921036010800143E-2</v>
      </c>
      <c r="G692" s="11">
        <v>9</v>
      </c>
      <c r="H692" s="36">
        <f t="shared" si="62"/>
        <v>18312.092893240973</v>
      </c>
      <c r="I692" s="36">
        <v>980</v>
      </c>
      <c r="J692" s="9">
        <v>0.13300000000000001</v>
      </c>
      <c r="K692" s="9">
        <v>8</v>
      </c>
      <c r="L692" s="40">
        <f t="shared" si="63"/>
        <v>1042.72</v>
      </c>
      <c r="M692" s="8">
        <v>234</v>
      </c>
      <c r="N692" s="9">
        <v>73.8</v>
      </c>
      <c r="O692" s="9">
        <f t="shared" si="64"/>
        <v>17269.2</v>
      </c>
      <c r="P692" s="75">
        <f t="shared" si="66"/>
        <v>358.96112123503349</v>
      </c>
      <c r="Q692" s="78">
        <f t="shared" si="65"/>
        <v>97.239093760063611</v>
      </c>
      <c r="R692" s="7" t="s">
        <v>220</v>
      </c>
      <c r="S692" s="80" t="s">
        <v>19</v>
      </c>
      <c r="T692" s="7" t="s">
        <v>78</v>
      </c>
      <c r="U692" s="7"/>
    </row>
    <row r="693" spans="1:21" ht="22.8" x14ac:dyDescent="0.3">
      <c r="A693" s="10" t="s">
        <v>209</v>
      </c>
      <c r="B693" s="10" t="s">
        <v>118</v>
      </c>
      <c r="C693" s="37">
        <v>5101414</v>
      </c>
      <c r="D693" s="11">
        <v>2020</v>
      </c>
      <c r="E693" s="10" t="s">
        <v>17</v>
      </c>
      <c r="F693" s="41">
        <f t="shared" si="61"/>
        <v>9.4091559712660058E-3</v>
      </c>
      <c r="G693" s="8">
        <v>7</v>
      </c>
      <c r="H693" s="36">
        <f t="shared" si="62"/>
        <v>2449.5058640917991</v>
      </c>
      <c r="I693" s="37">
        <v>480</v>
      </c>
      <c r="J693" s="12">
        <v>0.13300000000000001</v>
      </c>
      <c r="K693" s="12">
        <v>6</v>
      </c>
      <c r="L693" s="40">
        <f t="shared" si="63"/>
        <v>383.04</v>
      </c>
      <c r="M693" s="11">
        <v>28</v>
      </c>
      <c r="N693" s="12">
        <v>73.8</v>
      </c>
      <c r="O693" s="9">
        <f t="shared" si="64"/>
        <v>2066.4</v>
      </c>
      <c r="P693" s="75">
        <f t="shared" si="66"/>
        <v>48.016214016188435</v>
      </c>
      <c r="Q693" s="78">
        <f t="shared" si="65"/>
        <v>38.131692969988549</v>
      </c>
      <c r="R693" s="10" t="s">
        <v>211</v>
      </c>
      <c r="S693" s="81" t="s">
        <v>19</v>
      </c>
      <c r="T693" s="10" t="s">
        <v>99</v>
      </c>
      <c r="U693" s="10"/>
    </row>
    <row r="694" spans="1:21" x14ac:dyDescent="0.3">
      <c r="A694" s="7" t="s">
        <v>209</v>
      </c>
      <c r="B694" s="7" t="s">
        <v>118</v>
      </c>
      <c r="C694" s="36">
        <v>5101414</v>
      </c>
      <c r="D694" s="8">
        <v>2020</v>
      </c>
      <c r="E694" s="7" t="s">
        <v>20</v>
      </c>
      <c r="F694" s="41">
        <f t="shared" si="61"/>
        <v>1.6466022949715509E-3</v>
      </c>
      <c r="G694" s="11">
        <v>7</v>
      </c>
      <c r="H694" s="36">
        <f t="shared" si="62"/>
        <v>1395.4435262160646</v>
      </c>
      <c r="I694" s="36">
        <v>84</v>
      </c>
      <c r="J694" s="9">
        <v>0.13300000000000001</v>
      </c>
      <c r="K694" s="9">
        <v>6</v>
      </c>
      <c r="L694" s="40">
        <f t="shared" si="63"/>
        <v>67.032000000000011</v>
      </c>
      <c r="M694" s="8">
        <v>18</v>
      </c>
      <c r="N694" s="9">
        <v>73.8</v>
      </c>
      <c r="O694" s="9">
        <f t="shared" si="64"/>
        <v>1328.3999999999999</v>
      </c>
      <c r="P694" s="75">
        <f t="shared" si="66"/>
        <v>27.354053723459113</v>
      </c>
      <c r="Q694" s="78">
        <f t="shared" si="65"/>
        <v>23.931850019355259</v>
      </c>
      <c r="R694" s="7" t="s">
        <v>212</v>
      </c>
      <c r="S694" s="80" t="s">
        <v>19</v>
      </c>
      <c r="T694" s="7"/>
      <c r="U694" s="7"/>
    </row>
    <row r="695" spans="1:21" x14ac:dyDescent="0.3">
      <c r="A695" s="10" t="s">
        <v>209</v>
      </c>
      <c r="B695" s="10" t="s">
        <v>118</v>
      </c>
      <c r="C695" s="37">
        <v>5101414</v>
      </c>
      <c r="D695" s="11">
        <v>2020</v>
      </c>
      <c r="E695" s="10" t="s">
        <v>23</v>
      </c>
      <c r="F695" s="41">
        <f t="shared" si="61"/>
        <v>7.4489151439189214E-3</v>
      </c>
      <c r="G695" s="8">
        <v>8</v>
      </c>
      <c r="H695" s="36">
        <f t="shared" si="62"/>
        <v>9505.0395913211505</v>
      </c>
      <c r="I695" s="37">
        <v>380</v>
      </c>
      <c r="J695" s="12">
        <v>0.13300000000000001</v>
      </c>
      <c r="K695" s="12">
        <v>7</v>
      </c>
      <c r="L695" s="40">
        <f t="shared" si="63"/>
        <v>353.78000000000003</v>
      </c>
      <c r="M695" s="11">
        <v>124</v>
      </c>
      <c r="N695" s="12">
        <v>73.8</v>
      </c>
      <c r="O695" s="9">
        <f t="shared" si="64"/>
        <v>9151.1999999999989</v>
      </c>
      <c r="P695" s="75">
        <f t="shared" si="66"/>
        <v>186.32166672458166</v>
      </c>
      <c r="Q695" s="78">
        <f t="shared" si="65"/>
        <v>84.482731217769853</v>
      </c>
      <c r="R695" s="10" t="s">
        <v>213</v>
      </c>
      <c r="S695" s="81" t="s">
        <v>25</v>
      </c>
      <c r="T695" s="10" t="s">
        <v>15</v>
      </c>
      <c r="U695" s="10"/>
    </row>
    <row r="696" spans="1:21" ht="22.8" x14ac:dyDescent="0.3">
      <c r="A696" s="7" t="s">
        <v>209</v>
      </c>
      <c r="B696" s="7" t="s">
        <v>118</v>
      </c>
      <c r="C696" s="36">
        <v>5101414</v>
      </c>
      <c r="D696" s="8">
        <v>2020</v>
      </c>
      <c r="E696" s="7" t="s">
        <v>26</v>
      </c>
      <c r="F696" s="41">
        <f t="shared" si="61"/>
        <v>4.9006020683677116</v>
      </c>
      <c r="G696" s="11">
        <v>6</v>
      </c>
      <c r="H696" s="36">
        <f t="shared" si="62"/>
        <v>160029.40361241021</v>
      </c>
      <c r="I696" s="36">
        <v>250000</v>
      </c>
      <c r="J696" s="9">
        <v>0.128</v>
      </c>
      <c r="K696" s="9">
        <v>5</v>
      </c>
      <c r="L696" s="40">
        <f t="shared" si="63"/>
        <v>160000</v>
      </c>
      <c r="M696" s="8">
        <v>0</v>
      </c>
      <c r="N696" s="9">
        <v>73.8</v>
      </c>
      <c r="O696" s="9">
        <f t="shared" si="64"/>
        <v>0</v>
      </c>
      <c r="P696" s="75">
        <f t="shared" si="66"/>
        <v>3136.9617053705156</v>
      </c>
      <c r="Q696" s="78">
        <f t="shared" si="65"/>
        <v>99.999999999997627</v>
      </c>
      <c r="R696" s="7" t="s">
        <v>214</v>
      </c>
      <c r="S696" s="80" t="s">
        <v>28</v>
      </c>
      <c r="T696" s="7"/>
      <c r="U696" s="7"/>
    </row>
    <row r="697" spans="1:21" ht="22.8" x14ac:dyDescent="0.3">
      <c r="A697" s="10" t="s">
        <v>209</v>
      </c>
      <c r="B697" s="10" t="s">
        <v>118</v>
      </c>
      <c r="C697" s="37">
        <v>5101414</v>
      </c>
      <c r="D697" s="11">
        <v>2020</v>
      </c>
      <c r="E697" s="10" t="s">
        <v>30</v>
      </c>
      <c r="F697" s="41">
        <f t="shared" si="61"/>
        <v>3.5284334892247521E-4</v>
      </c>
      <c r="G697" s="8">
        <v>6</v>
      </c>
      <c r="H697" s="36">
        <f t="shared" si="62"/>
        <v>894.24211706009339</v>
      </c>
      <c r="I697" s="37">
        <v>18</v>
      </c>
      <c r="J697" s="12">
        <v>0.12</v>
      </c>
      <c r="K697" s="12">
        <v>4</v>
      </c>
      <c r="L697" s="40">
        <f t="shared" si="63"/>
        <v>8.64</v>
      </c>
      <c r="M697" s="11">
        <v>12</v>
      </c>
      <c r="N697" s="12">
        <v>73.8</v>
      </c>
      <c r="O697" s="9">
        <f t="shared" si="64"/>
        <v>885.59999999999991</v>
      </c>
      <c r="P697" s="75">
        <f t="shared" si="66"/>
        <v>17.529299073944859</v>
      </c>
      <c r="Q697" s="78">
        <f t="shared" si="65"/>
        <v>16.078889633656658</v>
      </c>
      <c r="R697" s="10" t="s">
        <v>215</v>
      </c>
      <c r="S697" s="81" t="s">
        <v>29</v>
      </c>
      <c r="T697" s="10" t="s">
        <v>33</v>
      </c>
      <c r="U697" s="10"/>
    </row>
    <row r="698" spans="1:21" ht="22.8" x14ac:dyDescent="0.3">
      <c r="A698" s="7" t="s">
        <v>209</v>
      </c>
      <c r="B698" s="7" t="s">
        <v>118</v>
      </c>
      <c r="C698" s="36">
        <v>5227193</v>
      </c>
      <c r="D698" s="8">
        <v>2021</v>
      </c>
      <c r="E698" s="7" t="s">
        <v>11</v>
      </c>
      <c r="F698" s="41">
        <f t="shared" si="61"/>
        <v>6.5427084861798671E-2</v>
      </c>
      <c r="G698" s="11">
        <v>9</v>
      </c>
      <c r="H698" s="36">
        <f t="shared" si="62"/>
        <v>24303.468843763756</v>
      </c>
      <c r="I698" s="36">
        <v>3420</v>
      </c>
      <c r="J698" s="9">
        <v>0.13300000000000001</v>
      </c>
      <c r="K698" s="9">
        <v>8</v>
      </c>
      <c r="L698" s="40">
        <f t="shared" si="63"/>
        <v>3638.88</v>
      </c>
      <c r="M698" s="8">
        <v>280</v>
      </c>
      <c r="N698" s="9">
        <v>73.8</v>
      </c>
      <c r="O698" s="9">
        <f t="shared" si="64"/>
        <v>20664</v>
      </c>
      <c r="P698" s="75">
        <f t="shared" si="66"/>
        <v>464.94301709854136</v>
      </c>
      <c r="Q698" s="78">
        <f t="shared" si="65"/>
        <v>99.043294803860519</v>
      </c>
      <c r="R698" s="7" t="s">
        <v>221</v>
      </c>
      <c r="S698" s="80" t="s">
        <v>19</v>
      </c>
      <c r="T698" s="7" t="s">
        <v>78</v>
      </c>
      <c r="U698" s="7"/>
    </row>
    <row r="699" spans="1:21" ht="22.8" x14ac:dyDescent="0.3">
      <c r="A699" s="10" t="s">
        <v>209</v>
      </c>
      <c r="B699" s="10" t="s">
        <v>118</v>
      </c>
      <c r="C699" s="37">
        <v>5227193</v>
      </c>
      <c r="D699" s="11">
        <v>2021</v>
      </c>
      <c r="E699" s="10" t="s">
        <v>17</v>
      </c>
      <c r="F699" s="41">
        <f t="shared" si="61"/>
        <v>9.1827487525331479E-3</v>
      </c>
      <c r="G699" s="8">
        <v>7</v>
      </c>
      <c r="H699" s="36">
        <f t="shared" si="62"/>
        <v>2449.5042792412678</v>
      </c>
      <c r="I699" s="37">
        <v>480</v>
      </c>
      <c r="J699" s="12">
        <v>0.13300000000000001</v>
      </c>
      <c r="K699" s="12">
        <v>6</v>
      </c>
      <c r="L699" s="40">
        <f t="shared" si="63"/>
        <v>383.04</v>
      </c>
      <c r="M699" s="11">
        <v>28</v>
      </c>
      <c r="N699" s="12">
        <v>73.8</v>
      </c>
      <c r="O699" s="9">
        <f t="shared" si="64"/>
        <v>2066.4</v>
      </c>
      <c r="P699" s="75">
        <f t="shared" si="66"/>
        <v>46.860796592765332</v>
      </c>
      <c r="Q699" s="78">
        <f t="shared" si="65"/>
        <v>37.412710143163395</v>
      </c>
      <c r="R699" s="10" t="s">
        <v>211</v>
      </c>
      <c r="S699" s="81" t="s">
        <v>19</v>
      </c>
      <c r="T699" s="10" t="s">
        <v>99</v>
      </c>
      <c r="U699" s="10"/>
    </row>
    <row r="700" spans="1:21" x14ac:dyDescent="0.3">
      <c r="A700" s="7" t="s">
        <v>209</v>
      </c>
      <c r="B700" s="7" t="s">
        <v>118</v>
      </c>
      <c r="C700" s="36">
        <v>5227193</v>
      </c>
      <c r="D700" s="8">
        <v>2021</v>
      </c>
      <c r="E700" s="7" t="s">
        <v>20</v>
      </c>
      <c r="F700" s="41">
        <f t="shared" si="61"/>
        <v>1.6069810316933007E-3</v>
      </c>
      <c r="G700" s="11">
        <v>7</v>
      </c>
      <c r="H700" s="36">
        <f t="shared" si="62"/>
        <v>1395.4432488672217</v>
      </c>
      <c r="I700" s="36">
        <v>84</v>
      </c>
      <c r="J700" s="9">
        <v>0.13300000000000001</v>
      </c>
      <c r="K700" s="9">
        <v>6</v>
      </c>
      <c r="L700" s="40">
        <f t="shared" si="63"/>
        <v>67.032000000000011</v>
      </c>
      <c r="M700" s="8">
        <v>18</v>
      </c>
      <c r="N700" s="9">
        <v>73.8</v>
      </c>
      <c r="O700" s="9">
        <f t="shared" si="64"/>
        <v>1328.3999999999999</v>
      </c>
      <c r="P700" s="75">
        <f t="shared" si="66"/>
        <v>26.695843234929757</v>
      </c>
      <c r="Q700" s="78">
        <f t="shared" si="65"/>
        <v>23.429510064233838</v>
      </c>
      <c r="R700" s="7" t="s">
        <v>212</v>
      </c>
      <c r="S700" s="80" t="s">
        <v>19</v>
      </c>
      <c r="T700" s="7"/>
      <c r="U700" s="7"/>
    </row>
    <row r="701" spans="1:21" x14ac:dyDescent="0.3">
      <c r="A701" s="10" t="s">
        <v>209</v>
      </c>
      <c r="B701" s="10" t="s">
        <v>118</v>
      </c>
      <c r="C701" s="37">
        <v>5227193</v>
      </c>
      <c r="D701" s="11">
        <v>2021</v>
      </c>
      <c r="E701" s="10" t="s">
        <v>23</v>
      </c>
      <c r="F701" s="41">
        <f t="shared" si="61"/>
        <v>7.269676095755408E-3</v>
      </c>
      <c r="G701" s="8">
        <v>8</v>
      </c>
      <c r="H701" s="36">
        <f t="shared" si="62"/>
        <v>9505.038157408766</v>
      </c>
      <c r="I701" s="37">
        <v>380</v>
      </c>
      <c r="J701" s="12">
        <v>0.13300000000000001</v>
      </c>
      <c r="K701" s="12">
        <v>7</v>
      </c>
      <c r="L701" s="40">
        <f t="shared" si="63"/>
        <v>353.78000000000003</v>
      </c>
      <c r="M701" s="11">
        <v>124</v>
      </c>
      <c r="N701" s="12">
        <v>73.8</v>
      </c>
      <c r="O701" s="9">
        <f t="shared" si="64"/>
        <v>9151.1999999999989</v>
      </c>
      <c r="P701" s="75">
        <f t="shared" si="66"/>
        <v>181.83828600567773</v>
      </c>
      <c r="Q701" s="78">
        <f t="shared" si="65"/>
        <v>83.771201877806419</v>
      </c>
      <c r="R701" s="10" t="s">
        <v>213</v>
      </c>
      <c r="S701" s="81" t="s">
        <v>25</v>
      </c>
      <c r="T701" s="10" t="s">
        <v>15</v>
      </c>
      <c r="U701" s="10"/>
    </row>
    <row r="702" spans="1:21" ht="22.8" x14ac:dyDescent="0.3">
      <c r="A702" s="7" t="s">
        <v>209</v>
      </c>
      <c r="B702" s="7" t="s">
        <v>118</v>
      </c>
      <c r="C702" s="36">
        <v>5227193</v>
      </c>
      <c r="D702" s="8">
        <v>2021</v>
      </c>
      <c r="E702" s="7" t="s">
        <v>26</v>
      </c>
      <c r="F702" s="41">
        <f t="shared" si="61"/>
        <v>4.7826816419443476</v>
      </c>
      <c r="G702" s="11">
        <v>6</v>
      </c>
      <c r="H702" s="36">
        <f t="shared" si="62"/>
        <v>160028.69608985167</v>
      </c>
      <c r="I702" s="36">
        <v>250000</v>
      </c>
      <c r="J702" s="9">
        <v>0.128</v>
      </c>
      <c r="K702" s="9">
        <v>5</v>
      </c>
      <c r="L702" s="40">
        <f t="shared" si="63"/>
        <v>160000</v>
      </c>
      <c r="M702" s="8">
        <v>0</v>
      </c>
      <c r="N702" s="9">
        <v>73.8</v>
      </c>
      <c r="O702" s="9">
        <f t="shared" si="64"/>
        <v>0</v>
      </c>
      <c r="P702" s="75">
        <f t="shared" si="66"/>
        <v>3061.4652278928988</v>
      </c>
      <c r="Q702" s="78">
        <f t="shared" si="65"/>
        <v>99.999999999994941</v>
      </c>
      <c r="R702" s="7" t="s">
        <v>214</v>
      </c>
      <c r="S702" s="80" t="s">
        <v>28</v>
      </c>
      <c r="T702" s="7"/>
      <c r="U702" s="7"/>
    </row>
    <row r="703" spans="1:21" ht="22.8" x14ac:dyDescent="0.3">
      <c r="A703" s="10" t="s">
        <v>209</v>
      </c>
      <c r="B703" s="10" t="s">
        <v>118</v>
      </c>
      <c r="C703" s="37">
        <v>5227193</v>
      </c>
      <c r="D703" s="11">
        <v>2021</v>
      </c>
      <c r="E703" s="10" t="s">
        <v>30</v>
      </c>
      <c r="F703" s="41">
        <f t="shared" si="61"/>
        <v>3.4435307821999302E-4</v>
      </c>
      <c r="G703" s="8">
        <v>6</v>
      </c>
      <c r="H703" s="36">
        <f t="shared" si="62"/>
        <v>894.24206611846921</v>
      </c>
      <c r="I703" s="37">
        <v>18</v>
      </c>
      <c r="J703" s="12">
        <v>0.12</v>
      </c>
      <c r="K703" s="12">
        <v>4</v>
      </c>
      <c r="L703" s="40">
        <f t="shared" si="63"/>
        <v>8.64</v>
      </c>
      <c r="M703" s="11">
        <v>12</v>
      </c>
      <c r="N703" s="12">
        <v>73.8</v>
      </c>
      <c r="O703" s="9">
        <f t="shared" si="64"/>
        <v>885.59999999999991</v>
      </c>
      <c r="P703" s="75">
        <f t="shared" si="66"/>
        <v>17.107500452316746</v>
      </c>
      <c r="Q703" s="78">
        <f t="shared" si="65"/>
        <v>15.724163958795124</v>
      </c>
      <c r="R703" s="10" t="s">
        <v>215</v>
      </c>
      <c r="S703" s="81" t="s">
        <v>29</v>
      </c>
      <c r="T703" s="10" t="s">
        <v>33</v>
      </c>
      <c r="U703" s="10"/>
    </row>
    <row r="704" spans="1:21" ht="22.8" x14ac:dyDescent="0.3">
      <c r="A704" s="7" t="s">
        <v>209</v>
      </c>
      <c r="B704" s="7" t="s">
        <v>118</v>
      </c>
      <c r="C704" s="36">
        <v>5354076</v>
      </c>
      <c r="D704" s="8">
        <v>2022</v>
      </c>
      <c r="E704" s="7" t="s">
        <v>11</v>
      </c>
      <c r="F704" s="41">
        <f t="shared" si="61"/>
        <v>5.3043699790589448E-2</v>
      </c>
      <c r="G704" s="11">
        <v>9</v>
      </c>
      <c r="H704" s="36">
        <f t="shared" si="62"/>
        <v>20143.837393298116</v>
      </c>
      <c r="I704" s="36">
        <v>2840</v>
      </c>
      <c r="J704" s="9">
        <v>0.13300000000000001</v>
      </c>
      <c r="K704" s="9">
        <v>8</v>
      </c>
      <c r="L704" s="40">
        <f t="shared" si="63"/>
        <v>3021.76</v>
      </c>
      <c r="M704" s="8">
        <v>232</v>
      </c>
      <c r="N704" s="9">
        <v>73.8</v>
      </c>
      <c r="O704" s="9">
        <f t="shared" si="64"/>
        <v>17121.599999999999</v>
      </c>
      <c r="P704" s="75">
        <f t="shared" si="66"/>
        <v>376.23368426780115</v>
      </c>
      <c r="Q704" s="78">
        <f t="shared" si="65"/>
        <v>97.677060653848997</v>
      </c>
      <c r="R704" s="7" t="s">
        <v>222</v>
      </c>
      <c r="S704" s="80" t="s">
        <v>19</v>
      </c>
      <c r="T704" s="7" t="s">
        <v>78</v>
      </c>
      <c r="U704" s="7"/>
    </row>
    <row r="705" spans="1:21" ht="22.8" x14ac:dyDescent="0.3">
      <c r="A705" s="10" t="s">
        <v>209</v>
      </c>
      <c r="B705" s="10" t="s">
        <v>118</v>
      </c>
      <c r="C705" s="37">
        <v>5354076</v>
      </c>
      <c r="D705" s="11">
        <v>2022</v>
      </c>
      <c r="E705" s="10" t="s">
        <v>17</v>
      </c>
      <c r="F705" s="41">
        <f t="shared" si="61"/>
        <v>8.9651323589728642E-3</v>
      </c>
      <c r="G705" s="8">
        <v>7</v>
      </c>
      <c r="H705" s="36">
        <f t="shared" si="62"/>
        <v>2449.5027559265127</v>
      </c>
      <c r="I705" s="37">
        <v>480</v>
      </c>
      <c r="J705" s="12">
        <v>0.13300000000000001</v>
      </c>
      <c r="K705" s="12">
        <v>6</v>
      </c>
      <c r="L705" s="40">
        <f t="shared" si="63"/>
        <v>383.04</v>
      </c>
      <c r="M705" s="11">
        <v>28</v>
      </c>
      <c r="N705" s="12">
        <v>73.8</v>
      </c>
      <c r="O705" s="9">
        <f t="shared" si="64"/>
        <v>2066.4</v>
      </c>
      <c r="P705" s="75">
        <f t="shared" si="66"/>
        <v>45.750242542812479</v>
      </c>
      <c r="Q705" s="78">
        <f t="shared" si="65"/>
        <v>36.713770593678731</v>
      </c>
      <c r="R705" s="10" t="s">
        <v>211</v>
      </c>
      <c r="S705" s="81" t="s">
        <v>19</v>
      </c>
      <c r="T705" s="10" t="s">
        <v>99</v>
      </c>
      <c r="U705" s="10"/>
    </row>
    <row r="706" spans="1:21" x14ac:dyDescent="0.3">
      <c r="A706" s="7" t="s">
        <v>209</v>
      </c>
      <c r="B706" s="7" t="s">
        <v>118</v>
      </c>
      <c r="C706" s="36">
        <v>5354076</v>
      </c>
      <c r="D706" s="8">
        <v>2022</v>
      </c>
      <c r="E706" s="7" t="s">
        <v>20</v>
      </c>
      <c r="F706" s="41">
        <f t="shared" ref="F706:F769" si="67">I706*100/C706</f>
        <v>1.5688981628202514E-3</v>
      </c>
      <c r="G706" s="11">
        <v>7</v>
      </c>
      <c r="H706" s="36">
        <f t="shared" ref="H706:H769" si="68">O706+L706+(G706*F706)</f>
        <v>1395.4429822871396</v>
      </c>
      <c r="I706" s="36">
        <v>84</v>
      </c>
      <c r="J706" s="9">
        <v>0.13300000000000001</v>
      </c>
      <c r="K706" s="9">
        <v>6</v>
      </c>
      <c r="L706" s="40">
        <f t="shared" si="63"/>
        <v>67.032000000000011</v>
      </c>
      <c r="M706" s="8">
        <v>18</v>
      </c>
      <c r="N706" s="9">
        <v>73.8</v>
      </c>
      <c r="O706" s="9">
        <f t="shared" si="64"/>
        <v>1328.3999999999999</v>
      </c>
      <c r="P706" s="75">
        <f t="shared" si="66"/>
        <v>26.063189657508403</v>
      </c>
      <c r="Q706" s="78">
        <f t="shared" si="65"/>
        <v>22.943548514727617</v>
      </c>
      <c r="R706" s="7" t="s">
        <v>212</v>
      </c>
      <c r="S706" s="80" t="s">
        <v>19</v>
      </c>
      <c r="T706" s="7"/>
      <c r="U706" s="7"/>
    </row>
    <row r="707" spans="1:21" x14ac:dyDescent="0.3">
      <c r="A707" s="10" t="s">
        <v>209</v>
      </c>
      <c r="B707" s="10" t="s">
        <v>118</v>
      </c>
      <c r="C707" s="37">
        <v>5354076</v>
      </c>
      <c r="D707" s="11">
        <v>2022</v>
      </c>
      <c r="E707" s="10" t="s">
        <v>23</v>
      </c>
      <c r="F707" s="41">
        <f t="shared" si="67"/>
        <v>7.0973964508535183E-3</v>
      </c>
      <c r="G707" s="8">
        <v>8</v>
      </c>
      <c r="H707" s="36">
        <f t="shared" si="68"/>
        <v>9505.0367791716071</v>
      </c>
      <c r="I707" s="37">
        <v>380</v>
      </c>
      <c r="J707" s="12">
        <v>0.13300000000000001</v>
      </c>
      <c r="K707" s="12">
        <v>7</v>
      </c>
      <c r="L707" s="40">
        <f t="shared" ref="L707:L770" si="69">I707*J707*K707</f>
        <v>353.78000000000003</v>
      </c>
      <c r="M707" s="11">
        <v>124</v>
      </c>
      <c r="N707" s="12">
        <v>73.8</v>
      </c>
      <c r="O707" s="9">
        <f t="shared" ref="O707:O770" si="70">M707*N707</f>
        <v>9151.1999999999989</v>
      </c>
      <c r="P707" s="75">
        <f t="shared" si="66"/>
        <v>177.52898500453873</v>
      </c>
      <c r="Q707" s="78">
        <f t="shared" ref="Q707:Q770" si="71">100*(1-EXP(-P707/100))</f>
        <v>83.056566816733692</v>
      </c>
      <c r="R707" s="10" t="s">
        <v>213</v>
      </c>
      <c r="S707" s="81" t="s">
        <v>25</v>
      </c>
      <c r="T707" s="10" t="s">
        <v>15</v>
      </c>
      <c r="U707" s="10"/>
    </row>
    <row r="708" spans="1:21" ht="22.8" x14ac:dyDescent="0.3">
      <c r="A708" s="7" t="s">
        <v>209</v>
      </c>
      <c r="B708" s="7" t="s">
        <v>118</v>
      </c>
      <c r="C708" s="36">
        <v>5354076</v>
      </c>
      <c r="D708" s="8">
        <v>2022</v>
      </c>
      <c r="E708" s="7" t="s">
        <v>26</v>
      </c>
      <c r="F708" s="41">
        <f t="shared" si="67"/>
        <v>4.6693397702983672</v>
      </c>
      <c r="G708" s="11">
        <v>6</v>
      </c>
      <c r="H708" s="36">
        <f t="shared" si="68"/>
        <v>160028.01603862178</v>
      </c>
      <c r="I708" s="36">
        <v>250000</v>
      </c>
      <c r="J708" s="9">
        <v>0.128</v>
      </c>
      <c r="K708" s="9">
        <v>5</v>
      </c>
      <c r="L708" s="40">
        <f t="shared" si="69"/>
        <v>160000</v>
      </c>
      <c r="M708" s="8">
        <v>0</v>
      </c>
      <c r="N708" s="9">
        <v>73.8</v>
      </c>
      <c r="O708" s="9">
        <f t="shared" si="70"/>
        <v>0</v>
      </c>
      <c r="P708" s="75">
        <f t="shared" si="66"/>
        <v>2988.9007186043264</v>
      </c>
      <c r="Q708" s="78">
        <f t="shared" si="71"/>
        <v>99.999999999989541</v>
      </c>
      <c r="R708" s="7" t="s">
        <v>214</v>
      </c>
      <c r="S708" s="80" t="s">
        <v>28</v>
      </c>
      <c r="T708" s="7"/>
      <c r="U708" s="7"/>
    </row>
    <row r="709" spans="1:21" ht="22.8" x14ac:dyDescent="0.3">
      <c r="A709" s="10" t="s">
        <v>209</v>
      </c>
      <c r="B709" s="10" t="s">
        <v>118</v>
      </c>
      <c r="C709" s="37">
        <v>5354076</v>
      </c>
      <c r="D709" s="11">
        <v>2022</v>
      </c>
      <c r="E709" s="10" t="s">
        <v>30</v>
      </c>
      <c r="F709" s="41">
        <f t="shared" si="67"/>
        <v>3.3619246346148243E-4</v>
      </c>
      <c r="G709" s="8">
        <v>6</v>
      </c>
      <c r="H709" s="36">
        <f t="shared" si="68"/>
        <v>894.24201715478068</v>
      </c>
      <c r="I709" s="37">
        <v>18</v>
      </c>
      <c r="J709" s="12">
        <v>0.12</v>
      </c>
      <c r="K709" s="12">
        <v>4</v>
      </c>
      <c r="L709" s="40">
        <f t="shared" si="69"/>
        <v>8.64</v>
      </c>
      <c r="M709" s="11">
        <v>12</v>
      </c>
      <c r="N709" s="12">
        <v>73.8</v>
      </c>
      <c r="O709" s="9">
        <f t="shared" si="70"/>
        <v>885.59999999999991</v>
      </c>
      <c r="P709" s="75">
        <f t="shared" si="66"/>
        <v>16.70207925989061</v>
      </c>
      <c r="Q709" s="78">
        <f t="shared" si="71"/>
        <v>15.381798316900641</v>
      </c>
      <c r="R709" s="10" t="s">
        <v>215</v>
      </c>
      <c r="S709" s="81" t="s">
        <v>29</v>
      </c>
      <c r="T709" s="10" t="s">
        <v>33</v>
      </c>
      <c r="U709" s="10"/>
    </row>
    <row r="710" spans="1:21" ht="22.8" x14ac:dyDescent="0.3">
      <c r="A710" s="7" t="s">
        <v>209</v>
      </c>
      <c r="B710" s="7" t="s">
        <v>118</v>
      </c>
      <c r="C710" s="36">
        <v>5483450</v>
      </c>
      <c r="D710" s="8">
        <v>2023</v>
      </c>
      <c r="E710" s="7" t="s">
        <v>11</v>
      </c>
      <c r="F710" s="41">
        <f t="shared" si="67"/>
        <v>0.33555517055868112</v>
      </c>
      <c r="G710" s="11">
        <v>9</v>
      </c>
      <c r="H710" s="36">
        <f t="shared" si="68"/>
        <v>1680080.6199965351</v>
      </c>
      <c r="I710" s="36">
        <v>18400</v>
      </c>
      <c r="J710" s="9">
        <v>0.13300000000000001</v>
      </c>
      <c r="K710" s="9">
        <v>8</v>
      </c>
      <c r="L710" s="40">
        <f t="shared" si="69"/>
        <v>19577.600000000002</v>
      </c>
      <c r="M710" s="8">
        <v>22500</v>
      </c>
      <c r="N710" s="9">
        <v>73.8</v>
      </c>
      <c r="O710" s="9">
        <f t="shared" si="70"/>
        <v>1660500</v>
      </c>
      <c r="P710" s="75">
        <f t="shared" si="66"/>
        <v>30639.116249743049</v>
      </c>
      <c r="Q710" s="78">
        <f t="shared" si="71"/>
        <v>100</v>
      </c>
      <c r="R710" s="7" t="s">
        <v>223</v>
      </c>
      <c r="S710" s="80" t="s">
        <v>19</v>
      </c>
      <c r="T710" s="7" t="s">
        <v>224</v>
      </c>
      <c r="U710" s="7"/>
    </row>
    <row r="711" spans="1:21" ht="22.8" x14ac:dyDescent="0.3">
      <c r="A711" s="10" t="s">
        <v>209</v>
      </c>
      <c r="B711" s="10" t="s">
        <v>118</v>
      </c>
      <c r="C711" s="37">
        <v>5483450</v>
      </c>
      <c r="D711" s="11">
        <v>2023</v>
      </c>
      <c r="E711" s="10" t="s">
        <v>17</v>
      </c>
      <c r="F711" s="41">
        <f t="shared" si="67"/>
        <v>8.7536131450090728E-3</v>
      </c>
      <c r="G711" s="8">
        <v>7</v>
      </c>
      <c r="H711" s="36">
        <f t="shared" si="68"/>
        <v>2449.5012752920152</v>
      </c>
      <c r="I711" s="37">
        <v>480</v>
      </c>
      <c r="J711" s="12">
        <v>0.13300000000000001</v>
      </c>
      <c r="K711" s="12">
        <v>6</v>
      </c>
      <c r="L711" s="40">
        <f t="shared" si="69"/>
        <v>383.04</v>
      </c>
      <c r="M711" s="11">
        <v>28</v>
      </c>
      <c r="N711" s="12">
        <v>73.8</v>
      </c>
      <c r="O711" s="9">
        <f t="shared" si="70"/>
        <v>2066.4</v>
      </c>
      <c r="P711" s="75">
        <f t="shared" si="66"/>
        <v>44.670805337734734</v>
      </c>
      <c r="Q711" s="78">
        <f t="shared" si="71"/>
        <v>36.026935178341887</v>
      </c>
      <c r="R711" s="10" t="s">
        <v>211</v>
      </c>
      <c r="S711" s="81" t="s">
        <v>19</v>
      </c>
      <c r="T711" s="10" t="s">
        <v>99</v>
      </c>
      <c r="U711" s="10"/>
    </row>
    <row r="712" spans="1:21" x14ac:dyDescent="0.3">
      <c r="A712" s="7" t="s">
        <v>209</v>
      </c>
      <c r="B712" s="7" t="s">
        <v>118</v>
      </c>
      <c r="C712" s="36">
        <v>5483450</v>
      </c>
      <c r="D712" s="8">
        <v>2023</v>
      </c>
      <c r="E712" s="7" t="s">
        <v>20</v>
      </c>
      <c r="F712" s="41">
        <f t="shared" si="67"/>
        <v>1.5318823003765878E-3</v>
      </c>
      <c r="G712" s="11">
        <v>7</v>
      </c>
      <c r="H712" s="36">
        <f t="shared" si="68"/>
        <v>1395.4427231761024</v>
      </c>
      <c r="I712" s="36">
        <v>84</v>
      </c>
      <c r="J712" s="9">
        <v>0.13300000000000001</v>
      </c>
      <c r="K712" s="9">
        <v>6</v>
      </c>
      <c r="L712" s="40">
        <f t="shared" si="69"/>
        <v>67.032000000000011</v>
      </c>
      <c r="M712" s="8">
        <v>18</v>
      </c>
      <c r="N712" s="9">
        <v>73.8</v>
      </c>
      <c r="O712" s="9">
        <f t="shared" si="70"/>
        <v>1328.3999999999999</v>
      </c>
      <c r="P712" s="75">
        <f t="shared" si="66"/>
        <v>25.44826200979497</v>
      </c>
      <c r="Q712" s="78">
        <f t="shared" si="71"/>
        <v>22.468247208363302</v>
      </c>
      <c r="R712" s="7" t="s">
        <v>212</v>
      </c>
      <c r="S712" s="80" t="s">
        <v>19</v>
      </c>
      <c r="T712" s="7"/>
      <c r="U712" s="7"/>
    </row>
    <row r="713" spans="1:21" x14ac:dyDescent="0.3">
      <c r="A713" s="10" t="s">
        <v>209</v>
      </c>
      <c r="B713" s="10" t="s">
        <v>118</v>
      </c>
      <c r="C713" s="37">
        <v>5483450</v>
      </c>
      <c r="D713" s="11">
        <v>2023</v>
      </c>
      <c r="E713" s="10" t="s">
        <v>23</v>
      </c>
      <c r="F713" s="41">
        <f t="shared" si="67"/>
        <v>6.929943739798849E-3</v>
      </c>
      <c r="G713" s="8">
        <v>8</v>
      </c>
      <c r="H713" s="36">
        <f t="shared" si="68"/>
        <v>9505.035439549918</v>
      </c>
      <c r="I713" s="37">
        <v>380</v>
      </c>
      <c r="J713" s="12">
        <v>0.13300000000000001</v>
      </c>
      <c r="K713" s="12">
        <v>7</v>
      </c>
      <c r="L713" s="40">
        <f t="shared" si="69"/>
        <v>353.78000000000003</v>
      </c>
      <c r="M713" s="11">
        <v>124</v>
      </c>
      <c r="N713" s="12">
        <v>73.8</v>
      </c>
      <c r="O713" s="9">
        <f t="shared" si="70"/>
        <v>9151.1999999999989</v>
      </c>
      <c r="P713" s="75">
        <f t="shared" si="66"/>
        <v>173.34042326546094</v>
      </c>
      <c r="Q713" s="78">
        <f t="shared" si="71"/>
        <v>82.331808131559498</v>
      </c>
      <c r="R713" s="10" t="s">
        <v>213</v>
      </c>
      <c r="S713" s="81" t="s">
        <v>25</v>
      </c>
      <c r="T713" s="10" t="s">
        <v>15</v>
      </c>
      <c r="U713" s="10"/>
    </row>
    <row r="714" spans="1:21" ht="22.8" x14ac:dyDescent="0.3">
      <c r="A714" s="7" t="s">
        <v>209</v>
      </c>
      <c r="B714" s="7" t="s">
        <v>118</v>
      </c>
      <c r="C714" s="36">
        <v>5483450</v>
      </c>
      <c r="D714" s="8">
        <v>2023</v>
      </c>
      <c r="E714" s="7" t="s">
        <v>26</v>
      </c>
      <c r="F714" s="41">
        <f t="shared" si="67"/>
        <v>34.649718698994249</v>
      </c>
      <c r="G714" s="11">
        <v>6</v>
      </c>
      <c r="H714" s="36">
        <f t="shared" si="68"/>
        <v>1216207.898312194</v>
      </c>
      <c r="I714" s="36">
        <v>1900000</v>
      </c>
      <c r="J714" s="9">
        <v>0.128</v>
      </c>
      <c r="K714" s="9">
        <v>5</v>
      </c>
      <c r="L714" s="40">
        <f t="shared" si="69"/>
        <v>1216000</v>
      </c>
      <c r="M714" s="8">
        <v>0</v>
      </c>
      <c r="N714" s="9">
        <v>73.8</v>
      </c>
      <c r="O714" s="9">
        <f t="shared" si="70"/>
        <v>0</v>
      </c>
      <c r="P714" s="75">
        <f t="shared" si="66"/>
        <v>22179.611345269746</v>
      </c>
      <c r="Q714" s="78">
        <f t="shared" si="71"/>
        <v>100</v>
      </c>
      <c r="R714" s="7" t="s">
        <v>225</v>
      </c>
      <c r="S714" s="80" t="s">
        <v>28</v>
      </c>
      <c r="T714" s="7" t="s">
        <v>83</v>
      </c>
      <c r="U714" s="7"/>
    </row>
    <row r="715" spans="1:21" ht="22.8" x14ac:dyDescent="0.3">
      <c r="A715" s="10" t="s">
        <v>209</v>
      </c>
      <c r="B715" s="10" t="s">
        <v>118</v>
      </c>
      <c r="C715" s="37">
        <v>5483450</v>
      </c>
      <c r="D715" s="11">
        <v>2023</v>
      </c>
      <c r="E715" s="10" t="s">
        <v>30</v>
      </c>
      <c r="F715" s="41">
        <f t="shared" si="67"/>
        <v>3.2826049293784021E-4</v>
      </c>
      <c r="G715" s="8">
        <v>6</v>
      </c>
      <c r="H715" s="36">
        <f t="shared" si="68"/>
        <v>894.24196956295748</v>
      </c>
      <c r="I715" s="37">
        <v>18</v>
      </c>
      <c r="J715" s="12">
        <v>0.12</v>
      </c>
      <c r="K715" s="12">
        <v>4</v>
      </c>
      <c r="L715" s="40">
        <f t="shared" si="69"/>
        <v>8.64</v>
      </c>
      <c r="M715" s="11">
        <v>12</v>
      </c>
      <c r="N715" s="12">
        <v>73.8</v>
      </c>
      <c r="O715" s="9">
        <f t="shared" si="70"/>
        <v>885.59999999999991</v>
      </c>
      <c r="P715" s="75">
        <f t="shared" si="66"/>
        <v>16.308017207468975</v>
      </c>
      <c r="Q715" s="78">
        <f t="shared" si="71"/>
        <v>15.047692234329624</v>
      </c>
      <c r="R715" s="10" t="s">
        <v>215</v>
      </c>
      <c r="S715" s="81" t="s">
        <v>29</v>
      </c>
      <c r="T715" s="10" t="s">
        <v>33</v>
      </c>
      <c r="U715" s="10"/>
    </row>
    <row r="716" spans="1:21" ht="22.8" x14ac:dyDescent="0.3">
      <c r="A716" s="7" t="s">
        <v>209</v>
      </c>
      <c r="B716" s="7" t="s">
        <v>118</v>
      </c>
      <c r="C716" s="36">
        <v>5262000</v>
      </c>
      <c r="D716" s="8">
        <v>2024</v>
      </c>
      <c r="E716" s="7" t="s">
        <v>11</v>
      </c>
      <c r="F716" s="41">
        <f t="shared" si="67"/>
        <v>0.43329532497149376</v>
      </c>
      <c r="G716" s="11">
        <v>9</v>
      </c>
      <c r="H716" s="36">
        <f t="shared" si="68"/>
        <v>3419063.0996579248</v>
      </c>
      <c r="I716" s="36">
        <v>22800</v>
      </c>
      <c r="J716" s="9">
        <v>0.13300000000000001</v>
      </c>
      <c r="K716" s="9">
        <v>8</v>
      </c>
      <c r="L716" s="40">
        <f t="shared" si="69"/>
        <v>24259.200000000001</v>
      </c>
      <c r="M716" s="8">
        <v>46000</v>
      </c>
      <c r="N716" s="9">
        <v>73.8</v>
      </c>
      <c r="O716" s="9">
        <f t="shared" si="70"/>
        <v>3394800</v>
      </c>
      <c r="P716" s="75">
        <f t="shared" si="66"/>
        <v>64976.493722119441</v>
      </c>
      <c r="Q716" s="78">
        <f t="shared" si="71"/>
        <v>100</v>
      </c>
      <c r="R716" s="7" t="s">
        <v>226</v>
      </c>
      <c r="S716" s="80" t="s">
        <v>19</v>
      </c>
      <c r="T716" s="7" t="s">
        <v>227</v>
      </c>
      <c r="U716" s="7"/>
    </row>
    <row r="717" spans="1:21" ht="22.8" x14ac:dyDescent="0.3">
      <c r="A717" s="10" t="s">
        <v>209</v>
      </c>
      <c r="B717" s="10" t="s">
        <v>118</v>
      </c>
      <c r="C717" s="37">
        <v>5262000</v>
      </c>
      <c r="D717" s="11">
        <v>2024</v>
      </c>
      <c r="E717" s="10" t="s">
        <v>17</v>
      </c>
      <c r="F717" s="41">
        <f t="shared" si="67"/>
        <v>9.1220068415051314E-3</v>
      </c>
      <c r="G717" s="8">
        <v>7</v>
      </c>
      <c r="H717" s="36">
        <f t="shared" si="68"/>
        <v>2449.5038540478904</v>
      </c>
      <c r="I717" s="37">
        <v>480</v>
      </c>
      <c r="J717" s="12">
        <v>0.13300000000000001</v>
      </c>
      <c r="K717" s="12">
        <v>6</v>
      </c>
      <c r="L717" s="40">
        <f t="shared" si="69"/>
        <v>383.04</v>
      </c>
      <c r="M717" s="11">
        <v>28</v>
      </c>
      <c r="N717" s="12">
        <v>73.8</v>
      </c>
      <c r="O717" s="9">
        <f t="shared" si="70"/>
        <v>2066.4</v>
      </c>
      <c r="P717" s="75">
        <f t="shared" si="66"/>
        <v>46.550814406079255</v>
      </c>
      <c r="Q717" s="78">
        <f t="shared" si="71"/>
        <v>37.218399685166681</v>
      </c>
      <c r="R717" s="10" t="s">
        <v>211</v>
      </c>
      <c r="S717" s="81" t="s">
        <v>19</v>
      </c>
      <c r="T717" s="10" t="s">
        <v>99</v>
      </c>
      <c r="U717" s="10"/>
    </row>
    <row r="718" spans="1:21" x14ac:dyDescent="0.3">
      <c r="A718" s="7" t="s">
        <v>209</v>
      </c>
      <c r="B718" s="7" t="s">
        <v>118</v>
      </c>
      <c r="C718" s="36">
        <v>5262000</v>
      </c>
      <c r="D718" s="8">
        <v>2024</v>
      </c>
      <c r="E718" s="7" t="s">
        <v>20</v>
      </c>
      <c r="F718" s="41">
        <f t="shared" si="67"/>
        <v>1.5963511972633979E-3</v>
      </c>
      <c r="G718" s="11">
        <v>7</v>
      </c>
      <c r="H718" s="36">
        <f t="shared" si="68"/>
        <v>1395.4431744583806</v>
      </c>
      <c r="I718" s="36">
        <v>84</v>
      </c>
      <c r="J718" s="9">
        <v>0.13300000000000001</v>
      </c>
      <c r="K718" s="9">
        <v>6</v>
      </c>
      <c r="L718" s="40">
        <f t="shared" si="69"/>
        <v>67.032000000000011</v>
      </c>
      <c r="M718" s="8">
        <v>18</v>
      </c>
      <c r="N718" s="9">
        <v>73.8</v>
      </c>
      <c r="O718" s="9">
        <f t="shared" si="70"/>
        <v>1328.3999999999999</v>
      </c>
      <c r="P718" s="75">
        <f t="shared" si="66"/>
        <v>26.519254550710386</v>
      </c>
      <c r="Q718" s="78">
        <f t="shared" si="71"/>
        <v>23.294175786213888</v>
      </c>
      <c r="R718" s="7" t="s">
        <v>212</v>
      </c>
      <c r="S718" s="80" t="s">
        <v>19</v>
      </c>
      <c r="T718" s="7"/>
      <c r="U718" s="7"/>
    </row>
    <row r="719" spans="1:21" x14ac:dyDescent="0.3">
      <c r="A719" s="10" t="s">
        <v>209</v>
      </c>
      <c r="B719" s="10" t="s">
        <v>118</v>
      </c>
      <c r="C719" s="37">
        <v>5262000</v>
      </c>
      <c r="D719" s="11">
        <v>2024</v>
      </c>
      <c r="E719" s="10" t="s">
        <v>23</v>
      </c>
      <c r="F719" s="41">
        <f t="shared" si="67"/>
        <v>7.2215887495248954E-3</v>
      </c>
      <c r="G719" s="8">
        <v>8</v>
      </c>
      <c r="H719" s="36">
        <f t="shared" si="68"/>
        <v>9505.0377727099949</v>
      </c>
      <c r="I719" s="37">
        <v>380</v>
      </c>
      <c r="J719" s="12">
        <v>0.13300000000000001</v>
      </c>
      <c r="K719" s="12">
        <v>7</v>
      </c>
      <c r="L719" s="40">
        <f t="shared" si="69"/>
        <v>353.78000000000003</v>
      </c>
      <c r="M719" s="11">
        <v>124</v>
      </c>
      <c r="N719" s="12">
        <v>73.8</v>
      </c>
      <c r="O719" s="9">
        <f t="shared" si="70"/>
        <v>9151.1999999999989</v>
      </c>
      <c r="P719" s="75">
        <f t="shared" si="66"/>
        <v>180.63545748213599</v>
      </c>
      <c r="Q719" s="78">
        <f t="shared" si="71"/>
        <v>83.574818555372559</v>
      </c>
      <c r="R719" s="10" t="s">
        <v>213</v>
      </c>
      <c r="S719" s="81" t="s">
        <v>25</v>
      </c>
      <c r="T719" s="10" t="s">
        <v>15</v>
      </c>
      <c r="U719" s="10"/>
    </row>
    <row r="720" spans="1:21" x14ac:dyDescent="0.3">
      <c r="A720" s="7" t="s">
        <v>209</v>
      </c>
      <c r="B720" s="7" t="s">
        <v>118</v>
      </c>
      <c r="C720" s="36">
        <v>5262000</v>
      </c>
      <c r="D720" s="8">
        <v>2024</v>
      </c>
      <c r="E720" s="7" t="s">
        <v>26</v>
      </c>
      <c r="F720" s="41">
        <f t="shared" si="67"/>
        <v>39.908779931584945</v>
      </c>
      <c r="G720" s="11">
        <v>6</v>
      </c>
      <c r="H720" s="36">
        <f t="shared" si="68"/>
        <v>1344239.4526795896</v>
      </c>
      <c r="I720" s="36">
        <v>2100000</v>
      </c>
      <c r="J720" s="9">
        <v>0.128</v>
      </c>
      <c r="K720" s="9">
        <v>5</v>
      </c>
      <c r="L720" s="40">
        <f t="shared" si="69"/>
        <v>1344000</v>
      </c>
      <c r="M720" s="8">
        <v>0</v>
      </c>
      <c r="N720" s="9">
        <v>73.8</v>
      </c>
      <c r="O720" s="9">
        <f t="shared" si="70"/>
        <v>0</v>
      </c>
      <c r="P720" s="75">
        <f t="shared" si="66"/>
        <v>25546.169758259017</v>
      </c>
      <c r="Q720" s="78">
        <f t="shared" si="71"/>
        <v>100</v>
      </c>
      <c r="R720" s="7" t="s">
        <v>228</v>
      </c>
      <c r="S720" s="80" t="s">
        <v>28</v>
      </c>
      <c r="T720" s="7" t="s">
        <v>83</v>
      </c>
      <c r="U720" s="7"/>
    </row>
    <row r="721" spans="1:21" ht="22.8" x14ac:dyDescent="0.3">
      <c r="A721" s="10" t="s">
        <v>209</v>
      </c>
      <c r="B721" s="10" t="s">
        <v>118</v>
      </c>
      <c r="C721" s="37">
        <v>5262000</v>
      </c>
      <c r="D721" s="11">
        <v>2024</v>
      </c>
      <c r="E721" s="10" t="s">
        <v>30</v>
      </c>
      <c r="F721" s="41">
        <f t="shared" si="67"/>
        <v>3.4207525655644244E-4</v>
      </c>
      <c r="G721" s="8">
        <v>6</v>
      </c>
      <c r="H721" s="36">
        <f t="shared" si="68"/>
        <v>894.24205245153928</v>
      </c>
      <c r="I721" s="37">
        <v>18</v>
      </c>
      <c r="J721" s="12">
        <v>0.12</v>
      </c>
      <c r="K721" s="12">
        <v>4</v>
      </c>
      <c r="L721" s="40">
        <f t="shared" si="69"/>
        <v>8.64</v>
      </c>
      <c r="M721" s="11">
        <v>12</v>
      </c>
      <c r="N721" s="12">
        <v>73.8</v>
      </c>
      <c r="O721" s="9">
        <f t="shared" si="70"/>
        <v>885.59999999999991</v>
      </c>
      <c r="P721" s="75">
        <f t="shared" si="66"/>
        <v>16.994337750884441</v>
      </c>
      <c r="Q721" s="78">
        <f t="shared" si="71"/>
        <v>15.628741164753512</v>
      </c>
      <c r="R721" s="10" t="s">
        <v>215</v>
      </c>
      <c r="S721" s="81" t="s">
        <v>29</v>
      </c>
      <c r="T721" s="10" t="s">
        <v>33</v>
      </c>
      <c r="U721" s="10"/>
    </row>
    <row r="722" spans="1:21" x14ac:dyDescent="0.3">
      <c r="A722" s="7" t="s">
        <v>209</v>
      </c>
      <c r="B722" s="7" t="s">
        <v>118</v>
      </c>
      <c r="C722" s="36">
        <v>5300000</v>
      </c>
      <c r="D722" s="8">
        <v>2025</v>
      </c>
      <c r="E722" s="7" t="s">
        <v>11</v>
      </c>
      <c r="F722" s="41">
        <f t="shared" si="67"/>
        <v>0.22641509433962265</v>
      </c>
      <c r="G722" s="11">
        <v>9</v>
      </c>
      <c r="H722" s="36">
        <f t="shared" si="68"/>
        <v>898370.03773584904</v>
      </c>
      <c r="I722" s="36">
        <v>12000</v>
      </c>
      <c r="J722" s="9">
        <v>0.13300000000000001</v>
      </c>
      <c r="K722" s="9">
        <v>8</v>
      </c>
      <c r="L722" s="40">
        <f t="shared" si="69"/>
        <v>12768</v>
      </c>
      <c r="M722" s="8">
        <v>12000</v>
      </c>
      <c r="N722" s="9">
        <v>73.8</v>
      </c>
      <c r="O722" s="9">
        <f t="shared" si="70"/>
        <v>885600</v>
      </c>
      <c r="P722" s="75">
        <f t="shared" si="66"/>
        <v>16950.378070487717</v>
      </c>
      <c r="Q722" s="78">
        <f t="shared" si="71"/>
        <v>100</v>
      </c>
      <c r="R722" s="7" t="s">
        <v>229</v>
      </c>
      <c r="S722" s="80" t="s">
        <v>19</v>
      </c>
      <c r="T722" s="7" t="s">
        <v>83</v>
      </c>
      <c r="U722" s="7"/>
    </row>
    <row r="723" spans="1:21" ht="22.8" x14ac:dyDescent="0.3">
      <c r="A723" s="10" t="s">
        <v>209</v>
      </c>
      <c r="B723" s="10" t="s">
        <v>118</v>
      </c>
      <c r="C723" s="37">
        <v>5300000</v>
      </c>
      <c r="D723" s="11">
        <v>2025</v>
      </c>
      <c r="E723" s="10" t="s">
        <v>17</v>
      </c>
      <c r="F723" s="41">
        <f t="shared" si="67"/>
        <v>9.0566037735849061E-3</v>
      </c>
      <c r="G723" s="8">
        <v>7</v>
      </c>
      <c r="H723" s="36">
        <f t="shared" si="68"/>
        <v>2449.5033962264151</v>
      </c>
      <c r="I723" s="37">
        <v>480</v>
      </c>
      <c r="J723" s="12">
        <v>0.13300000000000001</v>
      </c>
      <c r="K723" s="12">
        <v>6</v>
      </c>
      <c r="L723" s="40">
        <f t="shared" si="69"/>
        <v>383.04</v>
      </c>
      <c r="M723" s="11">
        <v>28</v>
      </c>
      <c r="N723" s="12">
        <v>73.8</v>
      </c>
      <c r="O723" s="9">
        <f t="shared" si="70"/>
        <v>2066.4</v>
      </c>
      <c r="P723" s="75">
        <f t="shared" si="66"/>
        <v>46.217045211819155</v>
      </c>
      <c r="Q723" s="78">
        <f t="shared" si="71"/>
        <v>37.0085039548648</v>
      </c>
      <c r="R723" s="10" t="s">
        <v>211</v>
      </c>
      <c r="S723" s="81" t="s">
        <v>19</v>
      </c>
      <c r="T723" s="10" t="s">
        <v>99</v>
      </c>
      <c r="U723" s="10"/>
    </row>
    <row r="724" spans="1:21" x14ac:dyDescent="0.3">
      <c r="A724" s="7" t="s">
        <v>209</v>
      </c>
      <c r="B724" s="7" t="s">
        <v>118</v>
      </c>
      <c r="C724" s="36">
        <v>5300000</v>
      </c>
      <c r="D724" s="8">
        <v>2025</v>
      </c>
      <c r="E724" s="7" t="s">
        <v>20</v>
      </c>
      <c r="F724" s="41">
        <f t="shared" si="67"/>
        <v>1.5849056603773584E-3</v>
      </c>
      <c r="G724" s="11">
        <v>7</v>
      </c>
      <c r="H724" s="36">
        <f t="shared" si="68"/>
        <v>1395.4430943396223</v>
      </c>
      <c r="I724" s="36">
        <v>84</v>
      </c>
      <c r="J724" s="9">
        <v>0.13300000000000001</v>
      </c>
      <c r="K724" s="9">
        <v>6</v>
      </c>
      <c r="L724" s="40">
        <f t="shared" si="69"/>
        <v>67.032000000000011</v>
      </c>
      <c r="M724" s="8">
        <v>18</v>
      </c>
      <c r="N724" s="9">
        <v>73.8</v>
      </c>
      <c r="O724" s="9">
        <f t="shared" si="70"/>
        <v>1328.3999999999999</v>
      </c>
      <c r="P724" s="75">
        <f t="shared" si="66"/>
        <v>26.329114987540041</v>
      </c>
      <c r="Q724" s="78">
        <f t="shared" si="71"/>
        <v>23.148188921716617</v>
      </c>
      <c r="R724" s="7" t="s">
        <v>212</v>
      </c>
      <c r="S724" s="80" t="s">
        <v>19</v>
      </c>
      <c r="T724" s="7"/>
      <c r="U724" s="7"/>
    </row>
    <row r="725" spans="1:21" x14ac:dyDescent="0.3">
      <c r="A725" s="10" t="s">
        <v>209</v>
      </c>
      <c r="B725" s="10" t="s">
        <v>118</v>
      </c>
      <c r="C725" s="37">
        <v>5300000</v>
      </c>
      <c r="D725" s="11">
        <v>2025</v>
      </c>
      <c r="E725" s="10" t="s">
        <v>23</v>
      </c>
      <c r="F725" s="41">
        <f t="shared" si="67"/>
        <v>7.169811320754717E-3</v>
      </c>
      <c r="G725" s="8">
        <v>8</v>
      </c>
      <c r="H725" s="36">
        <f t="shared" si="68"/>
        <v>9505.0373584905665</v>
      </c>
      <c r="I725" s="37">
        <v>380</v>
      </c>
      <c r="J725" s="12">
        <v>0.13300000000000001</v>
      </c>
      <c r="K725" s="12">
        <v>7</v>
      </c>
      <c r="L725" s="40">
        <f t="shared" si="69"/>
        <v>353.78000000000003</v>
      </c>
      <c r="M725" s="11">
        <v>124</v>
      </c>
      <c r="N725" s="12">
        <v>73.8</v>
      </c>
      <c r="O725" s="9">
        <f t="shared" si="70"/>
        <v>9151.1999999999989</v>
      </c>
      <c r="P725" s="75">
        <f t="shared" si="66"/>
        <v>179.34032751868995</v>
      </c>
      <c r="Q725" s="78">
        <f t="shared" si="71"/>
        <v>83.360707594163543</v>
      </c>
      <c r="R725" s="10" t="s">
        <v>213</v>
      </c>
      <c r="S725" s="81" t="s">
        <v>25</v>
      </c>
      <c r="T725" s="10" t="s">
        <v>15</v>
      </c>
      <c r="U725" s="10"/>
    </row>
    <row r="726" spans="1:21" ht="22.8" x14ac:dyDescent="0.3">
      <c r="A726" s="7" t="s">
        <v>209</v>
      </c>
      <c r="B726" s="7" t="s">
        <v>118</v>
      </c>
      <c r="C726" s="36">
        <v>5300000</v>
      </c>
      <c r="D726" s="8">
        <v>2025</v>
      </c>
      <c r="E726" s="7" t="s">
        <v>26</v>
      </c>
      <c r="F726" s="41">
        <f t="shared" si="67"/>
        <v>33.962264150943398</v>
      </c>
      <c r="G726" s="11">
        <v>6</v>
      </c>
      <c r="H726" s="36">
        <f t="shared" si="68"/>
        <v>1152203.7735849055</v>
      </c>
      <c r="I726" s="36">
        <v>1800000</v>
      </c>
      <c r="J726" s="9">
        <v>0.128</v>
      </c>
      <c r="K726" s="9">
        <v>5</v>
      </c>
      <c r="L726" s="40">
        <f t="shared" si="69"/>
        <v>1152000</v>
      </c>
      <c r="M726" s="8">
        <v>0</v>
      </c>
      <c r="N726" s="9">
        <v>73.8</v>
      </c>
      <c r="O726" s="9">
        <f t="shared" si="70"/>
        <v>0</v>
      </c>
      <c r="P726" s="75">
        <f t="shared" si="66"/>
        <v>21739.693841224635</v>
      </c>
      <c r="Q726" s="78">
        <f t="shared" si="71"/>
        <v>100</v>
      </c>
      <c r="R726" s="7" t="s">
        <v>230</v>
      </c>
      <c r="S726" s="80" t="s">
        <v>28</v>
      </c>
      <c r="T726" s="7" t="s">
        <v>83</v>
      </c>
      <c r="U726" s="7"/>
    </row>
    <row r="727" spans="1:21" ht="22.8" x14ac:dyDescent="0.3">
      <c r="A727" s="10" t="s">
        <v>209</v>
      </c>
      <c r="B727" s="10" t="s">
        <v>118</v>
      </c>
      <c r="C727" s="37">
        <v>5300000</v>
      </c>
      <c r="D727" s="11">
        <v>2025</v>
      </c>
      <c r="E727" s="10" t="s">
        <v>30</v>
      </c>
      <c r="F727" s="41">
        <f t="shared" si="67"/>
        <v>3.3962264150943399E-4</v>
      </c>
      <c r="G727" s="8">
        <v>6</v>
      </c>
      <c r="H727" s="36">
        <f t="shared" si="68"/>
        <v>894.24203773584895</v>
      </c>
      <c r="I727" s="37">
        <v>18</v>
      </c>
      <c r="J727" s="12">
        <v>0.12</v>
      </c>
      <c r="K727" s="12">
        <v>4</v>
      </c>
      <c r="L727" s="40">
        <f t="shared" si="69"/>
        <v>8.64</v>
      </c>
      <c r="M727" s="11">
        <v>12</v>
      </c>
      <c r="N727" s="12">
        <v>73.8</v>
      </c>
      <c r="O727" s="9">
        <f t="shared" si="70"/>
        <v>885.59999999999991</v>
      </c>
      <c r="P727" s="75">
        <f t="shared" si="66"/>
        <v>16.872491278034886</v>
      </c>
      <c r="Q727" s="78">
        <f t="shared" si="71"/>
        <v>15.525875105158038</v>
      </c>
      <c r="R727" s="10" t="s">
        <v>215</v>
      </c>
      <c r="S727" s="81" t="s">
        <v>29</v>
      </c>
      <c r="T727" s="10" t="s">
        <v>33</v>
      </c>
      <c r="U727" s="10"/>
    </row>
    <row r="728" spans="1:21" ht="22.8" x14ac:dyDescent="0.3">
      <c r="A728" s="7" t="s">
        <v>231</v>
      </c>
      <c r="B728" s="7" t="s">
        <v>118</v>
      </c>
      <c r="C728" s="36">
        <v>26497889</v>
      </c>
      <c r="D728" s="8">
        <v>2015</v>
      </c>
      <c r="E728" s="7" t="s">
        <v>11</v>
      </c>
      <c r="F728" s="41">
        <f t="shared" si="67"/>
        <v>2.5813377058074325E-2</v>
      </c>
      <c r="G728" s="11">
        <v>9</v>
      </c>
      <c r="H728" s="36">
        <f t="shared" si="68"/>
        <v>563729.99232039356</v>
      </c>
      <c r="I728" s="36">
        <v>6840</v>
      </c>
      <c r="J728" s="9">
        <v>0.13300000000000001</v>
      </c>
      <c r="K728" s="9">
        <v>8</v>
      </c>
      <c r="L728" s="40">
        <f t="shared" si="69"/>
        <v>7277.76</v>
      </c>
      <c r="M728" s="8">
        <v>7540</v>
      </c>
      <c r="N728" s="9">
        <v>73.8</v>
      </c>
      <c r="O728" s="9">
        <f t="shared" si="70"/>
        <v>556452</v>
      </c>
      <c r="P728" s="75">
        <f t="shared" si="66"/>
        <v>2127.4524635543366</v>
      </c>
      <c r="Q728" s="78">
        <f t="shared" si="71"/>
        <v>99.999999942377599</v>
      </c>
      <c r="R728" s="7" t="s">
        <v>232</v>
      </c>
      <c r="S728" s="80" t="s">
        <v>19</v>
      </c>
      <c r="T728" s="7" t="s">
        <v>78</v>
      </c>
      <c r="U728" s="7"/>
    </row>
    <row r="729" spans="1:21" x14ac:dyDescent="0.3">
      <c r="A729" s="10" t="s">
        <v>231</v>
      </c>
      <c r="B729" s="10" t="s">
        <v>118</v>
      </c>
      <c r="C729" s="37">
        <v>26497889</v>
      </c>
      <c r="D729" s="11">
        <v>2015</v>
      </c>
      <c r="E729" s="10" t="s">
        <v>17</v>
      </c>
      <c r="F729" s="41">
        <f t="shared" si="67"/>
        <v>6.7929939626511378E-4</v>
      </c>
      <c r="G729" s="8">
        <v>7</v>
      </c>
      <c r="H729" s="36">
        <f t="shared" si="68"/>
        <v>3243.2447550957736</v>
      </c>
      <c r="I729" s="37">
        <v>180</v>
      </c>
      <c r="J729" s="12">
        <v>0.13300000000000001</v>
      </c>
      <c r="K729" s="12">
        <v>6</v>
      </c>
      <c r="L729" s="40">
        <f t="shared" si="69"/>
        <v>143.64000000000001</v>
      </c>
      <c r="M729" s="11">
        <v>42</v>
      </c>
      <c r="N729" s="12">
        <v>73.8</v>
      </c>
      <c r="O729" s="9">
        <f t="shared" si="70"/>
        <v>3099.6</v>
      </c>
      <c r="P729" s="75">
        <f t="shared" si="66"/>
        <v>12.239634467091978</v>
      </c>
      <c r="Q729" s="78">
        <f t="shared" si="71"/>
        <v>11.520238582180697</v>
      </c>
      <c r="R729" s="10" t="s">
        <v>233</v>
      </c>
      <c r="S729" s="81" t="s">
        <v>19</v>
      </c>
      <c r="T729" s="10" t="s">
        <v>99</v>
      </c>
      <c r="U729" s="10"/>
    </row>
    <row r="730" spans="1:21" ht="22.8" x14ac:dyDescent="0.3">
      <c r="A730" s="7" t="s">
        <v>231</v>
      </c>
      <c r="B730" s="7" t="s">
        <v>118</v>
      </c>
      <c r="C730" s="36">
        <v>26497889</v>
      </c>
      <c r="D730" s="8">
        <v>2015</v>
      </c>
      <c r="E730" s="7" t="s">
        <v>20</v>
      </c>
      <c r="F730" s="41">
        <f t="shared" si="67"/>
        <v>9.0573252835348512E-4</v>
      </c>
      <c r="G730" s="11">
        <v>7</v>
      </c>
      <c r="H730" s="36">
        <f t="shared" si="68"/>
        <v>28235.526340127701</v>
      </c>
      <c r="I730" s="36">
        <v>240</v>
      </c>
      <c r="J730" s="9">
        <v>0.13300000000000001</v>
      </c>
      <c r="K730" s="9">
        <v>6</v>
      </c>
      <c r="L730" s="40">
        <f t="shared" si="69"/>
        <v>191.52</v>
      </c>
      <c r="M730" s="8">
        <v>380</v>
      </c>
      <c r="N730" s="9">
        <v>73.8</v>
      </c>
      <c r="O730" s="9">
        <f t="shared" si="70"/>
        <v>28044</v>
      </c>
      <c r="P730" s="75">
        <f t="shared" si="66"/>
        <v>106.55764442264702</v>
      </c>
      <c r="Q730" s="78">
        <f t="shared" si="71"/>
        <v>65.547080435091203</v>
      </c>
      <c r="R730" s="7" t="s">
        <v>234</v>
      </c>
      <c r="S730" s="80" t="s">
        <v>19</v>
      </c>
      <c r="T730" s="7"/>
      <c r="U730" s="7"/>
    </row>
    <row r="731" spans="1:21" x14ac:dyDescent="0.3">
      <c r="A731" s="10" t="s">
        <v>231</v>
      </c>
      <c r="B731" s="10" t="s">
        <v>118</v>
      </c>
      <c r="C731" s="37">
        <v>26497889</v>
      </c>
      <c r="D731" s="11">
        <v>2015</v>
      </c>
      <c r="E731" s="10" t="s">
        <v>23</v>
      </c>
      <c r="F731" s="41">
        <f t="shared" si="67"/>
        <v>1.4340765032263513E-3</v>
      </c>
      <c r="G731" s="8">
        <v>8</v>
      </c>
      <c r="H731" s="36">
        <f t="shared" si="68"/>
        <v>35777.791472612022</v>
      </c>
      <c r="I731" s="37">
        <v>380</v>
      </c>
      <c r="J731" s="12">
        <v>0.13300000000000001</v>
      </c>
      <c r="K731" s="12">
        <v>7</v>
      </c>
      <c r="L731" s="40">
        <f t="shared" si="69"/>
        <v>353.78000000000003</v>
      </c>
      <c r="M731" s="11">
        <v>480</v>
      </c>
      <c r="N731" s="12">
        <v>73.8</v>
      </c>
      <c r="O731" s="9">
        <f t="shared" si="70"/>
        <v>35424</v>
      </c>
      <c r="P731" s="75">
        <f t="shared" si="66"/>
        <v>135.02128970580267</v>
      </c>
      <c r="Q731" s="78">
        <f t="shared" si="71"/>
        <v>74.081492496828631</v>
      </c>
      <c r="R731" s="10" t="s">
        <v>235</v>
      </c>
      <c r="S731" s="81" t="s">
        <v>25</v>
      </c>
      <c r="T731" s="10" t="s">
        <v>15</v>
      </c>
      <c r="U731" s="10"/>
    </row>
    <row r="732" spans="1:21" ht="22.8" x14ac:dyDescent="0.3">
      <c r="A732" s="7" t="s">
        <v>231</v>
      </c>
      <c r="B732" s="7" t="s">
        <v>118</v>
      </c>
      <c r="C732" s="36">
        <v>26497889</v>
      </c>
      <c r="D732" s="8">
        <v>2015</v>
      </c>
      <c r="E732" s="7" t="s">
        <v>26</v>
      </c>
      <c r="F732" s="41">
        <f t="shared" si="67"/>
        <v>15.850319246185988</v>
      </c>
      <c r="G732" s="11">
        <v>6</v>
      </c>
      <c r="H732" s="36">
        <f t="shared" si="68"/>
        <v>2688095.1019154773</v>
      </c>
      <c r="I732" s="36">
        <v>4200000</v>
      </c>
      <c r="J732" s="9">
        <v>0.128</v>
      </c>
      <c r="K732" s="9">
        <v>5</v>
      </c>
      <c r="L732" s="40">
        <f t="shared" si="69"/>
        <v>2688000</v>
      </c>
      <c r="M732" s="8">
        <v>0</v>
      </c>
      <c r="N732" s="9">
        <v>73.8</v>
      </c>
      <c r="O732" s="9">
        <f t="shared" si="70"/>
        <v>0</v>
      </c>
      <c r="P732" s="75">
        <f t="shared" si="66"/>
        <v>10144.563221302184</v>
      </c>
      <c r="Q732" s="78">
        <f t="shared" si="71"/>
        <v>100</v>
      </c>
      <c r="R732" s="7" t="s">
        <v>236</v>
      </c>
      <c r="S732" s="80" t="s">
        <v>28</v>
      </c>
      <c r="T732" s="7" t="s">
        <v>83</v>
      </c>
      <c r="U732" s="7"/>
    </row>
    <row r="733" spans="1:21" ht="22.8" x14ac:dyDescent="0.3">
      <c r="A733" s="10" t="s">
        <v>231</v>
      </c>
      <c r="B733" s="10" t="s">
        <v>118</v>
      </c>
      <c r="C733" s="37">
        <v>26497889</v>
      </c>
      <c r="D733" s="11">
        <v>2015</v>
      </c>
      <c r="E733" s="10" t="s">
        <v>30</v>
      </c>
      <c r="F733" s="41">
        <f t="shared" si="67"/>
        <v>1.585031924618599E-4</v>
      </c>
      <c r="G733" s="8">
        <v>6</v>
      </c>
      <c r="H733" s="36">
        <f t="shared" si="68"/>
        <v>13304.160951019154</v>
      </c>
      <c r="I733" s="37">
        <v>42</v>
      </c>
      <c r="J733" s="12">
        <v>0.12</v>
      </c>
      <c r="K733" s="12">
        <v>4</v>
      </c>
      <c r="L733" s="40">
        <f t="shared" si="69"/>
        <v>20.16</v>
      </c>
      <c r="M733" s="11">
        <v>180</v>
      </c>
      <c r="N733" s="12">
        <v>73.8</v>
      </c>
      <c r="O733" s="9">
        <f t="shared" si="70"/>
        <v>13284</v>
      </c>
      <c r="P733" s="75">
        <f t="shared" ref="P733:P796" si="72">H733/C733*100000</f>
        <v>50.208380565784516</v>
      </c>
      <c r="Q733" s="78">
        <f t="shared" si="71"/>
        <v>39.473191636927282</v>
      </c>
      <c r="R733" s="10" t="s">
        <v>237</v>
      </c>
      <c r="S733" s="81" t="s">
        <v>29</v>
      </c>
      <c r="T733" s="10" t="s">
        <v>33</v>
      </c>
      <c r="U733" s="10"/>
    </row>
    <row r="734" spans="1:21" x14ac:dyDescent="0.3">
      <c r="A734" s="7" t="s">
        <v>231</v>
      </c>
      <c r="B734" s="7" t="s">
        <v>118</v>
      </c>
      <c r="C734" s="36">
        <v>27168210</v>
      </c>
      <c r="D734" s="8">
        <v>2016</v>
      </c>
      <c r="E734" s="7" t="s">
        <v>11</v>
      </c>
      <c r="F734" s="41">
        <f t="shared" si="67"/>
        <v>2.664879283544996E-2</v>
      </c>
      <c r="G734" s="11">
        <v>9</v>
      </c>
      <c r="H734" s="36">
        <f t="shared" si="68"/>
        <v>589247.59983913554</v>
      </c>
      <c r="I734" s="36">
        <v>7240</v>
      </c>
      <c r="J734" s="9">
        <v>0.13300000000000001</v>
      </c>
      <c r="K734" s="9">
        <v>8</v>
      </c>
      <c r="L734" s="40">
        <f t="shared" si="69"/>
        <v>7703.3600000000006</v>
      </c>
      <c r="M734" s="8">
        <v>7880</v>
      </c>
      <c r="N734" s="9">
        <v>73.8</v>
      </c>
      <c r="O734" s="9">
        <f t="shared" si="70"/>
        <v>581544</v>
      </c>
      <c r="P734" s="75">
        <f t="shared" si="72"/>
        <v>2168.8863559253095</v>
      </c>
      <c r="Q734" s="78">
        <f t="shared" si="71"/>
        <v>99.999999961924445</v>
      </c>
      <c r="R734" s="7" t="s">
        <v>238</v>
      </c>
      <c r="S734" s="80" t="s">
        <v>19</v>
      </c>
      <c r="T734" s="7" t="s">
        <v>78</v>
      </c>
      <c r="U734" s="7"/>
    </row>
    <row r="735" spans="1:21" x14ac:dyDescent="0.3">
      <c r="A735" s="10" t="s">
        <v>231</v>
      </c>
      <c r="B735" s="10" t="s">
        <v>118</v>
      </c>
      <c r="C735" s="37">
        <v>27168210</v>
      </c>
      <c r="D735" s="11">
        <v>2016</v>
      </c>
      <c r="E735" s="10" t="s">
        <v>17</v>
      </c>
      <c r="F735" s="41">
        <f t="shared" si="67"/>
        <v>6.625390483951648E-4</v>
      </c>
      <c r="G735" s="8">
        <v>7</v>
      </c>
      <c r="H735" s="36">
        <f t="shared" si="68"/>
        <v>3243.2446377733386</v>
      </c>
      <c r="I735" s="37">
        <v>180</v>
      </c>
      <c r="J735" s="12">
        <v>0.13300000000000001</v>
      </c>
      <c r="K735" s="12">
        <v>6</v>
      </c>
      <c r="L735" s="40">
        <f t="shared" si="69"/>
        <v>143.64000000000001</v>
      </c>
      <c r="M735" s="11">
        <v>42</v>
      </c>
      <c r="N735" s="12">
        <v>73.8</v>
      </c>
      <c r="O735" s="9">
        <f t="shared" si="70"/>
        <v>3099.6</v>
      </c>
      <c r="P735" s="75">
        <f t="shared" si="72"/>
        <v>11.937645644572605</v>
      </c>
      <c r="Q735" s="78">
        <f t="shared" si="71"/>
        <v>11.252635730528704</v>
      </c>
      <c r="R735" s="10" t="s">
        <v>233</v>
      </c>
      <c r="S735" s="81" t="s">
        <v>19</v>
      </c>
      <c r="T735" s="10" t="s">
        <v>99</v>
      </c>
      <c r="U735" s="10"/>
    </row>
    <row r="736" spans="1:21" ht="22.8" x14ac:dyDescent="0.3">
      <c r="A736" s="7" t="s">
        <v>231</v>
      </c>
      <c r="B736" s="7" t="s">
        <v>118</v>
      </c>
      <c r="C736" s="36">
        <v>27168210</v>
      </c>
      <c r="D736" s="8">
        <v>2016</v>
      </c>
      <c r="E736" s="7" t="s">
        <v>20</v>
      </c>
      <c r="F736" s="41">
        <f t="shared" si="67"/>
        <v>8.8338539786021969E-4</v>
      </c>
      <c r="G736" s="11">
        <v>7</v>
      </c>
      <c r="H736" s="36">
        <f t="shared" si="68"/>
        <v>28235.526183697784</v>
      </c>
      <c r="I736" s="36">
        <v>240</v>
      </c>
      <c r="J736" s="9">
        <v>0.13300000000000001</v>
      </c>
      <c r="K736" s="9">
        <v>6</v>
      </c>
      <c r="L736" s="40">
        <f t="shared" si="69"/>
        <v>191.52</v>
      </c>
      <c r="M736" s="8">
        <v>380</v>
      </c>
      <c r="N736" s="9">
        <v>73.8</v>
      </c>
      <c r="O736" s="9">
        <f t="shared" si="70"/>
        <v>28044</v>
      </c>
      <c r="P736" s="75">
        <f t="shared" si="72"/>
        <v>103.92854804824384</v>
      </c>
      <c r="Q736" s="78">
        <f t="shared" si="71"/>
        <v>64.629267752484537</v>
      </c>
      <c r="R736" s="7" t="s">
        <v>234</v>
      </c>
      <c r="S736" s="80" t="s">
        <v>19</v>
      </c>
      <c r="T736" s="7"/>
      <c r="U736" s="7"/>
    </row>
    <row r="737" spans="1:21" x14ac:dyDescent="0.3">
      <c r="A737" s="10" t="s">
        <v>231</v>
      </c>
      <c r="B737" s="10" t="s">
        <v>118</v>
      </c>
      <c r="C737" s="37">
        <v>27168210</v>
      </c>
      <c r="D737" s="11">
        <v>2016</v>
      </c>
      <c r="E737" s="10" t="s">
        <v>23</v>
      </c>
      <c r="F737" s="41">
        <f t="shared" si="67"/>
        <v>1.3986935466120147E-3</v>
      </c>
      <c r="G737" s="8">
        <v>8</v>
      </c>
      <c r="H737" s="36">
        <f t="shared" si="68"/>
        <v>35777.79118954837</v>
      </c>
      <c r="I737" s="37">
        <v>380</v>
      </c>
      <c r="J737" s="12">
        <v>0.13300000000000001</v>
      </c>
      <c r="K737" s="12">
        <v>7</v>
      </c>
      <c r="L737" s="40">
        <f t="shared" si="69"/>
        <v>353.78000000000003</v>
      </c>
      <c r="M737" s="11">
        <v>480</v>
      </c>
      <c r="N737" s="12">
        <v>73.8</v>
      </c>
      <c r="O737" s="9">
        <f t="shared" si="70"/>
        <v>35424</v>
      </c>
      <c r="P737" s="75">
        <f t="shared" si="72"/>
        <v>131.68990960224605</v>
      </c>
      <c r="Q737" s="78">
        <f t="shared" si="71"/>
        <v>73.203505145134429</v>
      </c>
      <c r="R737" s="10" t="s">
        <v>235</v>
      </c>
      <c r="S737" s="81" t="s">
        <v>25</v>
      </c>
      <c r="T737" s="10" t="s">
        <v>15</v>
      </c>
      <c r="U737" s="10"/>
    </row>
    <row r="738" spans="1:21" ht="22.8" x14ac:dyDescent="0.3">
      <c r="A738" s="7" t="s">
        <v>231</v>
      </c>
      <c r="B738" s="7" t="s">
        <v>118</v>
      </c>
      <c r="C738" s="36">
        <v>27168210</v>
      </c>
      <c r="D738" s="8">
        <v>2016</v>
      </c>
      <c r="E738" s="7" t="s">
        <v>26</v>
      </c>
      <c r="F738" s="41">
        <f t="shared" si="67"/>
        <v>15.459244462553846</v>
      </c>
      <c r="G738" s="11">
        <v>6</v>
      </c>
      <c r="H738" s="36">
        <f t="shared" si="68"/>
        <v>2688092.7554667755</v>
      </c>
      <c r="I738" s="36">
        <v>4200000</v>
      </c>
      <c r="J738" s="9">
        <v>0.128</v>
      </c>
      <c r="K738" s="9">
        <v>5</v>
      </c>
      <c r="L738" s="40">
        <f t="shared" si="69"/>
        <v>2688000</v>
      </c>
      <c r="M738" s="8">
        <v>0</v>
      </c>
      <c r="N738" s="9">
        <v>73.8</v>
      </c>
      <c r="O738" s="9">
        <f t="shared" si="70"/>
        <v>0</v>
      </c>
      <c r="P738" s="75">
        <f t="shared" si="72"/>
        <v>9894.2578678049667</v>
      </c>
      <c r="Q738" s="78">
        <f t="shared" si="71"/>
        <v>100</v>
      </c>
      <c r="R738" s="7" t="s">
        <v>236</v>
      </c>
      <c r="S738" s="80" t="s">
        <v>28</v>
      </c>
      <c r="T738" s="7" t="s">
        <v>83</v>
      </c>
      <c r="U738" s="7"/>
    </row>
    <row r="739" spans="1:21" ht="22.8" x14ac:dyDescent="0.3">
      <c r="A739" s="10" t="s">
        <v>231</v>
      </c>
      <c r="B739" s="10" t="s">
        <v>118</v>
      </c>
      <c r="C739" s="37">
        <v>27168210</v>
      </c>
      <c r="D739" s="11">
        <v>2016</v>
      </c>
      <c r="E739" s="10" t="s">
        <v>30</v>
      </c>
      <c r="F739" s="41">
        <f t="shared" si="67"/>
        <v>1.5459244462553845E-4</v>
      </c>
      <c r="G739" s="8">
        <v>6</v>
      </c>
      <c r="H739" s="36">
        <f t="shared" si="68"/>
        <v>13304.160927554667</v>
      </c>
      <c r="I739" s="37">
        <v>42</v>
      </c>
      <c r="J739" s="12">
        <v>0.12</v>
      </c>
      <c r="K739" s="12">
        <v>4</v>
      </c>
      <c r="L739" s="40">
        <f t="shared" si="69"/>
        <v>20.16</v>
      </c>
      <c r="M739" s="11">
        <v>180</v>
      </c>
      <c r="N739" s="12">
        <v>73.8</v>
      </c>
      <c r="O739" s="9">
        <f t="shared" si="70"/>
        <v>13284</v>
      </c>
      <c r="P739" s="75">
        <f t="shared" si="72"/>
        <v>48.969589559101124</v>
      </c>
      <c r="Q739" s="78">
        <f t="shared" si="71"/>
        <v>38.718727509748909</v>
      </c>
      <c r="R739" s="10" t="s">
        <v>237</v>
      </c>
      <c r="S739" s="81" t="s">
        <v>29</v>
      </c>
      <c r="T739" s="10" t="s">
        <v>33</v>
      </c>
      <c r="U739" s="10"/>
    </row>
    <row r="740" spans="1:21" x14ac:dyDescent="0.3">
      <c r="A740" s="7" t="s">
        <v>231</v>
      </c>
      <c r="B740" s="7" t="s">
        <v>118</v>
      </c>
      <c r="C740" s="36">
        <v>27834819</v>
      </c>
      <c r="D740" s="8">
        <v>2017</v>
      </c>
      <c r="E740" s="7" t="s">
        <v>11</v>
      </c>
      <c r="F740" s="41">
        <f t="shared" si="67"/>
        <v>2.9172095568503607E-2</v>
      </c>
      <c r="G740" s="11">
        <v>9</v>
      </c>
      <c r="H740" s="36">
        <f t="shared" si="68"/>
        <v>690551.94254886021</v>
      </c>
      <c r="I740" s="36">
        <v>8120</v>
      </c>
      <c r="J740" s="9">
        <v>0.13300000000000001</v>
      </c>
      <c r="K740" s="9">
        <v>8</v>
      </c>
      <c r="L740" s="40">
        <f t="shared" si="69"/>
        <v>8639.68</v>
      </c>
      <c r="M740" s="8">
        <v>9240</v>
      </c>
      <c r="N740" s="9">
        <v>73.8</v>
      </c>
      <c r="O740" s="9">
        <f t="shared" si="70"/>
        <v>681912</v>
      </c>
      <c r="P740" s="75">
        <f t="shared" si="72"/>
        <v>2480.8925200801923</v>
      </c>
      <c r="Q740" s="78">
        <f t="shared" si="71"/>
        <v>99.999999998318799</v>
      </c>
      <c r="R740" s="7" t="s">
        <v>239</v>
      </c>
      <c r="S740" s="80" t="s">
        <v>19</v>
      </c>
      <c r="T740" s="7" t="s">
        <v>78</v>
      </c>
      <c r="U740" s="7"/>
    </row>
    <row r="741" spans="1:21" x14ac:dyDescent="0.3">
      <c r="A741" s="10" t="s">
        <v>231</v>
      </c>
      <c r="B741" s="10" t="s">
        <v>118</v>
      </c>
      <c r="C741" s="37">
        <v>27834819</v>
      </c>
      <c r="D741" s="11">
        <v>2017</v>
      </c>
      <c r="E741" s="10" t="s">
        <v>17</v>
      </c>
      <c r="F741" s="41">
        <f t="shared" si="67"/>
        <v>6.4667206925254298E-4</v>
      </c>
      <c r="G741" s="8">
        <v>7</v>
      </c>
      <c r="H741" s="36">
        <f t="shared" si="68"/>
        <v>3243.2445267044845</v>
      </c>
      <c r="I741" s="37">
        <v>180</v>
      </c>
      <c r="J741" s="12">
        <v>0.13300000000000001</v>
      </c>
      <c r="K741" s="12">
        <v>6</v>
      </c>
      <c r="L741" s="40">
        <f t="shared" si="69"/>
        <v>143.64000000000001</v>
      </c>
      <c r="M741" s="11">
        <v>42</v>
      </c>
      <c r="N741" s="12">
        <v>73.8</v>
      </c>
      <c r="O741" s="9">
        <f t="shared" si="70"/>
        <v>3099.6</v>
      </c>
      <c r="P741" s="75">
        <f t="shared" si="72"/>
        <v>11.651753606533186</v>
      </c>
      <c r="Q741" s="78">
        <f t="shared" si="71"/>
        <v>10.998551051240302</v>
      </c>
      <c r="R741" s="10" t="s">
        <v>233</v>
      </c>
      <c r="S741" s="81" t="s">
        <v>19</v>
      </c>
      <c r="T741" s="10" t="s">
        <v>99</v>
      </c>
      <c r="U741" s="10"/>
    </row>
    <row r="742" spans="1:21" ht="22.8" x14ac:dyDescent="0.3">
      <c r="A742" s="7" t="s">
        <v>231</v>
      </c>
      <c r="B742" s="7" t="s">
        <v>118</v>
      </c>
      <c r="C742" s="36">
        <v>27834819</v>
      </c>
      <c r="D742" s="8">
        <v>2017</v>
      </c>
      <c r="E742" s="7" t="s">
        <v>20</v>
      </c>
      <c r="F742" s="41">
        <f t="shared" si="67"/>
        <v>8.6222942567005731E-4</v>
      </c>
      <c r="G742" s="11">
        <v>7</v>
      </c>
      <c r="H742" s="36">
        <f t="shared" si="68"/>
        <v>28235.526035605981</v>
      </c>
      <c r="I742" s="36">
        <v>240</v>
      </c>
      <c r="J742" s="9">
        <v>0.13300000000000001</v>
      </c>
      <c r="K742" s="9">
        <v>6</v>
      </c>
      <c r="L742" s="40">
        <f t="shared" si="69"/>
        <v>191.52</v>
      </c>
      <c r="M742" s="8">
        <v>380</v>
      </c>
      <c r="N742" s="9">
        <v>73.8</v>
      </c>
      <c r="O742" s="9">
        <f t="shared" si="70"/>
        <v>28044</v>
      </c>
      <c r="P742" s="75">
        <f t="shared" si="72"/>
        <v>101.4395891548854</v>
      </c>
      <c r="Q742" s="78">
        <f t="shared" si="71"/>
        <v>63.737857365477012</v>
      </c>
      <c r="R742" s="7" t="s">
        <v>234</v>
      </c>
      <c r="S742" s="80" t="s">
        <v>19</v>
      </c>
      <c r="T742" s="7"/>
      <c r="U742" s="7"/>
    </row>
    <row r="743" spans="1:21" x14ac:dyDescent="0.3">
      <c r="A743" s="10" t="s">
        <v>231</v>
      </c>
      <c r="B743" s="10" t="s">
        <v>118</v>
      </c>
      <c r="C743" s="37">
        <v>27834819</v>
      </c>
      <c r="D743" s="11">
        <v>2017</v>
      </c>
      <c r="E743" s="10" t="s">
        <v>23</v>
      </c>
      <c r="F743" s="41">
        <f t="shared" si="67"/>
        <v>1.3651965906442574E-3</v>
      </c>
      <c r="G743" s="8">
        <v>8</v>
      </c>
      <c r="H743" s="36">
        <f t="shared" si="68"/>
        <v>35777.790921572727</v>
      </c>
      <c r="I743" s="37">
        <v>380</v>
      </c>
      <c r="J743" s="12">
        <v>0.13300000000000001</v>
      </c>
      <c r="K743" s="12">
        <v>7</v>
      </c>
      <c r="L743" s="40">
        <f t="shared" si="69"/>
        <v>353.78000000000003</v>
      </c>
      <c r="M743" s="11">
        <v>480</v>
      </c>
      <c r="N743" s="12">
        <v>73.8</v>
      </c>
      <c r="O743" s="9">
        <f t="shared" si="70"/>
        <v>35424</v>
      </c>
      <c r="P743" s="75">
        <f t="shared" si="72"/>
        <v>128.53610049187935</v>
      </c>
      <c r="Q743" s="78">
        <f t="shared" si="71"/>
        <v>72.344927056449237</v>
      </c>
      <c r="R743" s="10" t="s">
        <v>235</v>
      </c>
      <c r="S743" s="81" t="s">
        <v>25</v>
      </c>
      <c r="T743" s="10" t="s">
        <v>15</v>
      </c>
      <c r="U743" s="10"/>
    </row>
    <row r="744" spans="1:21" ht="22.8" x14ac:dyDescent="0.3">
      <c r="A744" s="7" t="s">
        <v>231</v>
      </c>
      <c r="B744" s="7" t="s">
        <v>118</v>
      </c>
      <c r="C744" s="36">
        <v>27834819</v>
      </c>
      <c r="D744" s="8">
        <v>2017</v>
      </c>
      <c r="E744" s="7" t="s">
        <v>26</v>
      </c>
      <c r="F744" s="41">
        <f t="shared" si="67"/>
        <v>15.089014949226003</v>
      </c>
      <c r="G744" s="11">
        <v>6</v>
      </c>
      <c r="H744" s="36">
        <f t="shared" si="68"/>
        <v>2688090.5340896952</v>
      </c>
      <c r="I744" s="36">
        <v>4200000</v>
      </c>
      <c r="J744" s="9">
        <v>0.128</v>
      </c>
      <c r="K744" s="9">
        <v>5</v>
      </c>
      <c r="L744" s="40">
        <f t="shared" si="69"/>
        <v>2688000</v>
      </c>
      <c r="M744" s="8">
        <v>0</v>
      </c>
      <c r="N744" s="9">
        <v>73.8</v>
      </c>
      <c r="O744" s="9">
        <f t="shared" si="70"/>
        <v>0</v>
      </c>
      <c r="P744" s="75">
        <f t="shared" si="72"/>
        <v>9657.2948223219828</v>
      </c>
      <c r="Q744" s="78">
        <f t="shared" si="71"/>
        <v>100</v>
      </c>
      <c r="R744" s="7" t="s">
        <v>236</v>
      </c>
      <c r="S744" s="80" t="s">
        <v>28</v>
      </c>
      <c r="T744" s="7" t="s">
        <v>83</v>
      </c>
      <c r="U744" s="7"/>
    </row>
    <row r="745" spans="1:21" ht="22.8" x14ac:dyDescent="0.3">
      <c r="A745" s="10" t="s">
        <v>231</v>
      </c>
      <c r="B745" s="10" t="s">
        <v>118</v>
      </c>
      <c r="C745" s="37">
        <v>27834819</v>
      </c>
      <c r="D745" s="11">
        <v>2017</v>
      </c>
      <c r="E745" s="10" t="s">
        <v>30</v>
      </c>
      <c r="F745" s="41">
        <f t="shared" si="67"/>
        <v>1.5089014949226003E-4</v>
      </c>
      <c r="G745" s="8">
        <v>6</v>
      </c>
      <c r="H745" s="36">
        <f t="shared" si="68"/>
        <v>13304.160905340897</v>
      </c>
      <c r="I745" s="37">
        <v>42</v>
      </c>
      <c r="J745" s="12">
        <v>0.12</v>
      </c>
      <c r="K745" s="12">
        <v>4</v>
      </c>
      <c r="L745" s="40">
        <f t="shared" si="69"/>
        <v>20.16</v>
      </c>
      <c r="M745" s="11">
        <v>180</v>
      </c>
      <c r="N745" s="12">
        <v>73.8</v>
      </c>
      <c r="O745" s="9">
        <f t="shared" si="70"/>
        <v>13284</v>
      </c>
      <c r="P745" s="75">
        <f t="shared" si="72"/>
        <v>47.796829235142134</v>
      </c>
      <c r="Q745" s="78">
        <f t="shared" si="71"/>
        <v>37.995814326039245</v>
      </c>
      <c r="R745" s="10" t="s">
        <v>237</v>
      </c>
      <c r="S745" s="81" t="s">
        <v>29</v>
      </c>
      <c r="T745" s="10" t="s">
        <v>33</v>
      </c>
      <c r="U745" s="10"/>
    </row>
    <row r="746" spans="1:21" x14ac:dyDescent="0.3">
      <c r="A746" s="7" t="s">
        <v>231</v>
      </c>
      <c r="B746" s="7" t="s">
        <v>118</v>
      </c>
      <c r="C746" s="36">
        <v>28498687</v>
      </c>
      <c r="D746" s="8">
        <v>2018</v>
      </c>
      <c r="E746" s="7" t="s">
        <v>11</v>
      </c>
      <c r="F746" s="41">
        <f t="shared" si="67"/>
        <v>3.4527906496183494E-2</v>
      </c>
      <c r="G746" s="11">
        <v>9</v>
      </c>
      <c r="H746" s="36">
        <f t="shared" si="68"/>
        <v>783894.07075115852</v>
      </c>
      <c r="I746" s="36">
        <v>9840</v>
      </c>
      <c r="J746" s="9">
        <v>0.13300000000000001</v>
      </c>
      <c r="K746" s="9">
        <v>8</v>
      </c>
      <c r="L746" s="40">
        <f t="shared" si="69"/>
        <v>10469.76</v>
      </c>
      <c r="M746" s="8">
        <v>10480</v>
      </c>
      <c r="N746" s="9">
        <v>73.8</v>
      </c>
      <c r="O746" s="9">
        <f t="shared" si="70"/>
        <v>773424</v>
      </c>
      <c r="P746" s="75">
        <f t="shared" si="72"/>
        <v>2750.632233517139</v>
      </c>
      <c r="Q746" s="78">
        <f t="shared" si="71"/>
        <v>99.999999999886725</v>
      </c>
      <c r="R746" s="7" t="s">
        <v>240</v>
      </c>
      <c r="S746" s="80" t="s">
        <v>19</v>
      </c>
      <c r="T746" s="7" t="s">
        <v>78</v>
      </c>
      <c r="U746" s="7"/>
    </row>
    <row r="747" spans="1:21" x14ac:dyDescent="0.3">
      <c r="A747" s="10" t="s">
        <v>231</v>
      </c>
      <c r="B747" s="10" t="s">
        <v>118</v>
      </c>
      <c r="C747" s="37">
        <v>28498687</v>
      </c>
      <c r="D747" s="11">
        <v>2018</v>
      </c>
      <c r="E747" s="10" t="s">
        <v>17</v>
      </c>
      <c r="F747" s="41">
        <f t="shared" si="67"/>
        <v>6.3160804566189308E-4</v>
      </c>
      <c r="G747" s="8">
        <v>7</v>
      </c>
      <c r="H747" s="36">
        <f t="shared" si="68"/>
        <v>3243.2444212563196</v>
      </c>
      <c r="I747" s="37">
        <v>180</v>
      </c>
      <c r="J747" s="12">
        <v>0.13300000000000001</v>
      </c>
      <c r="K747" s="12">
        <v>6</v>
      </c>
      <c r="L747" s="40">
        <f t="shared" si="69"/>
        <v>143.64000000000001</v>
      </c>
      <c r="M747" s="11">
        <v>42</v>
      </c>
      <c r="N747" s="12">
        <v>73.8</v>
      </c>
      <c r="O747" s="9">
        <f t="shared" si="70"/>
        <v>3099.6</v>
      </c>
      <c r="P747" s="75">
        <f t="shared" si="72"/>
        <v>11.380329280630786</v>
      </c>
      <c r="Q747" s="78">
        <f t="shared" si="71"/>
        <v>10.756651329551881</v>
      </c>
      <c r="R747" s="10" t="s">
        <v>233</v>
      </c>
      <c r="S747" s="81" t="s">
        <v>19</v>
      </c>
      <c r="T747" s="10" t="s">
        <v>99</v>
      </c>
      <c r="U747" s="10"/>
    </row>
    <row r="748" spans="1:21" ht="22.8" x14ac:dyDescent="0.3">
      <c r="A748" s="7" t="s">
        <v>231</v>
      </c>
      <c r="B748" s="7" t="s">
        <v>118</v>
      </c>
      <c r="C748" s="36">
        <v>28498687</v>
      </c>
      <c r="D748" s="8">
        <v>2018</v>
      </c>
      <c r="E748" s="7" t="s">
        <v>20</v>
      </c>
      <c r="F748" s="41">
        <f t="shared" si="67"/>
        <v>8.4214406088252414E-4</v>
      </c>
      <c r="G748" s="11">
        <v>7</v>
      </c>
      <c r="H748" s="36">
        <f t="shared" si="68"/>
        <v>28235.525895008428</v>
      </c>
      <c r="I748" s="36">
        <v>240</v>
      </c>
      <c r="J748" s="9">
        <v>0.13300000000000001</v>
      </c>
      <c r="K748" s="9">
        <v>6</v>
      </c>
      <c r="L748" s="40">
        <f t="shared" si="69"/>
        <v>191.52</v>
      </c>
      <c r="M748" s="8">
        <v>380</v>
      </c>
      <c r="N748" s="9">
        <v>73.8</v>
      </c>
      <c r="O748" s="9">
        <f t="shared" si="70"/>
        <v>28044</v>
      </c>
      <c r="P748" s="75">
        <f t="shared" si="72"/>
        <v>99.076585159900276</v>
      </c>
      <c r="Q748" s="78">
        <f t="shared" si="71"/>
        <v>62.870777263854727</v>
      </c>
      <c r="R748" s="7" t="s">
        <v>234</v>
      </c>
      <c r="S748" s="80" t="s">
        <v>19</v>
      </c>
      <c r="T748" s="7"/>
      <c r="U748" s="7"/>
    </row>
    <row r="749" spans="1:21" x14ac:dyDescent="0.3">
      <c r="A749" s="10" t="s">
        <v>231</v>
      </c>
      <c r="B749" s="10" t="s">
        <v>118</v>
      </c>
      <c r="C749" s="37">
        <v>28498687</v>
      </c>
      <c r="D749" s="11">
        <v>2018</v>
      </c>
      <c r="E749" s="10" t="s">
        <v>23</v>
      </c>
      <c r="F749" s="41">
        <f t="shared" si="67"/>
        <v>1.3333947630639967E-3</v>
      </c>
      <c r="G749" s="8">
        <v>8</v>
      </c>
      <c r="H749" s="36">
        <f t="shared" si="68"/>
        <v>35777.7906671581</v>
      </c>
      <c r="I749" s="37">
        <v>380</v>
      </c>
      <c r="J749" s="12">
        <v>0.13300000000000001</v>
      </c>
      <c r="K749" s="12">
        <v>7</v>
      </c>
      <c r="L749" s="40">
        <f t="shared" si="69"/>
        <v>353.78000000000003</v>
      </c>
      <c r="M749" s="11">
        <v>480</v>
      </c>
      <c r="N749" s="12">
        <v>73.8</v>
      </c>
      <c r="O749" s="9">
        <f t="shared" si="70"/>
        <v>35424</v>
      </c>
      <c r="P749" s="75">
        <f t="shared" si="72"/>
        <v>125.54189134102248</v>
      </c>
      <c r="Q749" s="78">
        <f t="shared" si="71"/>
        <v>71.504354886103272</v>
      </c>
      <c r="R749" s="10" t="s">
        <v>235</v>
      </c>
      <c r="S749" s="81" t="s">
        <v>25</v>
      </c>
      <c r="T749" s="10" t="s">
        <v>15</v>
      </c>
      <c r="U749" s="10"/>
    </row>
    <row r="750" spans="1:21" ht="22.8" x14ac:dyDescent="0.3">
      <c r="A750" s="7" t="s">
        <v>231</v>
      </c>
      <c r="B750" s="7" t="s">
        <v>118</v>
      </c>
      <c r="C750" s="36">
        <v>28498687</v>
      </c>
      <c r="D750" s="8">
        <v>2018</v>
      </c>
      <c r="E750" s="7" t="s">
        <v>26</v>
      </c>
      <c r="F750" s="41">
        <f t="shared" si="67"/>
        <v>14.737521065444174</v>
      </c>
      <c r="G750" s="11">
        <v>6</v>
      </c>
      <c r="H750" s="36">
        <f t="shared" si="68"/>
        <v>2688088.4251263929</v>
      </c>
      <c r="I750" s="36">
        <v>4200000</v>
      </c>
      <c r="J750" s="9">
        <v>0.128</v>
      </c>
      <c r="K750" s="9">
        <v>5</v>
      </c>
      <c r="L750" s="40">
        <f t="shared" si="69"/>
        <v>2688000</v>
      </c>
      <c r="M750" s="8">
        <v>0</v>
      </c>
      <c r="N750" s="9">
        <v>73.8</v>
      </c>
      <c r="O750" s="9">
        <f t="shared" si="70"/>
        <v>0</v>
      </c>
      <c r="P750" s="75">
        <f t="shared" si="72"/>
        <v>9432.3237597802054</v>
      </c>
      <c r="Q750" s="78">
        <f t="shared" si="71"/>
        <v>100</v>
      </c>
      <c r="R750" s="7" t="s">
        <v>236</v>
      </c>
      <c r="S750" s="80" t="s">
        <v>28</v>
      </c>
      <c r="T750" s="7" t="s">
        <v>83</v>
      </c>
      <c r="U750" s="7"/>
    </row>
    <row r="751" spans="1:21" ht="22.8" x14ac:dyDescent="0.3">
      <c r="A751" s="10" t="s">
        <v>231</v>
      </c>
      <c r="B751" s="10" t="s">
        <v>118</v>
      </c>
      <c r="C751" s="37">
        <v>28498687</v>
      </c>
      <c r="D751" s="11">
        <v>2018</v>
      </c>
      <c r="E751" s="10" t="s">
        <v>30</v>
      </c>
      <c r="F751" s="41">
        <f t="shared" si="67"/>
        <v>1.4737521065444172E-4</v>
      </c>
      <c r="G751" s="8">
        <v>6</v>
      </c>
      <c r="H751" s="36">
        <f t="shared" si="68"/>
        <v>13304.160884251263</v>
      </c>
      <c r="I751" s="37">
        <v>42</v>
      </c>
      <c r="J751" s="12">
        <v>0.12</v>
      </c>
      <c r="K751" s="12">
        <v>4</v>
      </c>
      <c r="L751" s="40">
        <f t="shared" si="69"/>
        <v>20.16</v>
      </c>
      <c r="M751" s="11">
        <v>180</v>
      </c>
      <c r="N751" s="12">
        <v>73.8</v>
      </c>
      <c r="O751" s="9">
        <f t="shared" si="70"/>
        <v>13284</v>
      </c>
      <c r="P751" s="75">
        <f t="shared" si="72"/>
        <v>46.683416973740798</v>
      </c>
      <c r="Q751" s="78">
        <f t="shared" si="71"/>
        <v>37.301594527764003</v>
      </c>
      <c r="R751" s="10" t="s">
        <v>237</v>
      </c>
      <c r="S751" s="81" t="s">
        <v>29</v>
      </c>
      <c r="T751" s="10" t="s">
        <v>33</v>
      </c>
      <c r="U751" s="10"/>
    </row>
    <row r="752" spans="1:21" x14ac:dyDescent="0.3">
      <c r="A752" s="7" t="s">
        <v>231</v>
      </c>
      <c r="B752" s="7" t="s">
        <v>118</v>
      </c>
      <c r="C752" s="36">
        <v>29161922</v>
      </c>
      <c r="D752" s="8">
        <v>2019</v>
      </c>
      <c r="E752" s="7" t="s">
        <v>11</v>
      </c>
      <c r="F752" s="41">
        <f t="shared" si="67"/>
        <v>3.5114283619577615E-2</v>
      </c>
      <c r="G752" s="11">
        <v>9</v>
      </c>
      <c r="H752" s="36">
        <f t="shared" si="68"/>
        <v>837455.67602855258</v>
      </c>
      <c r="I752" s="36">
        <v>10240</v>
      </c>
      <c r="J752" s="9">
        <v>0.13300000000000001</v>
      </c>
      <c r="K752" s="9">
        <v>8</v>
      </c>
      <c r="L752" s="40">
        <f t="shared" si="69"/>
        <v>10895.36</v>
      </c>
      <c r="M752" s="8">
        <v>11200</v>
      </c>
      <c r="N752" s="9">
        <v>73.8</v>
      </c>
      <c r="O752" s="9">
        <f t="shared" si="70"/>
        <v>826560</v>
      </c>
      <c r="P752" s="75">
        <f t="shared" si="72"/>
        <v>2871.7437623917676</v>
      </c>
      <c r="Q752" s="78">
        <f t="shared" si="71"/>
        <v>99.999999999966263</v>
      </c>
      <c r="R752" s="7" t="s">
        <v>241</v>
      </c>
      <c r="S752" s="80" t="s">
        <v>19</v>
      </c>
      <c r="T752" s="7" t="s">
        <v>78</v>
      </c>
      <c r="U752" s="7"/>
    </row>
    <row r="753" spans="1:21" x14ac:dyDescent="0.3">
      <c r="A753" s="10" t="s">
        <v>231</v>
      </c>
      <c r="B753" s="10" t="s">
        <v>118</v>
      </c>
      <c r="C753" s="37">
        <v>29161922</v>
      </c>
      <c r="D753" s="11">
        <v>2019</v>
      </c>
      <c r="E753" s="10" t="s">
        <v>17</v>
      </c>
      <c r="F753" s="41">
        <f t="shared" si="67"/>
        <v>6.1724326675038769E-4</v>
      </c>
      <c r="G753" s="8">
        <v>7</v>
      </c>
      <c r="H753" s="36">
        <f t="shared" si="68"/>
        <v>3243.2443207028668</v>
      </c>
      <c r="I753" s="37">
        <v>180</v>
      </c>
      <c r="J753" s="12">
        <v>0.13300000000000001</v>
      </c>
      <c r="K753" s="12">
        <v>6</v>
      </c>
      <c r="L753" s="40">
        <f t="shared" si="69"/>
        <v>143.64000000000001</v>
      </c>
      <c r="M753" s="11">
        <v>42</v>
      </c>
      <c r="N753" s="12">
        <v>73.8</v>
      </c>
      <c r="O753" s="9">
        <f t="shared" si="70"/>
        <v>3099.6</v>
      </c>
      <c r="P753" s="75">
        <f t="shared" si="72"/>
        <v>11.121503996557109</v>
      </c>
      <c r="Q753" s="78">
        <f t="shared" si="71"/>
        <v>10.525367797824769</v>
      </c>
      <c r="R753" s="10" t="s">
        <v>233</v>
      </c>
      <c r="S753" s="81" t="s">
        <v>19</v>
      </c>
      <c r="T753" s="10" t="s">
        <v>99</v>
      </c>
      <c r="U753" s="10"/>
    </row>
    <row r="754" spans="1:21" ht="22.8" x14ac:dyDescent="0.3">
      <c r="A754" s="7" t="s">
        <v>231</v>
      </c>
      <c r="B754" s="7" t="s">
        <v>118</v>
      </c>
      <c r="C754" s="36">
        <v>29161922</v>
      </c>
      <c r="D754" s="8">
        <v>2019</v>
      </c>
      <c r="E754" s="7" t="s">
        <v>20</v>
      </c>
      <c r="F754" s="41">
        <f t="shared" si="67"/>
        <v>8.2299102233385029E-4</v>
      </c>
      <c r="G754" s="11">
        <v>7</v>
      </c>
      <c r="H754" s="36">
        <f t="shared" si="68"/>
        <v>28235.525760937158</v>
      </c>
      <c r="I754" s="36">
        <v>240</v>
      </c>
      <c r="J754" s="9">
        <v>0.13300000000000001</v>
      </c>
      <c r="K754" s="9">
        <v>6</v>
      </c>
      <c r="L754" s="40">
        <f t="shared" si="69"/>
        <v>191.52</v>
      </c>
      <c r="M754" s="8">
        <v>380</v>
      </c>
      <c r="N754" s="9">
        <v>73.8</v>
      </c>
      <c r="O754" s="9">
        <f t="shared" si="70"/>
        <v>28044</v>
      </c>
      <c r="P754" s="75">
        <f t="shared" si="72"/>
        <v>96.823267550531</v>
      </c>
      <c r="Q754" s="78">
        <f t="shared" si="71"/>
        <v>62.024640678814166</v>
      </c>
      <c r="R754" s="7" t="s">
        <v>234</v>
      </c>
      <c r="S754" s="80" t="s">
        <v>19</v>
      </c>
      <c r="T754" s="7"/>
      <c r="U754" s="7"/>
    </row>
    <row r="755" spans="1:21" x14ac:dyDescent="0.3">
      <c r="A755" s="10" t="s">
        <v>231</v>
      </c>
      <c r="B755" s="10" t="s">
        <v>118</v>
      </c>
      <c r="C755" s="37">
        <v>29161922</v>
      </c>
      <c r="D755" s="11">
        <v>2019</v>
      </c>
      <c r="E755" s="10" t="s">
        <v>23</v>
      </c>
      <c r="F755" s="41">
        <f t="shared" si="67"/>
        <v>1.3030691186952631E-3</v>
      </c>
      <c r="G755" s="8">
        <v>8</v>
      </c>
      <c r="H755" s="36">
        <f>O755+L755+(G755*F755)</f>
        <v>35777.79042455295</v>
      </c>
      <c r="I755" s="37">
        <v>380</v>
      </c>
      <c r="J755" s="12">
        <v>0.13300000000000001</v>
      </c>
      <c r="K755" s="12">
        <v>7</v>
      </c>
      <c r="L755" s="40">
        <f t="shared" si="69"/>
        <v>353.78000000000003</v>
      </c>
      <c r="M755" s="11">
        <v>480</v>
      </c>
      <c r="N755" s="12">
        <v>73.8</v>
      </c>
      <c r="O755" s="9">
        <f t="shared" si="70"/>
        <v>35424</v>
      </c>
      <c r="P755" s="75">
        <f t="shared" si="72"/>
        <v>122.68666799312112</v>
      </c>
      <c r="Q755" s="78">
        <f t="shared" si="71"/>
        <v>70.679013980013877</v>
      </c>
      <c r="R755" s="10" t="s">
        <v>235</v>
      </c>
      <c r="S755" s="81" t="s">
        <v>25</v>
      </c>
      <c r="T755" s="10" t="s">
        <v>15</v>
      </c>
      <c r="U755" s="10"/>
    </row>
    <row r="756" spans="1:21" ht="22.8" x14ac:dyDescent="0.3">
      <c r="A756" s="7" t="s">
        <v>231</v>
      </c>
      <c r="B756" s="7" t="s">
        <v>118</v>
      </c>
      <c r="C756" s="36">
        <v>29161922</v>
      </c>
      <c r="D756" s="8">
        <v>2019</v>
      </c>
      <c r="E756" s="7" t="s">
        <v>26</v>
      </c>
      <c r="F756" s="41">
        <f t="shared" si="67"/>
        <v>14.40234289084238</v>
      </c>
      <c r="G756" s="11">
        <v>6</v>
      </c>
      <c r="H756" s="36">
        <f t="shared" si="68"/>
        <v>2688086.4140573451</v>
      </c>
      <c r="I756" s="36">
        <v>4200000</v>
      </c>
      <c r="J756" s="9">
        <v>0.128</v>
      </c>
      <c r="K756" s="9">
        <v>5</v>
      </c>
      <c r="L756" s="40">
        <f t="shared" si="69"/>
        <v>2688000</v>
      </c>
      <c r="M756" s="8">
        <v>0</v>
      </c>
      <c r="N756" s="9">
        <v>73.8</v>
      </c>
      <c r="O756" s="9">
        <f t="shared" si="70"/>
        <v>0</v>
      </c>
      <c r="P756" s="75">
        <f t="shared" si="72"/>
        <v>9217.7957751116173</v>
      </c>
      <c r="Q756" s="78">
        <f t="shared" si="71"/>
        <v>100</v>
      </c>
      <c r="R756" s="7" t="s">
        <v>236</v>
      </c>
      <c r="S756" s="80" t="s">
        <v>28</v>
      </c>
      <c r="T756" s="7" t="s">
        <v>83</v>
      </c>
      <c r="U756" s="7"/>
    </row>
    <row r="757" spans="1:21" ht="22.8" x14ac:dyDescent="0.3">
      <c r="A757" s="10" t="s">
        <v>231</v>
      </c>
      <c r="B757" s="10" t="s">
        <v>118</v>
      </c>
      <c r="C757" s="37">
        <v>29161922</v>
      </c>
      <c r="D757" s="11">
        <v>2019</v>
      </c>
      <c r="E757" s="10" t="s">
        <v>30</v>
      </c>
      <c r="F757" s="41">
        <f t="shared" si="67"/>
        <v>1.4402342890842379E-4</v>
      </c>
      <c r="G757" s="8">
        <v>6</v>
      </c>
      <c r="H757" s="36">
        <f t="shared" si="68"/>
        <v>13304.160864140573</v>
      </c>
      <c r="I757" s="37">
        <v>42</v>
      </c>
      <c r="J757" s="12">
        <v>0.12</v>
      </c>
      <c r="K757" s="12">
        <v>4</v>
      </c>
      <c r="L757" s="40">
        <f t="shared" si="69"/>
        <v>20.16</v>
      </c>
      <c r="M757" s="11">
        <v>180</v>
      </c>
      <c r="N757" s="12">
        <v>73.8</v>
      </c>
      <c r="O757" s="9">
        <f t="shared" si="70"/>
        <v>13284</v>
      </c>
      <c r="P757" s="75">
        <f t="shared" si="72"/>
        <v>45.621687295304376</v>
      </c>
      <c r="Q757" s="78">
        <f t="shared" si="71"/>
        <v>36.632360507569871</v>
      </c>
      <c r="R757" s="10" t="s">
        <v>237</v>
      </c>
      <c r="S757" s="81" t="s">
        <v>29</v>
      </c>
      <c r="T757" s="10" t="s">
        <v>33</v>
      </c>
      <c r="U757" s="10"/>
    </row>
    <row r="758" spans="1:21" x14ac:dyDescent="0.3">
      <c r="A758" s="7" t="s">
        <v>231</v>
      </c>
      <c r="B758" s="7" t="s">
        <v>118</v>
      </c>
      <c r="C758" s="36">
        <v>29825968</v>
      </c>
      <c r="D758" s="8">
        <v>2020</v>
      </c>
      <c r="E758" s="7" t="s">
        <v>11</v>
      </c>
      <c r="F758" s="41">
        <f t="shared" si="67"/>
        <v>2.9906824817890237E-2</v>
      </c>
      <c r="G758" s="11">
        <v>9</v>
      </c>
      <c r="H758" s="36">
        <f t="shared" si="68"/>
        <v>735683.14916142332</v>
      </c>
      <c r="I758" s="36">
        <v>8920</v>
      </c>
      <c r="J758" s="9">
        <v>0.13300000000000001</v>
      </c>
      <c r="K758" s="9">
        <v>8</v>
      </c>
      <c r="L758" s="40">
        <f t="shared" si="69"/>
        <v>9490.880000000001</v>
      </c>
      <c r="M758" s="8">
        <v>9840</v>
      </c>
      <c r="N758" s="9">
        <v>73.8</v>
      </c>
      <c r="O758" s="9">
        <f t="shared" si="70"/>
        <v>726192</v>
      </c>
      <c r="P758" s="75">
        <f t="shared" si="72"/>
        <v>2466.5859936596971</v>
      </c>
      <c r="Q758" s="78">
        <f t="shared" si="71"/>
        <v>99.999999998060218</v>
      </c>
      <c r="R758" s="7" t="s">
        <v>242</v>
      </c>
      <c r="S758" s="80" t="s">
        <v>19</v>
      </c>
      <c r="T758" s="7" t="s">
        <v>78</v>
      </c>
      <c r="U758" s="7"/>
    </row>
    <row r="759" spans="1:21" x14ac:dyDescent="0.3">
      <c r="A759" s="10" t="s">
        <v>231</v>
      </c>
      <c r="B759" s="10" t="s">
        <v>118</v>
      </c>
      <c r="C759" s="37">
        <v>29825968</v>
      </c>
      <c r="D759" s="11">
        <v>2020</v>
      </c>
      <c r="E759" s="10" t="s">
        <v>17</v>
      </c>
      <c r="F759" s="41">
        <f t="shared" si="67"/>
        <v>6.035009492399375E-4</v>
      </c>
      <c r="G759" s="8">
        <v>7</v>
      </c>
      <c r="H759" s="36">
        <f t="shared" si="68"/>
        <v>3243.2442245066445</v>
      </c>
      <c r="I759" s="37">
        <v>180</v>
      </c>
      <c r="J759" s="12">
        <v>0.13300000000000001</v>
      </c>
      <c r="K759" s="12">
        <v>6</v>
      </c>
      <c r="L759" s="40">
        <f t="shared" si="69"/>
        <v>143.64000000000001</v>
      </c>
      <c r="M759" s="11">
        <v>42</v>
      </c>
      <c r="N759" s="12">
        <v>73.8</v>
      </c>
      <c r="O759" s="9">
        <f t="shared" si="70"/>
        <v>3099.6</v>
      </c>
      <c r="P759" s="75">
        <f t="shared" si="72"/>
        <v>10.873894267259471</v>
      </c>
      <c r="Q759" s="78">
        <f t="shared" si="71"/>
        <v>10.303545389640512</v>
      </c>
      <c r="R759" s="10" t="s">
        <v>233</v>
      </c>
      <c r="S759" s="81" t="s">
        <v>19</v>
      </c>
      <c r="T759" s="10" t="s">
        <v>99</v>
      </c>
      <c r="U759" s="10"/>
    </row>
    <row r="760" spans="1:21" ht="22.8" x14ac:dyDescent="0.3">
      <c r="A760" s="7" t="s">
        <v>231</v>
      </c>
      <c r="B760" s="7" t="s">
        <v>118</v>
      </c>
      <c r="C760" s="36">
        <v>29825968</v>
      </c>
      <c r="D760" s="8">
        <v>2020</v>
      </c>
      <c r="E760" s="7" t="s">
        <v>20</v>
      </c>
      <c r="F760" s="41">
        <f t="shared" si="67"/>
        <v>8.046679323199167E-4</v>
      </c>
      <c r="G760" s="11">
        <v>7</v>
      </c>
      <c r="H760" s="36">
        <f t="shared" si="68"/>
        <v>28235.525632675526</v>
      </c>
      <c r="I760" s="36">
        <v>240</v>
      </c>
      <c r="J760" s="9">
        <v>0.13300000000000001</v>
      </c>
      <c r="K760" s="9">
        <v>6</v>
      </c>
      <c r="L760" s="40">
        <f t="shared" si="69"/>
        <v>191.52</v>
      </c>
      <c r="M760" s="8">
        <v>380</v>
      </c>
      <c r="N760" s="9">
        <v>73.8</v>
      </c>
      <c r="O760" s="9">
        <f t="shared" si="70"/>
        <v>28044</v>
      </c>
      <c r="P760" s="75">
        <f t="shared" si="72"/>
        <v>94.667591786712592</v>
      </c>
      <c r="Q760" s="78">
        <f t="shared" si="71"/>
        <v>61.197127859821833</v>
      </c>
      <c r="R760" s="7" t="s">
        <v>234</v>
      </c>
      <c r="S760" s="80" t="s">
        <v>19</v>
      </c>
      <c r="T760" s="7"/>
      <c r="U760" s="7"/>
    </row>
    <row r="761" spans="1:21" x14ac:dyDescent="0.3">
      <c r="A761" s="10" t="s">
        <v>231</v>
      </c>
      <c r="B761" s="10" t="s">
        <v>118</v>
      </c>
      <c r="C761" s="37">
        <v>29825968</v>
      </c>
      <c r="D761" s="11">
        <v>2020</v>
      </c>
      <c r="E761" s="10" t="s">
        <v>23</v>
      </c>
      <c r="F761" s="41">
        <f t="shared" si="67"/>
        <v>1.2740575595065347E-3</v>
      </c>
      <c r="G761" s="8">
        <v>8</v>
      </c>
      <c r="H761" s="36">
        <f t="shared" si="68"/>
        <v>35777.790192460474</v>
      </c>
      <c r="I761" s="37">
        <v>380</v>
      </c>
      <c r="J761" s="12">
        <v>0.13300000000000001</v>
      </c>
      <c r="K761" s="12">
        <v>7</v>
      </c>
      <c r="L761" s="40">
        <f t="shared" si="69"/>
        <v>353.78000000000003</v>
      </c>
      <c r="M761" s="11">
        <v>480</v>
      </c>
      <c r="N761" s="12">
        <v>73.8</v>
      </c>
      <c r="O761" s="9">
        <f t="shared" si="70"/>
        <v>35424</v>
      </c>
      <c r="P761" s="75">
        <f t="shared" si="72"/>
        <v>119.95516857142901</v>
      </c>
      <c r="Q761" s="78">
        <f t="shared" si="71"/>
        <v>69.867072814743622</v>
      </c>
      <c r="R761" s="10" t="s">
        <v>235</v>
      </c>
      <c r="S761" s="81" t="s">
        <v>25</v>
      </c>
      <c r="T761" s="10" t="s">
        <v>15</v>
      </c>
      <c r="U761" s="10"/>
    </row>
    <row r="762" spans="1:21" ht="22.8" x14ac:dyDescent="0.3">
      <c r="A762" s="7" t="s">
        <v>231</v>
      </c>
      <c r="B762" s="7" t="s">
        <v>118</v>
      </c>
      <c r="C762" s="36">
        <v>29825968</v>
      </c>
      <c r="D762" s="8">
        <v>2020</v>
      </c>
      <c r="E762" s="7" t="s">
        <v>26</v>
      </c>
      <c r="F762" s="41">
        <f t="shared" si="67"/>
        <v>14.081688815598541</v>
      </c>
      <c r="G762" s="11">
        <v>6</v>
      </c>
      <c r="H762" s="36">
        <f t="shared" si="68"/>
        <v>2688084.4901328934</v>
      </c>
      <c r="I762" s="36">
        <v>4200000</v>
      </c>
      <c r="J762" s="9">
        <v>0.128</v>
      </c>
      <c r="K762" s="9">
        <v>5</v>
      </c>
      <c r="L762" s="40">
        <f t="shared" si="69"/>
        <v>2688000</v>
      </c>
      <c r="M762" s="8">
        <v>0</v>
      </c>
      <c r="N762" s="9">
        <v>73.8</v>
      </c>
      <c r="O762" s="9">
        <f t="shared" si="70"/>
        <v>0</v>
      </c>
      <c r="P762" s="75">
        <f t="shared" si="72"/>
        <v>9012.5641190686365</v>
      </c>
      <c r="Q762" s="78">
        <f t="shared" si="71"/>
        <v>100</v>
      </c>
      <c r="R762" s="7" t="s">
        <v>236</v>
      </c>
      <c r="S762" s="80" t="s">
        <v>28</v>
      </c>
      <c r="T762" s="7" t="s">
        <v>83</v>
      </c>
      <c r="U762" s="7"/>
    </row>
    <row r="763" spans="1:21" ht="22.8" x14ac:dyDescent="0.3">
      <c r="A763" s="10" t="s">
        <v>231</v>
      </c>
      <c r="B763" s="10" t="s">
        <v>118</v>
      </c>
      <c r="C763" s="37">
        <v>29825968</v>
      </c>
      <c r="D763" s="11">
        <v>2020</v>
      </c>
      <c r="E763" s="10" t="s">
        <v>30</v>
      </c>
      <c r="F763" s="41">
        <f t="shared" si="67"/>
        <v>1.408168881559854E-4</v>
      </c>
      <c r="G763" s="8">
        <v>6</v>
      </c>
      <c r="H763" s="36">
        <f t="shared" si="68"/>
        <v>13304.160844901329</v>
      </c>
      <c r="I763" s="37">
        <v>42</v>
      </c>
      <c r="J763" s="12">
        <v>0.12</v>
      </c>
      <c r="K763" s="12">
        <v>4</v>
      </c>
      <c r="L763" s="40">
        <f t="shared" si="69"/>
        <v>20.16</v>
      </c>
      <c r="M763" s="11">
        <v>180</v>
      </c>
      <c r="N763" s="12">
        <v>73.8</v>
      </c>
      <c r="O763" s="9">
        <f t="shared" si="70"/>
        <v>13284</v>
      </c>
      <c r="P763" s="75">
        <f t="shared" si="72"/>
        <v>44.605964992993115</v>
      </c>
      <c r="Q763" s="78">
        <f t="shared" si="71"/>
        <v>35.985441371659853</v>
      </c>
      <c r="R763" s="10" t="s">
        <v>237</v>
      </c>
      <c r="S763" s="81" t="s">
        <v>29</v>
      </c>
      <c r="T763" s="10" t="s">
        <v>33</v>
      </c>
      <c r="U763" s="10"/>
    </row>
    <row r="764" spans="1:21" x14ac:dyDescent="0.3">
      <c r="A764" s="7" t="s">
        <v>231</v>
      </c>
      <c r="B764" s="7" t="s">
        <v>118</v>
      </c>
      <c r="C764" s="36">
        <v>30491000</v>
      </c>
      <c r="D764" s="8">
        <v>2021</v>
      </c>
      <c r="E764" s="7" t="s">
        <v>11</v>
      </c>
      <c r="F764" s="41">
        <f t="shared" si="67"/>
        <v>4.0930110524417043E-2</v>
      </c>
      <c r="G764" s="11">
        <v>9</v>
      </c>
      <c r="H764" s="36">
        <f t="shared" si="68"/>
        <v>987439.08837099466</v>
      </c>
      <c r="I764" s="36">
        <v>12480</v>
      </c>
      <c r="J764" s="9">
        <v>0.13300000000000001</v>
      </c>
      <c r="K764" s="9">
        <v>8</v>
      </c>
      <c r="L764" s="40">
        <f t="shared" si="69"/>
        <v>13278.720000000001</v>
      </c>
      <c r="M764" s="8">
        <v>13200</v>
      </c>
      <c r="N764" s="9">
        <v>73.8</v>
      </c>
      <c r="O764" s="9">
        <f t="shared" si="70"/>
        <v>974160</v>
      </c>
      <c r="P764" s="75">
        <f t="shared" si="72"/>
        <v>3238.4608191630145</v>
      </c>
      <c r="Q764" s="78">
        <f t="shared" si="71"/>
        <v>99.999999999999133</v>
      </c>
      <c r="R764" s="7" t="s">
        <v>243</v>
      </c>
      <c r="S764" s="80" t="s">
        <v>19</v>
      </c>
      <c r="T764" s="7" t="s">
        <v>78</v>
      </c>
      <c r="U764" s="7"/>
    </row>
    <row r="765" spans="1:21" x14ac:dyDescent="0.3">
      <c r="A765" s="10" t="s">
        <v>231</v>
      </c>
      <c r="B765" s="10" t="s">
        <v>118</v>
      </c>
      <c r="C765" s="37">
        <v>30491000</v>
      </c>
      <c r="D765" s="11">
        <v>2021</v>
      </c>
      <c r="E765" s="10" t="s">
        <v>17</v>
      </c>
      <c r="F765" s="41">
        <f t="shared" si="67"/>
        <v>5.9033813256370734E-4</v>
      </c>
      <c r="G765" s="8">
        <v>7</v>
      </c>
      <c r="H765" s="36">
        <f t="shared" si="68"/>
        <v>3243.2441323669277</v>
      </c>
      <c r="I765" s="37">
        <v>180</v>
      </c>
      <c r="J765" s="12">
        <v>0.13300000000000001</v>
      </c>
      <c r="K765" s="12">
        <v>6</v>
      </c>
      <c r="L765" s="40">
        <f t="shared" si="69"/>
        <v>143.64000000000001</v>
      </c>
      <c r="M765" s="11">
        <v>42</v>
      </c>
      <c r="N765" s="12">
        <v>73.8</v>
      </c>
      <c r="O765" s="9">
        <f t="shared" si="70"/>
        <v>3099.6</v>
      </c>
      <c r="P765" s="75">
        <f t="shared" si="72"/>
        <v>10.636726025276074</v>
      </c>
      <c r="Q765" s="78">
        <f t="shared" si="71"/>
        <v>10.090561419785226</v>
      </c>
      <c r="R765" s="10" t="s">
        <v>233</v>
      </c>
      <c r="S765" s="81" t="s">
        <v>19</v>
      </c>
      <c r="T765" s="10" t="s">
        <v>99</v>
      </c>
      <c r="U765" s="10"/>
    </row>
    <row r="766" spans="1:21" ht="22.8" x14ac:dyDescent="0.3">
      <c r="A766" s="7" t="s">
        <v>231</v>
      </c>
      <c r="B766" s="7" t="s">
        <v>118</v>
      </c>
      <c r="C766" s="36">
        <v>30491000</v>
      </c>
      <c r="D766" s="8">
        <v>2021</v>
      </c>
      <c r="E766" s="7" t="s">
        <v>20</v>
      </c>
      <c r="F766" s="41">
        <f t="shared" si="67"/>
        <v>7.8711751008494308E-4</v>
      </c>
      <c r="G766" s="11">
        <v>7</v>
      </c>
      <c r="H766" s="36">
        <f t="shared" si="68"/>
        <v>28235.525509822572</v>
      </c>
      <c r="I766" s="36">
        <v>240</v>
      </c>
      <c r="J766" s="9">
        <v>0.13300000000000001</v>
      </c>
      <c r="K766" s="9">
        <v>6</v>
      </c>
      <c r="L766" s="40">
        <f t="shared" si="69"/>
        <v>191.52</v>
      </c>
      <c r="M766" s="8">
        <v>380</v>
      </c>
      <c r="N766" s="9">
        <v>73.8</v>
      </c>
      <c r="O766" s="9">
        <f t="shared" si="70"/>
        <v>28044</v>
      </c>
      <c r="P766" s="75">
        <f t="shared" si="72"/>
        <v>92.602818896797658</v>
      </c>
      <c r="Q766" s="78">
        <f t="shared" si="71"/>
        <v>60.387608062630768</v>
      </c>
      <c r="R766" s="7" t="s">
        <v>234</v>
      </c>
      <c r="S766" s="80" t="s">
        <v>19</v>
      </c>
      <c r="T766" s="7"/>
      <c r="U766" s="7"/>
    </row>
    <row r="767" spans="1:21" x14ac:dyDescent="0.3">
      <c r="A767" s="10" t="s">
        <v>231</v>
      </c>
      <c r="B767" s="10" t="s">
        <v>118</v>
      </c>
      <c r="C767" s="37">
        <v>30491000</v>
      </c>
      <c r="D767" s="11">
        <v>2021</v>
      </c>
      <c r="E767" s="10" t="s">
        <v>23</v>
      </c>
      <c r="F767" s="41">
        <f t="shared" si="67"/>
        <v>1.2462693909678266E-3</v>
      </c>
      <c r="G767" s="8">
        <v>8</v>
      </c>
      <c r="H767" s="36">
        <f t="shared" si="68"/>
        <v>35777.789970155129</v>
      </c>
      <c r="I767" s="37">
        <v>380</v>
      </c>
      <c r="J767" s="12">
        <v>0.13300000000000001</v>
      </c>
      <c r="K767" s="12">
        <v>7</v>
      </c>
      <c r="L767" s="40">
        <f t="shared" si="69"/>
        <v>353.78000000000003</v>
      </c>
      <c r="M767" s="11">
        <v>480</v>
      </c>
      <c r="N767" s="12">
        <v>73.8</v>
      </c>
      <c r="O767" s="9">
        <f t="shared" si="70"/>
        <v>35424</v>
      </c>
      <c r="P767" s="75">
        <f t="shared" si="72"/>
        <v>117.33885399021065</v>
      </c>
      <c r="Q767" s="78">
        <f t="shared" si="71"/>
        <v>69.068296966214461</v>
      </c>
      <c r="R767" s="10" t="s">
        <v>235</v>
      </c>
      <c r="S767" s="81" t="s">
        <v>25</v>
      </c>
      <c r="T767" s="10" t="s">
        <v>15</v>
      </c>
      <c r="U767" s="10"/>
    </row>
    <row r="768" spans="1:21" ht="22.8" x14ac:dyDescent="0.3">
      <c r="A768" s="7" t="s">
        <v>231</v>
      </c>
      <c r="B768" s="7" t="s">
        <v>118</v>
      </c>
      <c r="C768" s="36">
        <v>30491000</v>
      </c>
      <c r="D768" s="8">
        <v>2021</v>
      </c>
      <c r="E768" s="7" t="s">
        <v>26</v>
      </c>
      <c r="F768" s="41">
        <f t="shared" si="67"/>
        <v>13.774556426486503</v>
      </c>
      <c r="G768" s="11">
        <v>6</v>
      </c>
      <c r="H768" s="36">
        <f t="shared" si="68"/>
        <v>2688082.6473385589</v>
      </c>
      <c r="I768" s="36">
        <v>4200000</v>
      </c>
      <c r="J768" s="9">
        <v>0.128</v>
      </c>
      <c r="K768" s="9">
        <v>5</v>
      </c>
      <c r="L768" s="40">
        <f t="shared" si="69"/>
        <v>2688000</v>
      </c>
      <c r="M768" s="8">
        <v>0</v>
      </c>
      <c r="N768" s="9">
        <v>73.8</v>
      </c>
      <c r="O768" s="9">
        <f t="shared" si="70"/>
        <v>0</v>
      </c>
      <c r="P768" s="75">
        <f t="shared" si="72"/>
        <v>8815.9871678152867</v>
      </c>
      <c r="Q768" s="78">
        <f t="shared" si="71"/>
        <v>100</v>
      </c>
      <c r="R768" s="7" t="s">
        <v>236</v>
      </c>
      <c r="S768" s="80" t="s">
        <v>28</v>
      </c>
      <c r="T768" s="7" t="s">
        <v>83</v>
      </c>
      <c r="U768" s="7"/>
    </row>
    <row r="769" spans="1:21" ht="22.8" x14ac:dyDescent="0.3">
      <c r="A769" s="10" t="s">
        <v>231</v>
      </c>
      <c r="B769" s="10" t="s">
        <v>118</v>
      </c>
      <c r="C769" s="37">
        <v>30491000</v>
      </c>
      <c r="D769" s="11">
        <v>2021</v>
      </c>
      <c r="E769" s="10" t="s">
        <v>30</v>
      </c>
      <c r="F769" s="41">
        <f t="shared" si="67"/>
        <v>1.3774556426486505E-4</v>
      </c>
      <c r="G769" s="8">
        <v>6</v>
      </c>
      <c r="H769" s="36">
        <f t="shared" si="68"/>
        <v>13304.160826473386</v>
      </c>
      <c r="I769" s="37">
        <v>42</v>
      </c>
      <c r="J769" s="12">
        <v>0.12</v>
      </c>
      <c r="K769" s="12">
        <v>4</v>
      </c>
      <c r="L769" s="40">
        <f t="shared" si="69"/>
        <v>20.16</v>
      </c>
      <c r="M769" s="11">
        <v>180</v>
      </c>
      <c r="N769" s="12">
        <v>73.8</v>
      </c>
      <c r="O769" s="9">
        <f t="shared" si="70"/>
        <v>13284</v>
      </c>
      <c r="P769" s="75">
        <f t="shared" si="72"/>
        <v>43.633074764597374</v>
      </c>
      <c r="Q769" s="78">
        <f t="shared" si="71"/>
        <v>35.359610599110589</v>
      </c>
      <c r="R769" s="10" t="s">
        <v>237</v>
      </c>
      <c r="S769" s="81" t="s">
        <v>29</v>
      </c>
      <c r="T769" s="10" t="s">
        <v>33</v>
      </c>
      <c r="U769" s="10"/>
    </row>
    <row r="770" spans="1:21" x14ac:dyDescent="0.3">
      <c r="A770" s="7" t="s">
        <v>231</v>
      </c>
      <c r="B770" s="7" t="s">
        <v>118</v>
      </c>
      <c r="C770" s="36">
        <v>33696000</v>
      </c>
      <c r="D770" s="8">
        <v>2022</v>
      </c>
      <c r="E770" s="7" t="s">
        <v>11</v>
      </c>
      <c r="F770" s="41">
        <f t="shared" ref="F770:F833" si="73">I770*100/C770</f>
        <v>2.02991452991453E-2</v>
      </c>
      <c r="G770" s="11">
        <v>9</v>
      </c>
      <c r="H770" s="36">
        <f t="shared" ref="H770:H833" si="74">O770+L770+(G770*F770)</f>
        <v>538637.94269230776</v>
      </c>
      <c r="I770" s="36">
        <v>6840</v>
      </c>
      <c r="J770" s="9">
        <v>0.13300000000000001</v>
      </c>
      <c r="K770" s="9">
        <v>8</v>
      </c>
      <c r="L770" s="40">
        <f t="shared" si="69"/>
        <v>7277.76</v>
      </c>
      <c r="M770" s="8">
        <v>7200</v>
      </c>
      <c r="N770" s="9">
        <v>73.8</v>
      </c>
      <c r="O770" s="9">
        <f t="shared" si="70"/>
        <v>531360</v>
      </c>
      <c r="P770" s="75">
        <f t="shared" si="72"/>
        <v>1598.521909699394</v>
      </c>
      <c r="Q770" s="78">
        <f t="shared" si="71"/>
        <v>99.999988578909992</v>
      </c>
      <c r="R770" s="7" t="s">
        <v>244</v>
      </c>
      <c r="S770" s="80" t="s">
        <v>19</v>
      </c>
      <c r="T770" s="7" t="s">
        <v>78</v>
      </c>
      <c r="U770" s="7"/>
    </row>
    <row r="771" spans="1:21" x14ac:dyDescent="0.3">
      <c r="A771" s="10" t="s">
        <v>231</v>
      </c>
      <c r="B771" s="10" t="s">
        <v>118</v>
      </c>
      <c r="C771" s="37">
        <v>33696000</v>
      </c>
      <c r="D771" s="11">
        <v>2022</v>
      </c>
      <c r="E771" s="10" t="s">
        <v>17</v>
      </c>
      <c r="F771" s="41">
        <f t="shared" si="73"/>
        <v>5.3418803418803424E-4</v>
      </c>
      <c r="G771" s="8">
        <v>7</v>
      </c>
      <c r="H771" s="36">
        <f t="shared" si="74"/>
        <v>3243.243739316239</v>
      </c>
      <c r="I771" s="37">
        <v>180</v>
      </c>
      <c r="J771" s="12">
        <v>0.13300000000000001</v>
      </c>
      <c r="K771" s="12">
        <v>6</v>
      </c>
      <c r="L771" s="40">
        <f t="shared" ref="L771:L834" si="75">I771*J771*K771</f>
        <v>143.64000000000001</v>
      </c>
      <c r="M771" s="11">
        <v>42</v>
      </c>
      <c r="N771" s="12">
        <v>73.8</v>
      </c>
      <c r="O771" s="9">
        <f t="shared" ref="O771:O834" si="76">M771*N771</f>
        <v>3099.6</v>
      </c>
      <c r="P771" s="75">
        <f t="shared" si="72"/>
        <v>9.6250110972110612</v>
      </c>
      <c r="Q771" s="78">
        <f t="shared" ref="Q771:Q834" si="77">100*(1-EXP(-P771/100))</f>
        <v>9.1763172337139487</v>
      </c>
      <c r="R771" s="10" t="s">
        <v>233</v>
      </c>
      <c r="S771" s="81" t="s">
        <v>19</v>
      </c>
      <c r="T771" s="10" t="s">
        <v>99</v>
      </c>
      <c r="U771" s="10"/>
    </row>
    <row r="772" spans="1:21" ht="22.8" x14ac:dyDescent="0.3">
      <c r="A772" s="7" t="s">
        <v>231</v>
      </c>
      <c r="B772" s="7" t="s">
        <v>118</v>
      </c>
      <c r="C772" s="36">
        <v>33696000</v>
      </c>
      <c r="D772" s="8">
        <v>2022</v>
      </c>
      <c r="E772" s="7" t="s">
        <v>20</v>
      </c>
      <c r="F772" s="41">
        <f t="shared" si="73"/>
        <v>7.1225071225071229E-4</v>
      </c>
      <c r="G772" s="11">
        <v>7</v>
      </c>
      <c r="H772" s="36">
        <f t="shared" si="74"/>
        <v>28235.524985754986</v>
      </c>
      <c r="I772" s="36">
        <v>240</v>
      </c>
      <c r="J772" s="9">
        <v>0.13300000000000001</v>
      </c>
      <c r="K772" s="9">
        <v>6</v>
      </c>
      <c r="L772" s="40">
        <f t="shared" si="75"/>
        <v>191.52</v>
      </c>
      <c r="M772" s="8">
        <v>380</v>
      </c>
      <c r="N772" s="9">
        <v>73.8</v>
      </c>
      <c r="O772" s="9">
        <f t="shared" si="76"/>
        <v>28044</v>
      </c>
      <c r="P772" s="75">
        <f t="shared" si="72"/>
        <v>83.794886591153201</v>
      </c>
      <c r="Q772" s="78">
        <f t="shared" si="77"/>
        <v>56.740307164305271</v>
      </c>
      <c r="R772" s="7" t="s">
        <v>234</v>
      </c>
      <c r="S772" s="80" t="s">
        <v>19</v>
      </c>
      <c r="T772" s="7"/>
      <c r="U772" s="7"/>
    </row>
    <row r="773" spans="1:21" x14ac:dyDescent="0.3">
      <c r="A773" s="10" t="s">
        <v>231</v>
      </c>
      <c r="B773" s="10" t="s">
        <v>118</v>
      </c>
      <c r="C773" s="37">
        <v>33696000</v>
      </c>
      <c r="D773" s="11">
        <v>2022</v>
      </c>
      <c r="E773" s="10" t="s">
        <v>23</v>
      </c>
      <c r="F773" s="41">
        <f t="shared" si="73"/>
        <v>1.127730294396961E-3</v>
      </c>
      <c r="G773" s="8">
        <v>8</v>
      </c>
      <c r="H773" s="36">
        <f t="shared" si="74"/>
        <v>35777.789021842356</v>
      </c>
      <c r="I773" s="37">
        <v>380</v>
      </c>
      <c r="J773" s="12">
        <v>0.13300000000000001</v>
      </c>
      <c r="K773" s="12">
        <v>7</v>
      </c>
      <c r="L773" s="40">
        <f t="shared" si="75"/>
        <v>353.78000000000003</v>
      </c>
      <c r="M773" s="11">
        <v>480</v>
      </c>
      <c r="N773" s="12">
        <v>73.8</v>
      </c>
      <c r="O773" s="9">
        <f t="shared" si="76"/>
        <v>35424</v>
      </c>
      <c r="P773" s="75">
        <f t="shared" si="72"/>
        <v>106.17814880651221</v>
      </c>
      <c r="Q773" s="78">
        <f t="shared" si="77"/>
        <v>65.416084711410889</v>
      </c>
      <c r="R773" s="10" t="s">
        <v>235</v>
      </c>
      <c r="S773" s="81" t="s">
        <v>25</v>
      </c>
      <c r="T773" s="10" t="s">
        <v>15</v>
      </c>
      <c r="U773" s="10"/>
    </row>
    <row r="774" spans="1:21" ht="22.8" x14ac:dyDescent="0.3">
      <c r="A774" s="7" t="s">
        <v>231</v>
      </c>
      <c r="B774" s="7" t="s">
        <v>118</v>
      </c>
      <c r="C774" s="36">
        <v>33696000</v>
      </c>
      <c r="D774" s="8">
        <v>2022</v>
      </c>
      <c r="E774" s="7" t="s">
        <v>26</v>
      </c>
      <c r="F774" s="41">
        <f t="shared" si="73"/>
        <v>12.464387464387464</v>
      </c>
      <c r="G774" s="11">
        <v>6</v>
      </c>
      <c r="H774" s="36">
        <f t="shared" si="74"/>
        <v>2688074.7863247865</v>
      </c>
      <c r="I774" s="36">
        <v>4200000</v>
      </c>
      <c r="J774" s="9">
        <v>0.128</v>
      </c>
      <c r="K774" s="9">
        <v>5</v>
      </c>
      <c r="L774" s="40">
        <f t="shared" si="75"/>
        <v>2688000</v>
      </c>
      <c r="M774" s="8">
        <v>0</v>
      </c>
      <c r="N774" s="9">
        <v>73.8</v>
      </c>
      <c r="O774" s="9">
        <f t="shared" si="76"/>
        <v>0</v>
      </c>
      <c r="P774" s="75">
        <f t="shared" si="72"/>
        <v>7977.4299214292087</v>
      </c>
      <c r="Q774" s="78">
        <f t="shared" si="77"/>
        <v>100</v>
      </c>
      <c r="R774" s="7" t="s">
        <v>236</v>
      </c>
      <c r="S774" s="80" t="s">
        <v>28</v>
      </c>
      <c r="T774" s="7" t="s">
        <v>83</v>
      </c>
      <c r="U774" s="7"/>
    </row>
    <row r="775" spans="1:21" ht="22.8" x14ac:dyDescent="0.3">
      <c r="A775" s="10" t="s">
        <v>231</v>
      </c>
      <c r="B775" s="10" t="s">
        <v>118</v>
      </c>
      <c r="C775" s="37">
        <v>33696000</v>
      </c>
      <c r="D775" s="11">
        <v>2022</v>
      </c>
      <c r="E775" s="10" t="s">
        <v>30</v>
      </c>
      <c r="F775" s="41">
        <f t="shared" si="73"/>
        <v>1.2464387464387465E-4</v>
      </c>
      <c r="G775" s="8">
        <v>6</v>
      </c>
      <c r="H775" s="36">
        <f t="shared" si="74"/>
        <v>13304.160747863249</v>
      </c>
      <c r="I775" s="37">
        <v>42</v>
      </c>
      <c r="J775" s="12">
        <v>0.12</v>
      </c>
      <c r="K775" s="12">
        <v>4</v>
      </c>
      <c r="L775" s="40">
        <f t="shared" si="75"/>
        <v>20.16</v>
      </c>
      <c r="M775" s="11">
        <v>180</v>
      </c>
      <c r="N775" s="12">
        <v>73.8</v>
      </c>
      <c r="O775" s="9">
        <f t="shared" si="76"/>
        <v>13284</v>
      </c>
      <c r="P775" s="75">
        <f t="shared" si="72"/>
        <v>39.482908202348199</v>
      </c>
      <c r="Q775" s="78">
        <f t="shared" si="77"/>
        <v>32.620480688135054</v>
      </c>
      <c r="R775" s="10" t="s">
        <v>237</v>
      </c>
      <c r="S775" s="81" t="s">
        <v>29</v>
      </c>
      <c r="T775" s="10" t="s">
        <v>33</v>
      </c>
      <c r="U775" s="10"/>
    </row>
    <row r="776" spans="1:21" x14ac:dyDescent="0.3">
      <c r="A776" s="7" t="s">
        <v>231</v>
      </c>
      <c r="B776" s="7" t="s">
        <v>118</v>
      </c>
      <c r="C776" s="36">
        <v>34450000</v>
      </c>
      <c r="D776" s="8">
        <v>2023</v>
      </c>
      <c r="E776" s="7" t="s">
        <v>11</v>
      </c>
      <c r="F776" s="41">
        <f t="shared" si="73"/>
        <v>1.3991291727140785E-2</v>
      </c>
      <c r="G776" s="11">
        <v>9</v>
      </c>
      <c r="H776" s="36">
        <f t="shared" si="74"/>
        <v>403648.60592162551</v>
      </c>
      <c r="I776" s="36">
        <v>4820</v>
      </c>
      <c r="J776" s="9">
        <v>0.13300000000000001</v>
      </c>
      <c r="K776" s="9">
        <v>8</v>
      </c>
      <c r="L776" s="40">
        <f t="shared" si="75"/>
        <v>5128.4800000000005</v>
      </c>
      <c r="M776" s="8">
        <v>5400</v>
      </c>
      <c r="N776" s="9">
        <v>73.8</v>
      </c>
      <c r="O776" s="9">
        <f t="shared" si="76"/>
        <v>398520</v>
      </c>
      <c r="P776" s="75">
        <f t="shared" si="72"/>
        <v>1171.6940665359232</v>
      </c>
      <c r="Q776" s="78">
        <f t="shared" si="77"/>
        <v>99.999184550024069</v>
      </c>
      <c r="R776" s="7" t="s">
        <v>245</v>
      </c>
      <c r="S776" s="80" t="s">
        <v>19</v>
      </c>
      <c r="T776" s="7" t="s">
        <v>78</v>
      </c>
      <c r="U776" s="7"/>
    </row>
    <row r="777" spans="1:21" x14ac:dyDescent="0.3">
      <c r="A777" s="10" t="s">
        <v>231</v>
      </c>
      <c r="B777" s="10" t="s">
        <v>118</v>
      </c>
      <c r="C777" s="37">
        <v>34450000</v>
      </c>
      <c r="D777" s="11">
        <v>2023</v>
      </c>
      <c r="E777" s="10" t="s">
        <v>17</v>
      </c>
      <c r="F777" s="41">
        <f t="shared" si="73"/>
        <v>5.2249637155297535E-4</v>
      </c>
      <c r="G777" s="8">
        <v>7</v>
      </c>
      <c r="H777" s="36">
        <f t="shared" si="74"/>
        <v>3243.2436574746007</v>
      </c>
      <c r="I777" s="37">
        <v>180</v>
      </c>
      <c r="J777" s="12">
        <v>0.13300000000000001</v>
      </c>
      <c r="K777" s="12">
        <v>6</v>
      </c>
      <c r="L777" s="40">
        <f t="shared" si="75"/>
        <v>143.64000000000001</v>
      </c>
      <c r="M777" s="11">
        <v>42</v>
      </c>
      <c r="N777" s="12">
        <v>73.8</v>
      </c>
      <c r="O777" s="9">
        <f t="shared" si="76"/>
        <v>3099.6</v>
      </c>
      <c r="P777" s="75">
        <f t="shared" si="72"/>
        <v>9.4143502394037757</v>
      </c>
      <c r="Q777" s="78">
        <f t="shared" si="77"/>
        <v>8.9847856142616358</v>
      </c>
      <c r="R777" s="10" t="s">
        <v>233</v>
      </c>
      <c r="S777" s="81" t="s">
        <v>19</v>
      </c>
      <c r="T777" s="10" t="s">
        <v>99</v>
      </c>
      <c r="U777" s="10"/>
    </row>
    <row r="778" spans="1:21" ht="22.8" x14ac:dyDescent="0.3">
      <c r="A778" s="7" t="s">
        <v>231</v>
      </c>
      <c r="B778" s="7" t="s">
        <v>118</v>
      </c>
      <c r="C778" s="36">
        <v>34450000</v>
      </c>
      <c r="D778" s="8">
        <v>2023</v>
      </c>
      <c r="E778" s="7" t="s">
        <v>20</v>
      </c>
      <c r="F778" s="41">
        <f t="shared" si="73"/>
        <v>6.9666182873730047E-4</v>
      </c>
      <c r="G778" s="11">
        <v>7</v>
      </c>
      <c r="H778" s="36">
        <f t="shared" si="74"/>
        <v>28235.5248766328</v>
      </c>
      <c r="I778" s="36">
        <v>240</v>
      </c>
      <c r="J778" s="9">
        <v>0.13300000000000001</v>
      </c>
      <c r="K778" s="9">
        <v>6</v>
      </c>
      <c r="L778" s="40">
        <f t="shared" si="75"/>
        <v>191.52</v>
      </c>
      <c r="M778" s="8">
        <v>380</v>
      </c>
      <c r="N778" s="9">
        <v>73.8</v>
      </c>
      <c r="O778" s="9">
        <f t="shared" si="76"/>
        <v>28044</v>
      </c>
      <c r="P778" s="75">
        <f t="shared" si="72"/>
        <v>81.960884982968949</v>
      </c>
      <c r="Q778" s="78">
        <f t="shared" si="77"/>
        <v>55.939603688025571</v>
      </c>
      <c r="R778" s="7" t="s">
        <v>234</v>
      </c>
      <c r="S778" s="80" t="s">
        <v>19</v>
      </c>
      <c r="T778" s="7"/>
      <c r="U778" s="7"/>
    </row>
    <row r="779" spans="1:21" x14ac:dyDescent="0.3">
      <c r="A779" s="10" t="s">
        <v>231</v>
      </c>
      <c r="B779" s="10" t="s">
        <v>118</v>
      </c>
      <c r="C779" s="37">
        <v>34450000</v>
      </c>
      <c r="D779" s="11">
        <v>2023</v>
      </c>
      <c r="E779" s="10" t="s">
        <v>23</v>
      </c>
      <c r="F779" s="41">
        <f t="shared" si="73"/>
        <v>1.1030478955007257E-3</v>
      </c>
      <c r="G779" s="8">
        <v>8</v>
      </c>
      <c r="H779" s="36">
        <f t="shared" si="74"/>
        <v>35777.788824383162</v>
      </c>
      <c r="I779" s="37">
        <v>380</v>
      </c>
      <c r="J779" s="12">
        <v>0.13300000000000001</v>
      </c>
      <c r="K779" s="12">
        <v>7</v>
      </c>
      <c r="L779" s="40">
        <f t="shared" si="75"/>
        <v>353.78000000000003</v>
      </c>
      <c r="M779" s="11">
        <v>480</v>
      </c>
      <c r="N779" s="12">
        <v>73.8</v>
      </c>
      <c r="O779" s="9">
        <f t="shared" si="76"/>
        <v>35424</v>
      </c>
      <c r="P779" s="75">
        <f t="shared" si="72"/>
        <v>103.85424912738219</v>
      </c>
      <c r="Q779" s="78">
        <f t="shared" si="77"/>
        <v>64.602977914800334</v>
      </c>
      <c r="R779" s="10" t="s">
        <v>235</v>
      </c>
      <c r="S779" s="81" t="s">
        <v>25</v>
      </c>
      <c r="T779" s="10" t="s">
        <v>15</v>
      </c>
      <c r="U779" s="10"/>
    </row>
    <row r="780" spans="1:21" ht="22.8" x14ac:dyDescent="0.3">
      <c r="A780" s="7" t="s">
        <v>231</v>
      </c>
      <c r="B780" s="7" t="s">
        <v>118</v>
      </c>
      <c r="C780" s="36">
        <v>34450000</v>
      </c>
      <c r="D780" s="8">
        <v>2023</v>
      </c>
      <c r="E780" s="7" t="s">
        <v>26</v>
      </c>
      <c r="F780" s="41">
        <f t="shared" si="73"/>
        <v>12.191582002902758</v>
      </c>
      <c r="G780" s="11">
        <v>6</v>
      </c>
      <c r="H780" s="36">
        <f t="shared" si="74"/>
        <v>2688073.1494920175</v>
      </c>
      <c r="I780" s="36">
        <v>4200000</v>
      </c>
      <c r="J780" s="9">
        <v>0.128</v>
      </c>
      <c r="K780" s="9">
        <v>5</v>
      </c>
      <c r="L780" s="40">
        <f t="shared" si="75"/>
        <v>2688000</v>
      </c>
      <c r="M780" s="8">
        <v>0</v>
      </c>
      <c r="N780" s="9">
        <v>73.8</v>
      </c>
      <c r="O780" s="9">
        <f t="shared" si="76"/>
        <v>0</v>
      </c>
      <c r="P780" s="75">
        <f t="shared" si="72"/>
        <v>7802.8248171030991</v>
      </c>
      <c r="Q780" s="78">
        <f t="shared" si="77"/>
        <v>100</v>
      </c>
      <c r="R780" s="7" t="s">
        <v>236</v>
      </c>
      <c r="S780" s="80" t="s">
        <v>28</v>
      </c>
      <c r="T780" s="7" t="s">
        <v>83</v>
      </c>
      <c r="U780" s="7"/>
    </row>
    <row r="781" spans="1:21" ht="22.8" x14ac:dyDescent="0.3">
      <c r="A781" s="10" t="s">
        <v>231</v>
      </c>
      <c r="B781" s="10" t="s">
        <v>118</v>
      </c>
      <c r="C781" s="37">
        <v>34450000</v>
      </c>
      <c r="D781" s="11">
        <v>2023</v>
      </c>
      <c r="E781" s="10" t="s">
        <v>30</v>
      </c>
      <c r="F781" s="41">
        <f t="shared" si="73"/>
        <v>1.2191582002902758E-4</v>
      </c>
      <c r="G781" s="8">
        <v>6</v>
      </c>
      <c r="H781" s="36">
        <f t="shared" si="74"/>
        <v>13304.16073149492</v>
      </c>
      <c r="I781" s="37">
        <v>42</v>
      </c>
      <c r="J781" s="12">
        <v>0.12</v>
      </c>
      <c r="K781" s="12">
        <v>4</v>
      </c>
      <c r="L781" s="40">
        <f t="shared" si="75"/>
        <v>20.16</v>
      </c>
      <c r="M781" s="11">
        <v>180</v>
      </c>
      <c r="N781" s="12">
        <v>73.8</v>
      </c>
      <c r="O781" s="9">
        <f t="shared" si="76"/>
        <v>13284</v>
      </c>
      <c r="P781" s="75">
        <f t="shared" si="72"/>
        <v>38.61875393757596</v>
      </c>
      <c r="Q781" s="78">
        <f t="shared" si="77"/>
        <v>32.035694610636156</v>
      </c>
      <c r="R781" s="10" t="s">
        <v>237</v>
      </c>
      <c r="S781" s="81" t="s">
        <v>29</v>
      </c>
      <c r="T781" s="10" t="s">
        <v>33</v>
      </c>
      <c r="U781" s="10"/>
    </row>
    <row r="782" spans="1:21" ht="22.8" x14ac:dyDescent="0.3">
      <c r="A782" s="7" t="s">
        <v>231</v>
      </c>
      <c r="B782" s="7" t="s">
        <v>118</v>
      </c>
      <c r="C782" s="36">
        <v>35490000</v>
      </c>
      <c r="D782" s="8">
        <v>2024</v>
      </c>
      <c r="E782" s="7" t="s">
        <v>11</v>
      </c>
      <c r="F782" s="41">
        <f t="shared" si="73"/>
        <v>1.4652014652014652E-2</v>
      </c>
      <c r="G782" s="11">
        <v>9</v>
      </c>
      <c r="H782" s="36">
        <f t="shared" si="74"/>
        <v>433572.93186813185</v>
      </c>
      <c r="I782" s="36">
        <v>5200</v>
      </c>
      <c r="J782" s="9">
        <v>0.13300000000000001</v>
      </c>
      <c r="K782" s="9">
        <v>8</v>
      </c>
      <c r="L782" s="40">
        <f t="shared" si="75"/>
        <v>5532.8</v>
      </c>
      <c r="M782" s="8">
        <v>5800</v>
      </c>
      <c r="N782" s="9">
        <v>73.8</v>
      </c>
      <c r="O782" s="9">
        <f t="shared" si="76"/>
        <v>428040</v>
      </c>
      <c r="P782" s="75">
        <f t="shared" si="72"/>
        <v>1221.6763366247726</v>
      </c>
      <c r="Q782" s="78">
        <f t="shared" si="77"/>
        <v>99.999505316889042</v>
      </c>
      <c r="R782" s="7" t="s">
        <v>246</v>
      </c>
      <c r="S782" s="80" t="s">
        <v>19</v>
      </c>
      <c r="T782" s="7" t="s">
        <v>78</v>
      </c>
      <c r="U782" s="7"/>
    </row>
    <row r="783" spans="1:21" x14ac:dyDescent="0.3">
      <c r="A783" s="10" t="s">
        <v>231</v>
      </c>
      <c r="B783" s="10" t="s">
        <v>118</v>
      </c>
      <c r="C783" s="37">
        <v>35490000</v>
      </c>
      <c r="D783" s="11">
        <v>2024</v>
      </c>
      <c r="E783" s="10" t="s">
        <v>17</v>
      </c>
      <c r="F783" s="41">
        <f t="shared" si="73"/>
        <v>5.0718512256973795E-4</v>
      </c>
      <c r="G783" s="8">
        <v>7</v>
      </c>
      <c r="H783" s="36">
        <f t="shared" si="74"/>
        <v>3243.2435502958579</v>
      </c>
      <c r="I783" s="37">
        <v>180</v>
      </c>
      <c r="J783" s="12">
        <v>0.13300000000000001</v>
      </c>
      <c r="K783" s="12">
        <v>6</v>
      </c>
      <c r="L783" s="40">
        <f t="shared" si="75"/>
        <v>143.64000000000001</v>
      </c>
      <c r="M783" s="11">
        <v>42</v>
      </c>
      <c r="N783" s="12">
        <v>73.8</v>
      </c>
      <c r="O783" s="9">
        <f t="shared" si="76"/>
        <v>3099.6</v>
      </c>
      <c r="P783" s="75">
        <f t="shared" si="72"/>
        <v>9.138471542112871</v>
      </c>
      <c r="Q783" s="78">
        <f t="shared" si="77"/>
        <v>8.7333473536515331</v>
      </c>
      <c r="R783" s="10" t="s">
        <v>233</v>
      </c>
      <c r="S783" s="81" t="s">
        <v>19</v>
      </c>
      <c r="T783" s="10" t="s">
        <v>99</v>
      </c>
      <c r="U783" s="10"/>
    </row>
    <row r="784" spans="1:21" ht="22.8" x14ac:dyDescent="0.3">
      <c r="A784" s="7" t="s">
        <v>231</v>
      </c>
      <c r="B784" s="7" t="s">
        <v>118</v>
      </c>
      <c r="C784" s="36">
        <v>35490000</v>
      </c>
      <c r="D784" s="8">
        <v>2024</v>
      </c>
      <c r="E784" s="7" t="s">
        <v>20</v>
      </c>
      <c r="F784" s="41">
        <f t="shared" si="73"/>
        <v>6.7624683009298396E-4</v>
      </c>
      <c r="G784" s="11">
        <v>7</v>
      </c>
      <c r="H784" s="36">
        <f t="shared" si="74"/>
        <v>28235.524733727812</v>
      </c>
      <c r="I784" s="36">
        <v>240</v>
      </c>
      <c r="J784" s="9">
        <v>0.13300000000000001</v>
      </c>
      <c r="K784" s="9">
        <v>6</v>
      </c>
      <c r="L784" s="40">
        <f t="shared" si="75"/>
        <v>191.52</v>
      </c>
      <c r="M784" s="8">
        <v>380</v>
      </c>
      <c r="N784" s="9">
        <v>73.8</v>
      </c>
      <c r="O784" s="9">
        <f t="shared" si="76"/>
        <v>28044</v>
      </c>
      <c r="P784" s="75">
        <f t="shared" si="72"/>
        <v>79.559100404981166</v>
      </c>
      <c r="Q784" s="78">
        <f t="shared" si="77"/>
        <v>54.868557256614679</v>
      </c>
      <c r="R784" s="7" t="s">
        <v>234</v>
      </c>
      <c r="S784" s="80" t="s">
        <v>19</v>
      </c>
      <c r="T784" s="7"/>
      <c r="U784" s="7"/>
    </row>
    <row r="785" spans="1:21" x14ac:dyDescent="0.3">
      <c r="A785" s="10" t="s">
        <v>231</v>
      </c>
      <c r="B785" s="10" t="s">
        <v>118</v>
      </c>
      <c r="C785" s="37">
        <v>35490000</v>
      </c>
      <c r="D785" s="11">
        <v>2024</v>
      </c>
      <c r="E785" s="10" t="s">
        <v>23</v>
      </c>
      <c r="F785" s="41">
        <f t="shared" si="73"/>
        <v>1.0707241476472246E-3</v>
      </c>
      <c r="G785" s="8">
        <v>8</v>
      </c>
      <c r="H785" s="36">
        <f t="shared" si="74"/>
        <v>35777.788565793177</v>
      </c>
      <c r="I785" s="37">
        <v>380</v>
      </c>
      <c r="J785" s="12">
        <v>0.13300000000000001</v>
      </c>
      <c r="K785" s="12">
        <v>7</v>
      </c>
      <c r="L785" s="40">
        <f t="shared" si="75"/>
        <v>353.78000000000003</v>
      </c>
      <c r="M785" s="11">
        <v>480</v>
      </c>
      <c r="N785" s="12">
        <v>73.8</v>
      </c>
      <c r="O785" s="9">
        <f t="shared" si="76"/>
        <v>35424</v>
      </c>
      <c r="P785" s="75">
        <f t="shared" si="72"/>
        <v>100.81090043897768</v>
      </c>
      <c r="Q785" s="78">
        <f t="shared" si="77"/>
        <v>63.509163232744051</v>
      </c>
      <c r="R785" s="10" t="s">
        <v>235</v>
      </c>
      <c r="S785" s="81" t="s">
        <v>25</v>
      </c>
      <c r="T785" s="10" t="s">
        <v>15</v>
      </c>
      <c r="U785" s="10"/>
    </row>
    <row r="786" spans="1:21" ht="22.8" x14ac:dyDescent="0.3">
      <c r="A786" s="7" t="s">
        <v>231</v>
      </c>
      <c r="B786" s="7" t="s">
        <v>118</v>
      </c>
      <c r="C786" s="36">
        <v>35490000</v>
      </c>
      <c r="D786" s="8">
        <v>2024</v>
      </c>
      <c r="E786" s="7" t="s">
        <v>26</v>
      </c>
      <c r="F786" s="41">
        <f t="shared" si="73"/>
        <v>11.834319526627219</v>
      </c>
      <c r="G786" s="11">
        <v>6</v>
      </c>
      <c r="H786" s="36">
        <f t="shared" si="74"/>
        <v>2688071.0059171598</v>
      </c>
      <c r="I786" s="36">
        <v>4200000</v>
      </c>
      <c r="J786" s="9">
        <v>0.128</v>
      </c>
      <c r="K786" s="9">
        <v>5</v>
      </c>
      <c r="L786" s="40">
        <f t="shared" si="75"/>
        <v>2688000</v>
      </c>
      <c r="M786" s="8">
        <v>0</v>
      </c>
      <c r="N786" s="9">
        <v>73.8</v>
      </c>
      <c r="O786" s="9">
        <f t="shared" si="76"/>
        <v>0</v>
      </c>
      <c r="P786" s="75">
        <f t="shared" si="72"/>
        <v>7574.1645700680747</v>
      </c>
      <c r="Q786" s="78">
        <f t="shared" si="77"/>
        <v>100</v>
      </c>
      <c r="R786" s="7" t="s">
        <v>236</v>
      </c>
      <c r="S786" s="80" t="s">
        <v>28</v>
      </c>
      <c r="T786" s="7" t="s">
        <v>83</v>
      </c>
      <c r="U786" s="7"/>
    </row>
    <row r="787" spans="1:21" ht="22.8" x14ac:dyDescent="0.3">
      <c r="A787" s="10" t="s">
        <v>231</v>
      </c>
      <c r="B787" s="10" t="s">
        <v>118</v>
      </c>
      <c r="C787" s="37">
        <v>35490000</v>
      </c>
      <c r="D787" s="11">
        <v>2024</v>
      </c>
      <c r="E787" s="10" t="s">
        <v>30</v>
      </c>
      <c r="F787" s="41">
        <f t="shared" si="73"/>
        <v>1.1834319526627219E-4</v>
      </c>
      <c r="G787" s="8">
        <v>6</v>
      </c>
      <c r="H787" s="36">
        <f t="shared" si="74"/>
        <v>13304.160710059172</v>
      </c>
      <c r="I787" s="37">
        <v>42</v>
      </c>
      <c r="J787" s="12">
        <v>0.12</v>
      </c>
      <c r="K787" s="12">
        <v>4</v>
      </c>
      <c r="L787" s="40">
        <f t="shared" si="75"/>
        <v>20.16</v>
      </c>
      <c r="M787" s="11">
        <v>180</v>
      </c>
      <c r="N787" s="12">
        <v>73.8</v>
      </c>
      <c r="O787" s="9">
        <f t="shared" si="76"/>
        <v>13284</v>
      </c>
      <c r="P787" s="75">
        <f t="shared" si="72"/>
        <v>37.487068780104735</v>
      </c>
      <c r="Q787" s="78">
        <f t="shared" si="77"/>
        <v>31.262184057451947</v>
      </c>
      <c r="R787" s="10" t="s">
        <v>237</v>
      </c>
      <c r="S787" s="81" t="s">
        <v>29</v>
      </c>
      <c r="T787" s="10" t="s">
        <v>33</v>
      </c>
      <c r="U787" s="10"/>
    </row>
    <row r="788" spans="1:21" x14ac:dyDescent="0.3">
      <c r="A788" s="7" t="s">
        <v>231</v>
      </c>
      <c r="B788" s="7" t="s">
        <v>118</v>
      </c>
      <c r="C788" s="36">
        <v>36000000</v>
      </c>
      <c r="D788" s="8">
        <v>2025</v>
      </c>
      <c r="E788" s="7" t="s">
        <v>11</v>
      </c>
      <c r="F788" s="41">
        <f t="shared" si="73"/>
        <v>1.3333333333333334E-2</v>
      </c>
      <c r="G788" s="11">
        <v>9</v>
      </c>
      <c r="H788" s="36">
        <f t="shared" si="74"/>
        <v>388867.32</v>
      </c>
      <c r="I788" s="36">
        <v>4800</v>
      </c>
      <c r="J788" s="9">
        <v>0.13300000000000001</v>
      </c>
      <c r="K788" s="9">
        <v>8</v>
      </c>
      <c r="L788" s="40">
        <f t="shared" si="75"/>
        <v>5107.2000000000007</v>
      </c>
      <c r="M788" s="8">
        <v>5200</v>
      </c>
      <c r="N788" s="9">
        <v>73.8</v>
      </c>
      <c r="O788" s="9">
        <f t="shared" si="76"/>
        <v>383760</v>
      </c>
      <c r="P788" s="75">
        <f t="shared" si="72"/>
        <v>1080.1869999999999</v>
      </c>
      <c r="Q788" s="78">
        <f t="shared" si="77"/>
        <v>99.997963860801491</v>
      </c>
      <c r="R788" s="7" t="s">
        <v>247</v>
      </c>
      <c r="S788" s="80" t="s">
        <v>19</v>
      </c>
      <c r="T788" s="7" t="s">
        <v>78</v>
      </c>
      <c r="U788" s="7"/>
    </row>
    <row r="789" spans="1:21" x14ac:dyDescent="0.3">
      <c r="A789" s="10" t="s">
        <v>231</v>
      </c>
      <c r="B789" s="10" t="s">
        <v>118</v>
      </c>
      <c r="C789" s="37">
        <v>36000000</v>
      </c>
      <c r="D789" s="11">
        <v>2025</v>
      </c>
      <c r="E789" s="10" t="s">
        <v>17</v>
      </c>
      <c r="F789" s="41">
        <f t="shared" si="73"/>
        <v>5.0000000000000001E-4</v>
      </c>
      <c r="G789" s="8">
        <v>7</v>
      </c>
      <c r="H789" s="36">
        <f t="shared" si="74"/>
        <v>3243.2434999999996</v>
      </c>
      <c r="I789" s="37">
        <v>180</v>
      </c>
      <c r="J789" s="12">
        <v>0.13300000000000001</v>
      </c>
      <c r="K789" s="12">
        <v>6</v>
      </c>
      <c r="L789" s="40">
        <f t="shared" si="75"/>
        <v>143.64000000000001</v>
      </c>
      <c r="M789" s="11">
        <v>42</v>
      </c>
      <c r="N789" s="12">
        <v>73.8</v>
      </c>
      <c r="O789" s="9">
        <f t="shared" si="76"/>
        <v>3099.6</v>
      </c>
      <c r="P789" s="75">
        <f t="shared" si="72"/>
        <v>9.0090097222222223</v>
      </c>
      <c r="Q789" s="78">
        <f t="shared" si="77"/>
        <v>8.6151153680555925</v>
      </c>
      <c r="R789" s="10" t="s">
        <v>233</v>
      </c>
      <c r="S789" s="81" t="s">
        <v>19</v>
      </c>
      <c r="T789" s="10" t="s">
        <v>99</v>
      </c>
      <c r="U789" s="10"/>
    </row>
    <row r="790" spans="1:21" ht="22.8" x14ac:dyDescent="0.3">
      <c r="A790" s="7" t="s">
        <v>231</v>
      </c>
      <c r="B790" s="7" t="s">
        <v>118</v>
      </c>
      <c r="C790" s="36">
        <v>36000000</v>
      </c>
      <c r="D790" s="8">
        <v>2025</v>
      </c>
      <c r="E790" s="7" t="s">
        <v>20</v>
      </c>
      <c r="F790" s="41">
        <f t="shared" si="73"/>
        <v>6.6666666666666664E-4</v>
      </c>
      <c r="G790" s="11">
        <v>7</v>
      </c>
      <c r="H790" s="36">
        <f t="shared" si="74"/>
        <v>28235.524666666668</v>
      </c>
      <c r="I790" s="36">
        <v>240</v>
      </c>
      <c r="J790" s="9">
        <v>0.13300000000000001</v>
      </c>
      <c r="K790" s="9">
        <v>6</v>
      </c>
      <c r="L790" s="40">
        <f t="shared" si="75"/>
        <v>191.52</v>
      </c>
      <c r="M790" s="8">
        <v>380</v>
      </c>
      <c r="N790" s="9">
        <v>73.8</v>
      </c>
      <c r="O790" s="9">
        <f t="shared" si="76"/>
        <v>28044</v>
      </c>
      <c r="P790" s="75">
        <f t="shared" si="72"/>
        <v>78.432012962962958</v>
      </c>
      <c r="Q790" s="78">
        <f t="shared" si="77"/>
        <v>54.35700905052083</v>
      </c>
      <c r="R790" s="7" t="s">
        <v>234</v>
      </c>
      <c r="S790" s="80" t="s">
        <v>19</v>
      </c>
      <c r="T790" s="7"/>
      <c r="U790" s="7"/>
    </row>
    <row r="791" spans="1:21" x14ac:dyDescent="0.3">
      <c r="A791" s="10" t="s">
        <v>231</v>
      </c>
      <c r="B791" s="10" t="s">
        <v>118</v>
      </c>
      <c r="C791" s="37">
        <v>36000000</v>
      </c>
      <c r="D791" s="11">
        <v>2025</v>
      </c>
      <c r="E791" s="10" t="s">
        <v>23</v>
      </c>
      <c r="F791" s="41">
        <f t="shared" si="73"/>
        <v>1.0555555555555555E-3</v>
      </c>
      <c r="G791" s="8">
        <v>8</v>
      </c>
      <c r="H791" s="36">
        <f t="shared" si="74"/>
        <v>35777.788444444443</v>
      </c>
      <c r="I791" s="37">
        <v>380</v>
      </c>
      <c r="J791" s="12">
        <v>0.13300000000000001</v>
      </c>
      <c r="K791" s="12">
        <v>7</v>
      </c>
      <c r="L791" s="40">
        <f t="shared" si="75"/>
        <v>353.78000000000003</v>
      </c>
      <c r="M791" s="11">
        <v>480</v>
      </c>
      <c r="N791" s="12">
        <v>73.8</v>
      </c>
      <c r="O791" s="9">
        <f t="shared" si="76"/>
        <v>35424</v>
      </c>
      <c r="P791" s="75">
        <f t="shared" si="72"/>
        <v>99.382745679012345</v>
      </c>
      <c r="Q791" s="78">
        <f t="shared" si="77"/>
        <v>62.984278448360229</v>
      </c>
      <c r="R791" s="10" t="s">
        <v>235</v>
      </c>
      <c r="S791" s="81" t="s">
        <v>25</v>
      </c>
      <c r="T791" s="10" t="s">
        <v>15</v>
      </c>
      <c r="U791" s="10"/>
    </row>
    <row r="792" spans="1:21" ht="22.8" x14ac:dyDescent="0.3">
      <c r="A792" s="7" t="s">
        <v>231</v>
      </c>
      <c r="B792" s="7" t="s">
        <v>118</v>
      </c>
      <c r="C792" s="36">
        <v>36000000</v>
      </c>
      <c r="D792" s="8">
        <v>2025</v>
      </c>
      <c r="E792" s="7" t="s">
        <v>26</v>
      </c>
      <c r="F792" s="41">
        <f t="shared" si="73"/>
        <v>11.666666666666666</v>
      </c>
      <c r="G792" s="11">
        <v>6</v>
      </c>
      <c r="H792" s="36">
        <f t="shared" si="74"/>
        <v>2688070</v>
      </c>
      <c r="I792" s="36">
        <v>4200000</v>
      </c>
      <c r="J792" s="9">
        <v>0.128</v>
      </c>
      <c r="K792" s="9">
        <v>5</v>
      </c>
      <c r="L792" s="40">
        <f t="shared" si="75"/>
        <v>2688000</v>
      </c>
      <c r="M792" s="8">
        <v>0</v>
      </c>
      <c r="N792" s="9">
        <v>73.8</v>
      </c>
      <c r="O792" s="9">
        <f t="shared" si="76"/>
        <v>0</v>
      </c>
      <c r="P792" s="75">
        <f t="shared" si="72"/>
        <v>7466.8611111111113</v>
      </c>
      <c r="Q792" s="78">
        <f t="shared" si="77"/>
        <v>100</v>
      </c>
      <c r="R792" s="7" t="s">
        <v>236</v>
      </c>
      <c r="S792" s="80" t="s">
        <v>28</v>
      </c>
      <c r="T792" s="7" t="s">
        <v>83</v>
      </c>
      <c r="U792" s="7"/>
    </row>
    <row r="793" spans="1:21" ht="22.8" x14ac:dyDescent="0.3">
      <c r="A793" s="10" t="s">
        <v>231</v>
      </c>
      <c r="B793" s="10" t="s">
        <v>118</v>
      </c>
      <c r="C793" s="37">
        <v>36000000</v>
      </c>
      <c r="D793" s="11">
        <v>2025</v>
      </c>
      <c r="E793" s="10" t="s">
        <v>30</v>
      </c>
      <c r="F793" s="41">
        <f t="shared" si="73"/>
        <v>1.1666666666666667E-4</v>
      </c>
      <c r="G793" s="8">
        <v>6</v>
      </c>
      <c r="H793" s="36">
        <f t="shared" si="74"/>
        <v>13304.1607</v>
      </c>
      <c r="I793" s="37">
        <v>42</v>
      </c>
      <c r="J793" s="12">
        <v>0.12</v>
      </c>
      <c r="K793" s="12">
        <v>4</v>
      </c>
      <c r="L793" s="40">
        <f t="shared" si="75"/>
        <v>20.16</v>
      </c>
      <c r="M793" s="11">
        <v>180</v>
      </c>
      <c r="N793" s="12">
        <v>73.8</v>
      </c>
      <c r="O793" s="9">
        <f t="shared" si="76"/>
        <v>13284</v>
      </c>
      <c r="P793" s="75">
        <f t="shared" si="72"/>
        <v>36.956001944444445</v>
      </c>
      <c r="Q793" s="78">
        <f t="shared" si="77"/>
        <v>30.896169282113018</v>
      </c>
      <c r="R793" s="10" t="s">
        <v>237</v>
      </c>
      <c r="S793" s="81" t="s">
        <v>29</v>
      </c>
      <c r="T793" s="10" t="s">
        <v>33</v>
      </c>
      <c r="U793" s="10"/>
    </row>
    <row r="794" spans="1:21" ht="22.8" x14ac:dyDescent="0.3">
      <c r="A794" s="7" t="s">
        <v>248</v>
      </c>
      <c r="B794" s="7" t="s">
        <v>118</v>
      </c>
      <c r="C794" s="36">
        <v>18502413</v>
      </c>
      <c r="D794" s="8">
        <v>2015</v>
      </c>
      <c r="E794" s="7" t="s">
        <v>11</v>
      </c>
      <c r="F794" s="41">
        <f t="shared" si="73"/>
        <v>0.15349349298386109</v>
      </c>
      <c r="G794" s="11">
        <v>9</v>
      </c>
      <c r="H794" s="36">
        <f t="shared" si="74"/>
        <v>3587378.9814414368</v>
      </c>
      <c r="I794" s="36">
        <v>28400</v>
      </c>
      <c r="J794" s="9">
        <v>0.13300000000000001</v>
      </c>
      <c r="K794" s="9">
        <v>8</v>
      </c>
      <c r="L794" s="40">
        <f t="shared" si="75"/>
        <v>30217.600000000002</v>
      </c>
      <c r="M794" s="8">
        <v>48200</v>
      </c>
      <c r="N794" s="9">
        <v>73.8</v>
      </c>
      <c r="O794" s="9">
        <f t="shared" si="76"/>
        <v>3557160</v>
      </c>
      <c r="P794" s="75">
        <f t="shared" si="72"/>
        <v>19388.708821068023</v>
      </c>
      <c r="Q794" s="78">
        <f t="shared" si="77"/>
        <v>100</v>
      </c>
      <c r="R794" s="7" t="s">
        <v>249</v>
      </c>
      <c r="S794" s="80" t="s">
        <v>19</v>
      </c>
      <c r="T794" s="7" t="s">
        <v>78</v>
      </c>
      <c r="U794" s="7"/>
    </row>
    <row r="795" spans="1:21" x14ac:dyDescent="0.3">
      <c r="A795" s="10" t="s">
        <v>248</v>
      </c>
      <c r="B795" s="10" t="s">
        <v>118</v>
      </c>
      <c r="C795" s="37">
        <v>18502413</v>
      </c>
      <c r="D795" s="11">
        <v>2015</v>
      </c>
      <c r="E795" s="10" t="s">
        <v>17</v>
      </c>
      <c r="F795" s="41">
        <f t="shared" si="73"/>
        <v>2.5942562194455395E-3</v>
      </c>
      <c r="G795" s="8">
        <v>7</v>
      </c>
      <c r="H795" s="36">
        <f t="shared" si="74"/>
        <v>18095.058159793538</v>
      </c>
      <c r="I795" s="37">
        <v>480</v>
      </c>
      <c r="J795" s="12">
        <v>0.13300000000000001</v>
      </c>
      <c r="K795" s="12">
        <v>6</v>
      </c>
      <c r="L795" s="40">
        <f t="shared" si="75"/>
        <v>383.04</v>
      </c>
      <c r="M795" s="11">
        <v>240</v>
      </c>
      <c r="N795" s="12">
        <v>73.8</v>
      </c>
      <c r="O795" s="9">
        <f t="shared" si="76"/>
        <v>17712</v>
      </c>
      <c r="P795" s="75">
        <f t="shared" si="72"/>
        <v>97.798369108902392</v>
      </c>
      <c r="Q795" s="78">
        <f t="shared" si="77"/>
        <v>62.393139460864177</v>
      </c>
      <c r="R795" s="10" t="s">
        <v>250</v>
      </c>
      <c r="S795" s="81" t="s">
        <v>19</v>
      </c>
      <c r="T795" s="10" t="s">
        <v>99</v>
      </c>
      <c r="U795" s="10"/>
    </row>
    <row r="796" spans="1:21" x14ac:dyDescent="0.3">
      <c r="A796" s="7" t="s">
        <v>248</v>
      </c>
      <c r="B796" s="7" t="s">
        <v>118</v>
      </c>
      <c r="C796" s="36">
        <v>18502413</v>
      </c>
      <c r="D796" s="8">
        <v>2015</v>
      </c>
      <c r="E796" s="7" t="s">
        <v>20</v>
      </c>
      <c r="F796" s="41">
        <f t="shared" si="73"/>
        <v>1.2971281097227698E-3</v>
      </c>
      <c r="G796" s="11">
        <v>7</v>
      </c>
      <c r="H796" s="36">
        <f t="shared" si="74"/>
        <v>35615.529079896762</v>
      </c>
      <c r="I796" s="36">
        <v>240</v>
      </c>
      <c r="J796" s="9">
        <v>0.13300000000000001</v>
      </c>
      <c r="K796" s="9">
        <v>6</v>
      </c>
      <c r="L796" s="40">
        <f t="shared" si="75"/>
        <v>191.52</v>
      </c>
      <c r="M796" s="8">
        <v>480</v>
      </c>
      <c r="N796" s="9">
        <v>73.8</v>
      </c>
      <c r="O796" s="9">
        <f t="shared" si="76"/>
        <v>35424</v>
      </c>
      <c r="P796" s="75">
        <f t="shared" si="72"/>
        <v>192.49126630076177</v>
      </c>
      <c r="Q796" s="78">
        <f t="shared" si="77"/>
        <v>85.411150223753921</v>
      </c>
      <c r="R796" s="7" t="s">
        <v>251</v>
      </c>
      <c r="S796" s="80" t="s">
        <v>19</v>
      </c>
      <c r="T796" s="7"/>
      <c r="U796" s="7"/>
    </row>
    <row r="797" spans="1:21" x14ac:dyDescent="0.3">
      <c r="A797" s="10" t="s">
        <v>248</v>
      </c>
      <c r="B797" s="10" t="s">
        <v>118</v>
      </c>
      <c r="C797" s="37">
        <v>18502413</v>
      </c>
      <c r="D797" s="11">
        <v>2015</v>
      </c>
      <c r="E797" s="10" t="s">
        <v>23</v>
      </c>
      <c r="F797" s="41">
        <f t="shared" si="73"/>
        <v>4.5399483840296937E-3</v>
      </c>
      <c r="G797" s="8">
        <v>8</v>
      </c>
      <c r="H797" s="36">
        <f t="shared" si="74"/>
        <v>92294.076319587068</v>
      </c>
      <c r="I797" s="37">
        <v>840</v>
      </c>
      <c r="J797" s="12">
        <v>0.13300000000000001</v>
      </c>
      <c r="K797" s="12">
        <v>7</v>
      </c>
      <c r="L797" s="40">
        <f t="shared" si="75"/>
        <v>782.04</v>
      </c>
      <c r="M797" s="11">
        <v>1240</v>
      </c>
      <c r="N797" s="12">
        <v>73.8</v>
      </c>
      <c r="O797" s="9">
        <f t="shared" si="76"/>
        <v>91512</v>
      </c>
      <c r="P797" s="75">
        <f t="shared" ref="P797:P860" si="78">H797/C797*100000</f>
        <v>498.82183647931254</v>
      </c>
      <c r="Q797" s="78">
        <f t="shared" si="77"/>
        <v>99.318219948853454</v>
      </c>
      <c r="R797" s="10" t="s">
        <v>252</v>
      </c>
      <c r="S797" s="81" t="s">
        <v>25</v>
      </c>
      <c r="T797" s="10" t="s">
        <v>15</v>
      </c>
      <c r="U797" s="10"/>
    </row>
    <row r="798" spans="1:21" ht="22.8" x14ac:dyDescent="0.3">
      <c r="A798" s="7" t="s">
        <v>248</v>
      </c>
      <c r="B798" s="7" t="s">
        <v>118</v>
      </c>
      <c r="C798" s="36">
        <v>18502413</v>
      </c>
      <c r="D798" s="8">
        <v>2015</v>
      </c>
      <c r="E798" s="7" t="s">
        <v>26</v>
      </c>
      <c r="F798" s="41">
        <f t="shared" si="73"/>
        <v>36.751963108811808</v>
      </c>
      <c r="G798" s="11">
        <v>6</v>
      </c>
      <c r="H798" s="36">
        <f t="shared" si="74"/>
        <v>4352220.5117786527</v>
      </c>
      <c r="I798" s="36">
        <v>6800000</v>
      </c>
      <c r="J798" s="9">
        <v>0.128</v>
      </c>
      <c r="K798" s="9">
        <v>5</v>
      </c>
      <c r="L798" s="40">
        <f t="shared" si="75"/>
        <v>4352000</v>
      </c>
      <c r="M798" s="8">
        <v>0</v>
      </c>
      <c r="N798" s="9">
        <v>73.8</v>
      </c>
      <c r="O798" s="9">
        <f t="shared" si="76"/>
        <v>0</v>
      </c>
      <c r="P798" s="75">
        <f t="shared" si="78"/>
        <v>23522.448189750452</v>
      </c>
      <c r="Q798" s="78">
        <f t="shared" si="77"/>
        <v>100</v>
      </c>
      <c r="R798" s="7" t="s">
        <v>253</v>
      </c>
      <c r="S798" s="80" t="s">
        <v>28</v>
      </c>
      <c r="T798" s="7" t="s">
        <v>83</v>
      </c>
      <c r="U798" s="7"/>
    </row>
    <row r="799" spans="1:21" x14ac:dyDescent="0.3">
      <c r="A799" s="10" t="s">
        <v>248</v>
      </c>
      <c r="B799" s="10" t="s">
        <v>118</v>
      </c>
      <c r="C799" s="37">
        <v>18502413</v>
      </c>
      <c r="D799" s="11">
        <v>2015</v>
      </c>
      <c r="E799" s="10" t="s">
        <v>30</v>
      </c>
      <c r="F799" s="41">
        <f t="shared" si="73"/>
        <v>1.5133161280098979E-4</v>
      </c>
      <c r="G799" s="8">
        <v>6</v>
      </c>
      <c r="H799" s="36">
        <f t="shared" si="74"/>
        <v>6212.6409079896766</v>
      </c>
      <c r="I799" s="37">
        <v>28</v>
      </c>
      <c r="J799" s="12">
        <v>0.12</v>
      </c>
      <c r="K799" s="12">
        <v>4</v>
      </c>
      <c r="L799" s="40">
        <f t="shared" si="75"/>
        <v>13.44</v>
      </c>
      <c r="M799" s="11">
        <v>84</v>
      </c>
      <c r="N799" s="12">
        <v>73.8</v>
      </c>
      <c r="O799" s="9">
        <f t="shared" si="76"/>
        <v>6199.2</v>
      </c>
      <c r="P799" s="75">
        <f t="shared" si="78"/>
        <v>33.577463155695838</v>
      </c>
      <c r="Q799" s="78">
        <f t="shared" si="77"/>
        <v>28.521582253767196</v>
      </c>
      <c r="R799" s="10" t="s">
        <v>254</v>
      </c>
      <c r="S799" s="81" t="s">
        <v>29</v>
      </c>
      <c r="T799" s="10" t="s">
        <v>33</v>
      </c>
      <c r="U799" s="10"/>
    </row>
    <row r="800" spans="1:21" x14ac:dyDescent="0.3">
      <c r="A800" s="7" t="s">
        <v>248</v>
      </c>
      <c r="B800" s="7" t="s">
        <v>118</v>
      </c>
      <c r="C800" s="36">
        <v>18430453</v>
      </c>
      <c r="D800" s="8">
        <v>2016</v>
      </c>
      <c r="E800" s="7" t="s">
        <v>11</v>
      </c>
      <c r="F800" s="41">
        <f t="shared" si="73"/>
        <v>0.13455990474026872</v>
      </c>
      <c r="G800" s="11">
        <v>9</v>
      </c>
      <c r="H800" s="36">
        <f t="shared" si="74"/>
        <v>3133368.4110391429</v>
      </c>
      <c r="I800" s="36">
        <v>24800</v>
      </c>
      <c r="J800" s="9">
        <v>0.13300000000000001</v>
      </c>
      <c r="K800" s="9">
        <v>8</v>
      </c>
      <c r="L800" s="40">
        <f t="shared" si="75"/>
        <v>26387.200000000001</v>
      </c>
      <c r="M800" s="8">
        <v>42100</v>
      </c>
      <c r="N800" s="9">
        <v>73.8</v>
      </c>
      <c r="O800" s="9">
        <f t="shared" si="76"/>
        <v>3106980</v>
      </c>
      <c r="P800" s="75">
        <f t="shared" si="78"/>
        <v>17001.038504257831</v>
      </c>
      <c r="Q800" s="78">
        <f t="shared" si="77"/>
        <v>100</v>
      </c>
      <c r="R800" s="7" t="s">
        <v>255</v>
      </c>
      <c r="S800" s="80" t="s">
        <v>19</v>
      </c>
      <c r="T800" s="7" t="s">
        <v>78</v>
      </c>
      <c r="U800" s="7"/>
    </row>
    <row r="801" spans="1:21" x14ac:dyDescent="0.3">
      <c r="A801" s="10" t="s">
        <v>248</v>
      </c>
      <c r="B801" s="10" t="s">
        <v>118</v>
      </c>
      <c r="C801" s="37">
        <v>18430453</v>
      </c>
      <c r="D801" s="11">
        <v>2016</v>
      </c>
      <c r="E801" s="10" t="s">
        <v>17</v>
      </c>
      <c r="F801" s="41">
        <f t="shared" si="73"/>
        <v>2.6043852530374593E-3</v>
      </c>
      <c r="G801" s="8">
        <v>7</v>
      </c>
      <c r="H801" s="36">
        <f t="shared" si="74"/>
        <v>18095.058230696774</v>
      </c>
      <c r="I801" s="37">
        <v>480</v>
      </c>
      <c r="J801" s="12">
        <v>0.13300000000000001</v>
      </c>
      <c r="K801" s="12">
        <v>6</v>
      </c>
      <c r="L801" s="40">
        <f t="shared" si="75"/>
        <v>383.04</v>
      </c>
      <c r="M801" s="11">
        <v>240</v>
      </c>
      <c r="N801" s="12">
        <v>73.8</v>
      </c>
      <c r="O801" s="9">
        <f t="shared" si="76"/>
        <v>17712</v>
      </c>
      <c r="P801" s="75">
        <f t="shared" si="78"/>
        <v>98.180214185168296</v>
      </c>
      <c r="Q801" s="78">
        <f t="shared" si="77"/>
        <v>62.536465590139265</v>
      </c>
      <c r="R801" s="10" t="s">
        <v>250</v>
      </c>
      <c r="S801" s="81" t="s">
        <v>19</v>
      </c>
      <c r="T801" s="10" t="s">
        <v>99</v>
      </c>
      <c r="U801" s="10"/>
    </row>
    <row r="802" spans="1:21" x14ac:dyDescent="0.3">
      <c r="A802" s="7" t="s">
        <v>248</v>
      </c>
      <c r="B802" s="7" t="s">
        <v>118</v>
      </c>
      <c r="C802" s="36">
        <v>18430453</v>
      </c>
      <c r="D802" s="8">
        <v>2016</v>
      </c>
      <c r="E802" s="7" t="s">
        <v>20</v>
      </c>
      <c r="F802" s="41">
        <f t="shared" si="73"/>
        <v>1.3021926265187297E-3</v>
      </c>
      <c r="G802" s="11">
        <v>7</v>
      </c>
      <c r="H802" s="36">
        <f t="shared" si="74"/>
        <v>35615.529115348385</v>
      </c>
      <c r="I802" s="36">
        <v>240</v>
      </c>
      <c r="J802" s="9">
        <v>0.13300000000000001</v>
      </c>
      <c r="K802" s="9">
        <v>6</v>
      </c>
      <c r="L802" s="40">
        <f t="shared" si="75"/>
        <v>191.52</v>
      </c>
      <c r="M802" s="8">
        <v>480</v>
      </c>
      <c r="N802" s="9">
        <v>73.8</v>
      </c>
      <c r="O802" s="9">
        <f t="shared" si="76"/>
        <v>35424</v>
      </c>
      <c r="P802" s="75">
        <f t="shared" si="78"/>
        <v>193.24283084820752</v>
      </c>
      <c r="Q802" s="78">
        <f t="shared" si="77"/>
        <v>85.520383851770632</v>
      </c>
      <c r="R802" s="7" t="s">
        <v>251</v>
      </c>
      <c r="S802" s="80" t="s">
        <v>19</v>
      </c>
      <c r="T802" s="7"/>
      <c r="U802" s="7"/>
    </row>
    <row r="803" spans="1:21" x14ac:dyDescent="0.3">
      <c r="A803" s="10" t="s">
        <v>248</v>
      </c>
      <c r="B803" s="10" t="s">
        <v>118</v>
      </c>
      <c r="C803" s="37">
        <v>18430453</v>
      </c>
      <c r="D803" s="11">
        <v>2016</v>
      </c>
      <c r="E803" s="10" t="s">
        <v>23</v>
      </c>
      <c r="F803" s="41">
        <f t="shared" si="73"/>
        <v>4.5576741928155537E-3</v>
      </c>
      <c r="G803" s="8">
        <v>8</v>
      </c>
      <c r="H803" s="36">
        <f t="shared" si="74"/>
        <v>92294.076461393532</v>
      </c>
      <c r="I803" s="37">
        <v>840</v>
      </c>
      <c r="J803" s="12">
        <v>0.13300000000000001</v>
      </c>
      <c r="K803" s="12">
        <v>7</v>
      </c>
      <c r="L803" s="40">
        <f t="shared" si="75"/>
        <v>782.04</v>
      </c>
      <c r="M803" s="11">
        <v>1240</v>
      </c>
      <c r="N803" s="12">
        <v>73.8</v>
      </c>
      <c r="O803" s="9">
        <f t="shared" si="76"/>
        <v>91512</v>
      </c>
      <c r="P803" s="75">
        <f t="shared" si="78"/>
        <v>500.76944099742707</v>
      </c>
      <c r="Q803" s="78">
        <f t="shared" si="77"/>
        <v>99.331369858157331</v>
      </c>
      <c r="R803" s="10" t="s">
        <v>252</v>
      </c>
      <c r="S803" s="81" t="s">
        <v>25</v>
      </c>
      <c r="T803" s="10" t="s">
        <v>15</v>
      </c>
      <c r="U803" s="10"/>
    </row>
    <row r="804" spans="1:21" ht="22.8" x14ac:dyDescent="0.3">
      <c r="A804" s="7" t="s">
        <v>248</v>
      </c>
      <c r="B804" s="7" t="s">
        <v>118</v>
      </c>
      <c r="C804" s="36">
        <v>18430453</v>
      </c>
      <c r="D804" s="8">
        <v>2016</v>
      </c>
      <c r="E804" s="7" t="s">
        <v>26</v>
      </c>
      <c r="F804" s="41">
        <f t="shared" si="73"/>
        <v>36.895457751364006</v>
      </c>
      <c r="G804" s="11">
        <v>6</v>
      </c>
      <c r="H804" s="36">
        <f t="shared" si="74"/>
        <v>4352221.3727465086</v>
      </c>
      <c r="I804" s="36">
        <v>6800000</v>
      </c>
      <c r="J804" s="9">
        <v>0.128</v>
      </c>
      <c r="K804" s="9">
        <v>5</v>
      </c>
      <c r="L804" s="40">
        <f t="shared" si="75"/>
        <v>4352000</v>
      </c>
      <c r="M804" s="8">
        <v>0</v>
      </c>
      <c r="N804" s="9">
        <v>73.8</v>
      </c>
      <c r="O804" s="9">
        <f t="shared" si="76"/>
        <v>0</v>
      </c>
      <c r="P804" s="75">
        <f t="shared" si="78"/>
        <v>23614.294085698861</v>
      </c>
      <c r="Q804" s="78">
        <f t="shared" si="77"/>
        <v>100</v>
      </c>
      <c r="R804" s="7" t="s">
        <v>253</v>
      </c>
      <c r="S804" s="80" t="s">
        <v>28</v>
      </c>
      <c r="T804" s="7" t="s">
        <v>83</v>
      </c>
      <c r="U804" s="7"/>
    </row>
    <row r="805" spans="1:21" x14ac:dyDescent="0.3">
      <c r="A805" s="10" t="s">
        <v>248</v>
      </c>
      <c r="B805" s="10" t="s">
        <v>118</v>
      </c>
      <c r="C805" s="37">
        <v>18430453</v>
      </c>
      <c r="D805" s="11">
        <v>2016</v>
      </c>
      <c r="E805" s="10" t="s">
        <v>30</v>
      </c>
      <c r="F805" s="41">
        <f t="shared" si="73"/>
        <v>1.519224730938518E-4</v>
      </c>
      <c r="G805" s="8">
        <v>6</v>
      </c>
      <c r="H805" s="36">
        <f t="shared" si="74"/>
        <v>6212.6409115348379</v>
      </c>
      <c r="I805" s="37">
        <v>28</v>
      </c>
      <c r="J805" s="12">
        <v>0.12</v>
      </c>
      <c r="K805" s="12">
        <v>4</v>
      </c>
      <c r="L805" s="40">
        <f t="shared" si="75"/>
        <v>13.44</v>
      </c>
      <c r="M805" s="11">
        <v>84</v>
      </c>
      <c r="N805" s="12">
        <v>73.8</v>
      </c>
      <c r="O805" s="9">
        <f t="shared" si="76"/>
        <v>6199.2</v>
      </c>
      <c r="P805" s="75">
        <f t="shared" si="78"/>
        <v>33.708563275871938</v>
      </c>
      <c r="Q805" s="78">
        <f t="shared" si="77"/>
        <v>28.615229146325383</v>
      </c>
      <c r="R805" s="10" t="s">
        <v>254</v>
      </c>
      <c r="S805" s="81" t="s">
        <v>29</v>
      </c>
      <c r="T805" s="10" t="s">
        <v>33</v>
      </c>
      <c r="U805" s="10"/>
    </row>
    <row r="806" spans="1:21" x14ac:dyDescent="0.3">
      <c r="A806" s="7" t="s">
        <v>248</v>
      </c>
      <c r="B806" s="7" t="s">
        <v>118</v>
      </c>
      <c r="C806" s="36">
        <v>18270000</v>
      </c>
      <c r="D806" s="8">
        <v>2017</v>
      </c>
      <c r="E806" s="7" t="s">
        <v>11</v>
      </c>
      <c r="F806" s="41">
        <f t="shared" si="73"/>
        <v>0.10071154898741105</v>
      </c>
      <c r="G806" s="11">
        <v>9</v>
      </c>
      <c r="H806" s="36">
        <f t="shared" si="74"/>
        <v>2410698.5064039412</v>
      </c>
      <c r="I806" s="36">
        <v>18400</v>
      </c>
      <c r="J806" s="9">
        <v>0.13300000000000001</v>
      </c>
      <c r="K806" s="9">
        <v>8</v>
      </c>
      <c r="L806" s="40">
        <f t="shared" si="75"/>
        <v>19577.600000000002</v>
      </c>
      <c r="M806" s="8">
        <v>32400</v>
      </c>
      <c r="N806" s="9">
        <v>73.8</v>
      </c>
      <c r="O806" s="9">
        <f t="shared" si="76"/>
        <v>2391120</v>
      </c>
      <c r="P806" s="75">
        <f t="shared" si="78"/>
        <v>13194.846778346695</v>
      </c>
      <c r="Q806" s="78">
        <f t="shared" si="77"/>
        <v>100</v>
      </c>
      <c r="R806" s="7" t="s">
        <v>256</v>
      </c>
      <c r="S806" s="80" t="s">
        <v>19</v>
      </c>
      <c r="T806" s="7" t="s">
        <v>78</v>
      </c>
      <c r="U806" s="7"/>
    </row>
    <row r="807" spans="1:21" x14ac:dyDescent="0.3">
      <c r="A807" s="10" t="s">
        <v>248</v>
      </c>
      <c r="B807" s="10" t="s">
        <v>118</v>
      </c>
      <c r="C807" s="37">
        <v>18270000</v>
      </c>
      <c r="D807" s="11">
        <v>2017</v>
      </c>
      <c r="E807" s="10" t="s">
        <v>17</v>
      </c>
      <c r="F807" s="41">
        <f t="shared" si="73"/>
        <v>2.6272577996715929E-3</v>
      </c>
      <c r="G807" s="8">
        <v>7</v>
      </c>
      <c r="H807" s="36">
        <f t="shared" si="74"/>
        <v>18095.058390804599</v>
      </c>
      <c r="I807" s="37">
        <v>480</v>
      </c>
      <c r="J807" s="12">
        <v>0.13300000000000001</v>
      </c>
      <c r="K807" s="12">
        <v>6</v>
      </c>
      <c r="L807" s="40">
        <f t="shared" si="75"/>
        <v>383.04</v>
      </c>
      <c r="M807" s="11">
        <v>240</v>
      </c>
      <c r="N807" s="12">
        <v>73.8</v>
      </c>
      <c r="O807" s="9">
        <f t="shared" si="76"/>
        <v>17712</v>
      </c>
      <c r="P807" s="75">
        <f t="shared" si="78"/>
        <v>99.042465193238087</v>
      </c>
      <c r="Q807" s="78">
        <f t="shared" si="77"/>
        <v>62.858106623949084</v>
      </c>
      <c r="R807" s="10" t="s">
        <v>250</v>
      </c>
      <c r="S807" s="81" t="s">
        <v>19</v>
      </c>
      <c r="T807" s="10" t="s">
        <v>99</v>
      </c>
      <c r="U807" s="10"/>
    </row>
    <row r="808" spans="1:21" x14ac:dyDescent="0.3">
      <c r="A808" s="7" t="s">
        <v>248</v>
      </c>
      <c r="B808" s="7" t="s">
        <v>118</v>
      </c>
      <c r="C808" s="36">
        <v>18270000</v>
      </c>
      <c r="D808" s="8">
        <v>2017</v>
      </c>
      <c r="E808" s="7" t="s">
        <v>20</v>
      </c>
      <c r="F808" s="41">
        <f t="shared" si="73"/>
        <v>1.3136288998357964E-3</v>
      </c>
      <c r="G808" s="11">
        <v>7</v>
      </c>
      <c r="H808" s="36">
        <f t="shared" si="74"/>
        <v>35615.529195402298</v>
      </c>
      <c r="I808" s="36">
        <v>240</v>
      </c>
      <c r="J808" s="9">
        <v>0.13300000000000001</v>
      </c>
      <c r="K808" s="9">
        <v>6</v>
      </c>
      <c r="L808" s="40">
        <f t="shared" si="75"/>
        <v>191.52</v>
      </c>
      <c r="M808" s="8">
        <v>480</v>
      </c>
      <c r="N808" s="9">
        <v>73.8</v>
      </c>
      <c r="O808" s="9">
        <f t="shared" si="76"/>
        <v>35424</v>
      </c>
      <c r="P808" s="75">
        <f t="shared" si="78"/>
        <v>194.93995180844169</v>
      </c>
      <c r="Q808" s="78">
        <f t="shared" si="77"/>
        <v>85.764046975081953</v>
      </c>
      <c r="R808" s="7" t="s">
        <v>251</v>
      </c>
      <c r="S808" s="80" t="s">
        <v>19</v>
      </c>
      <c r="T808" s="7"/>
      <c r="U808" s="7"/>
    </row>
    <row r="809" spans="1:21" x14ac:dyDescent="0.3">
      <c r="A809" s="10" t="s">
        <v>248</v>
      </c>
      <c r="B809" s="10" t="s">
        <v>118</v>
      </c>
      <c r="C809" s="37">
        <v>18270000</v>
      </c>
      <c r="D809" s="11">
        <v>2017</v>
      </c>
      <c r="E809" s="10" t="s">
        <v>23</v>
      </c>
      <c r="F809" s="41">
        <f t="shared" si="73"/>
        <v>4.5977011494252873E-3</v>
      </c>
      <c r="G809" s="8">
        <v>8</v>
      </c>
      <c r="H809" s="36">
        <f t="shared" si="74"/>
        <v>92294.076781609183</v>
      </c>
      <c r="I809" s="37">
        <v>840</v>
      </c>
      <c r="J809" s="12">
        <v>0.13300000000000001</v>
      </c>
      <c r="K809" s="12">
        <v>7</v>
      </c>
      <c r="L809" s="40">
        <f t="shared" si="75"/>
        <v>782.04</v>
      </c>
      <c r="M809" s="11">
        <v>1240</v>
      </c>
      <c r="N809" s="12">
        <v>73.8</v>
      </c>
      <c r="O809" s="9">
        <f t="shared" si="76"/>
        <v>91512</v>
      </c>
      <c r="P809" s="75">
        <f t="shared" si="78"/>
        <v>505.16736059994082</v>
      </c>
      <c r="Q809" s="78">
        <f t="shared" si="77"/>
        <v>99.360138428152311</v>
      </c>
      <c r="R809" s="10" t="s">
        <v>252</v>
      </c>
      <c r="S809" s="81" t="s">
        <v>25</v>
      </c>
      <c r="T809" s="10" t="s">
        <v>15</v>
      </c>
      <c r="U809" s="10"/>
    </row>
    <row r="810" spans="1:21" ht="22.8" x14ac:dyDescent="0.3">
      <c r="A810" s="7" t="s">
        <v>248</v>
      </c>
      <c r="B810" s="7" t="s">
        <v>118</v>
      </c>
      <c r="C810" s="36">
        <v>18270000</v>
      </c>
      <c r="D810" s="8">
        <v>2017</v>
      </c>
      <c r="E810" s="7" t="s">
        <v>26</v>
      </c>
      <c r="F810" s="41">
        <f t="shared" si="73"/>
        <v>37.219485495347563</v>
      </c>
      <c r="G810" s="11">
        <v>6</v>
      </c>
      <c r="H810" s="36">
        <f t="shared" si="74"/>
        <v>4352223.3169129724</v>
      </c>
      <c r="I810" s="36">
        <v>6800000</v>
      </c>
      <c r="J810" s="9">
        <v>0.128</v>
      </c>
      <c r="K810" s="9">
        <v>5</v>
      </c>
      <c r="L810" s="40">
        <f t="shared" si="75"/>
        <v>4352000</v>
      </c>
      <c r="M810" s="8">
        <v>0</v>
      </c>
      <c r="N810" s="9">
        <v>73.8</v>
      </c>
      <c r="O810" s="9">
        <f t="shared" si="76"/>
        <v>0</v>
      </c>
      <c r="P810" s="75">
        <f t="shared" si="78"/>
        <v>23821.693031817034</v>
      </c>
      <c r="Q810" s="78">
        <f t="shared" si="77"/>
        <v>100</v>
      </c>
      <c r="R810" s="7" t="s">
        <v>253</v>
      </c>
      <c r="S810" s="80" t="s">
        <v>28</v>
      </c>
      <c r="T810" s="7" t="s">
        <v>83</v>
      </c>
      <c r="U810" s="7"/>
    </row>
    <row r="811" spans="1:21" x14ac:dyDescent="0.3">
      <c r="A811" s="10" t="s">
        <v>248</v>
      </c>
      <c r="B811" s="10" t="s">
        <v>118</v>
      </c>
      <c r="C811" s="37">
        <v>18270000</v>
      </c>
      <c r="D811" s="11">
        <v>2017</v>
      </c>
      <c r="E811" s="10" t="s">
        <v>30</v>
      </c>
      <c r="F811" s="41">
        <f t="shared" si="73"/>
        <v>1.5325670498084291E-4</v>
      </c>
      <c r="G811" s="8">
        <v>6</v>
      </c>
      <c r="H811" s="36">
        <f t="shared" si="74"/>
        <v>6212.6409195402293</v>
      </c>
      <c r="I811" s="37">
        <v>28</v>
      </c>
      <c r="J811" s="12">
        <v>0.12</v>
      </c>
      <c r="K811" s="12">
        <v>4</v>
      </c>
      <c r="L811" s="40">
        <f t="shared" si="75"/>
        <v>13.44</v>
      </c>
      <c r="M811" s="11">
        <v>84</v>
      </c>
      <c r="N811" s="12">
        <v>73.8</v>
      </c>
      <c r="O811" s="9">
        <f t="shared" si="76"/>
        <v>6199.2</v>
      </c>
      <c r="P811" s="75">
        <f t="shared" si="78"/>
        <v>34.004602734210337</v>
      </c>
      <c r="Q811" s="78">
        <f t="shared" si="77"/>
        <v>28.826243737959821</v>
      </c>
      <c r="R811" s="10" t="s">
        <v>254</v>
      </c>
      <c r="S811" s="81" t="s">
        <v>29</v>
      </c>
      <c r="T811" s="10" t="s">
        <v>33</v>
      </c>
      <c r="U811" s="10"/>
    </row>
    <row r="812" spans="1:21" x14ac:dyDescent="0.3">
      <c r="A812" s="7" t="s">
        <v>248</v>
      </c>
      <c r="B812" s="7" t="s">
        <v>118</v>
      </c>
      <c r="C812" s="36">
        <v>17500000</v>
      </c>
      <c r="D812" s="8">
        <v>2018</v>
      </c>
      <c r="E812" s="7" t="s">
        <v>11</v>
      </c>
      <c r="F812" s="41">
        <f t="shared" si="73"/>
        <v>8.1142857142857142E-2</v>
      </c>
      <c r="G812" s="11">
        <v>9</v>
      </c>
      <c r="H812" s="36">
        <f t="shared" si="74"/>
        <v>1697749.5302857144</v>
      </c>
      <c r="I812" s="36">
        <v>14200</v>
      </c>
      <c r="J812" s="9">
        <v>0.13300000000000001</v>
      </c>
      <c r="K812" s="9">
        <v>8</v>
      </c>
      <c r="L812" s="40">
        <f t="shared" si="75"/>
        <v>15108.800000000001</v>
      </c>
      <c r="M812" s="8">
        <v>22800</v>
      </c>
      <c r="N812" s="9">
        <v>73.8</v>
      </c>
      <c r="O812" s="9">
        <f t="shared" si="76"/>
        <v>1682640</v>
      </c>
      <c r="P812" s="75">
        <f t="shared" si="78"/>
        <v>9701.4258873469407</v>
      </c>
      <c r="Q812" s="78">
        <f t="shared" si="77"/>
        <v>100</v>
      </c>
      <c r="R812" s="7" t="s">
        <v>257</v>
      </c>
      <c r="S812" s="80" t="s">
        <v>19</v>
      </c>
      <c r="T812" s="7" t="s">
        <v>78</v>
      </c>
      <c r="U812" s="7"/>
    </row>
    <row r="813" spans="1:21" x14ac:dyDescent="0.3">
      <c r="A813" s="10" t="s">
        <v>248</v>
      </c>
      <c r="B813" s="10" t="s">
        <v>118</v>
      </c>
      <c r="C813" s="37">
        <v>17500000</v>
      </c>
      <c r="D813" s="11">
        <v>2018</v>
      </c>
      <c r="E813" s="10" t="s">
        <v>17</v>
      </c>
      <c r="F813" s="41">
        <f t="shared" si="73"/>
        <v>2.7428571428571428E-3</v>
      </c>
      <c r="G813" s="8">
        <v>7</v>
      </c>
      <c r="H813" s="36">
        <f t="shared" si="74"/>
        <v>18095.0592</v>
      </c>
      <c r="I813" s="37">
        <v>480</v>
      </c>
      <c r="J813" s="12">
        <v>0.13300000000000001</v>
      </c>
      <c r="K813" s="12">
        <v>6</v>
      </c>
      <c r="L813" s="40">
        <f t="shared" si="75"/>
        <v>383.04</v>
      </c>
      <c r="M813" s="11">
        <v>240</v>
      </c>
      <c r="N813" s="12">
        <v>73.8</v>
      </c>
      <c r="O813" s="9">
        <f t="shared" si="76"/>
        <v>17712</v>
      </c>
      <c r="P813" s="75">
        <f t="shared" si="78"/>
        <v>103.40033828571428</v>
      </c>
      <c r="Q813" s="78">
        <f t="shared" si="77"/>
        <v>64.441941790206045</v>
      </c>
      <c r="R813" s="10" t="s">
        <v>250</v>
      </c>
      <c r="S813" s="81" t="s">
        <v>19</v>
      </c>
      <c r="T813" s="10" t="s">
        <v>99</v>
      </c>
      <c r="U813" s="10"/>
    </row>
    <row r="814" spans="1:21" x14ac:dyDescent="0.3">
      <c r="A814" s="7" t="s">
        <v>248</v>
      </c>
      <c r="B814" s="7" t="s">
        <v>118</v>
      </c>
      <c r="C814" s="36">
        <v>17500000</v>
      </c>
      <c r="D814" s="8">
        <v>2018</v>
      </c>
      <c r="E814" s="7" t="s">
        <v>20</v>
      </c>
      <c r="F814" s="41">
        <f t="shared" si="73"/>
        <v>1.3714285714285714E-3</v>
      </c>
      <c r="G814" s="11">
        <v>7</v>
      </c>
      <c r="H814" s="36">
        <f t="shared" si="74"/>
        <v>35615.529599999994</v>
      </c>
      <c r="I814" s="36">
        <v>240</v>
      </c>
      <c r="J814" s="9">
        <v>0.13300000000000001</v>
      </c>
      <c r="K814" s="9">
        <v>6</v>
      </c>
      <c r="L814" s="40">
        <f t="shared" si="75"/>
        <v>191.52</v>
      </c>
      <c r="M814" s="8">
        <v>480</v>
      </c>
      <c r="N814" s="9">
        <v>73.8</v>
      </c>
      <c r="O814" s="9">
        <f t="shared" si="76"/>
        <v>35424</v>
      </c>
      <c r="P814" s="75">
        <f t="shared" si="78"/>
        <v>203.51731199999998</v>
      </c>
      <c r="Q814" s="78">
        <f t="shared" si="77"/>
        <v>86.934213894293705</v>
      </c>
      <c r="R814" s="7" t="s">
        <v>251</v>
      </c>
      <c r="S814" s="80" t="s">
        <v>19</v>
      </c>
      <c r="T814" s="7"/>
      <c r="U814" s="7"/>
    </row>
    <row r="815" spans="1:21" x14ac:dyDescent="0.3">
      <c r="A815" s="10" t="s">
        <v>248</v>
      </c>
      <c r="B815" s="10" t="s">
        <v>118</v>
      </c>
      <c r="C815" s="37">
        <v>17500000</v>
      </c>
      <c r="D815" s="11">
        <v>2018</v>
      </c>
      <c r="E815" s="10" t="s">
        <v>23</v>
      </c>
      <c r="F815" s="41">
        <f t="shared" si="73"/>
        <v>4.7999999999999996E-3</v>
      </c>
      <c r="G815" s="8">
        <v>8</v>
      </c>
      <c r="H815" s="36">
        <f t="shared" si="74"/>
        <v>92294.078399999999</v>
      </c>
      <c r="I815" s="37">
        <v>840</v>
      </c>
      <c r="J815" s="12">
        <v>0.13300000000000001</v>
      </c>
      <c r="K815" s="12">
        <v>7</v>
      </c>
      <c r="L815" s="40">
        <f t="shared" si="75"/>
        <v>782.04</v>
      </c>
      <c r="M815" s="11">
        <v>1240</v>
      </c>
      <c r="N815" s="12">
        <v>73.8</v>
      </c>
      <c r="O815" s="9">
        <f t="shared" si="76"/>
        <v>91512</v>
      </c>
      <c r="P815" s="75">
        <f t="shared" si="78"/>
        <v>527.39473371428574</v>
      </c>
      <c r="Q815" s="78">
        <f t="shared" si="77"/>
        <v>99.487665297219934</v>
      </c>
      <c r="R815" s="10" t="s">
        <v>252</v>
      </c>
      <c r="S815" s="81" t="s">
        <v>25</v>
      </c>
      <c r="T815" s="10" t="s">
        <v>15</v>
      </c>
      <c r="U815" s="10"/>
    </row>
    <row r="816" spans="1:21" ht="22.8" x14ac:dyDescent="0.3">
      <c r="A816" s="7" t="s">
        <v>248</v>
      </c>
      <c r="B816" s="7" t="s">
        <v>118</v>
      </c>
      <c r="C816" s="36">
        <v>17500000</v>
      </c>
      <c r="D816" s="8">
        <v>2018</v>
      </c>
      <c r="E816" s="7" t="s">
        <v>26</v>
      </c>
      <c r="F816" s="41">
        <f t="shared" si="73"/>
        <v>38.857142857142854</v>
      </c>
      <c r="G816" s="11">
        <v>6</v>
      </c>
      <c r="H816" s="36">
        <f t="shared" si="74"/>
        <v>4352233.1428571427</v>
      </c>
      <c r="I816" s="36">
        <v>6800000</v>
      </c>
      <c r="J816" s="9">
        <v>0.128</v>
      </c>
      <c r="K816" s="9">
        <v>5</v>
      </c>
      <c r="L816" s="40">
        <f t="shared" si="75"/>
        <v>4352000</v>
      </c>
      <c r="M816" s="8">
        <v>0</v>
      </c>
      <c r="N816" s="9">
        <v>73.8</v>
      </c>
      <c r="O816" s="9">
        <f t="shared" si="76"/>
        <v>0</v>
      </c>
      <c r="P816" s="75">
        <f t="shared" si="78"/>
        <v>24869.903673469387</v>
      </c>
      <c r="Q816" s="78">
        <f t="shared" si="77"/>
        <v>100</v>
      </c>
      <c r="R816" s="7" t="s">
        <v>253</v>
      </c>
      <c r="S816" s="80" t="s">
        <v>28</v>
      </c>
      <c r="T816" s="7" t="s">
        <v>83</v>
      </c>
      <c r="U816" s="7"/>
    </row>
    <row r="817" spans="1:21" x14ac:dyDescent="0.3">
      <c r="A817" s="10" t="s">
        <v>248</v>
      </c>
      <c r="B817" s="10" t="s">
        <v>118</v>
      </c>
      <c r="C817" s="37">
        <v>17500000</v>
      </c>
      <c r="D817" s="11">
        <v>2018</v>
      </c>
      <c r="E817" s="10" t="s">
        <v>30</v>
      </c>
      <c r="F817" s="41">
        <f t="shared" si="73"/>
        <v>1.6000000000000001E-4</v>
      </c>
      <c r="G817" s="8">
        <v>6</v>
      </c>
      <c r="H817" s="36">
        <f t="shared" si="74"/>
        <v>6212.6409599999997</v>
      </c>
      <c r="I817" s="37">
        <v>28</v>
      </c>
      <c r="J817" s="12">
        <v>0.12</v>
      </c>
      <c r="K817" s="12">
        <v>4</v>
      </c>
      <c r="L817" s="40">
        <f t="shared" si="75"/>
        <v>13.44</v>
      </c>
      <c r="M817" s="11">
        <v>84</v>
      </c>
      <c r="N817" s="12">
        <v>73.8</v>
      </c>
      <c r="O817" s="9">
        <f t="shared" si="76"/>
        <v>6199.2</v>
      </c>
      <c r="P817" s="75">
        <f t="shared" si="78"/>
        <v>35.500805485714281</v>
      </c>
      <c r="Q817" s="78">
        <f t="shared" si="77"/>
        <v>29.883220462059867</v>
      </c>
      <c r="R817" s="10" t="s">
        <v>254</v>
      </c>
      <c r="S817" s="81" t="s">
        <v>29</v>
      </c>
      <c r="T817" s="10" t="s">
        <v>33</v>
      </c>
      <c r="U817" s="10"/>
    </row>
    <row r="818" spans="1:21" x14ac:dyDescent="0.3">
      <c r="A818" s="7" t="s">
        <v>248</v>
      </c>
      <c r="B818" s="7" t="s">
        <v>118</v>
      </c>
      <c r="C818" s="36">
        <v>17500114</v>
      </c>
      <c r="D818" s="8">
        <v>2019</v>
      </c>
      <c r="E818" s="7" t="s">
        <v>11</v>
      </c>
      <c r="F818" s="41">
        <f t="shared" si="73"/>
        <v>4.8113972286123394E-2</v>
      </c>
      <c r="G818" s="11">
        <v>9</v>
      </c>
      <c r="H818" s="36">
        <f t="shared" si="74"/>
        <v>924079.31302575057</v>
      </c>
      <c r="I818" s="36">
        <v>8420</v>
      </c>
      <c r="J818" s="9">
        <v>0.13300000000000001</v>
      </c>
      <c r="K818" s="9">
        <v>8</v>
      </c>
      <c r="L818" s="40">
        <f t="shared" si="75"/>
        <v>8958.880000000001</v>
      </c>
      <c r="M818" s="8">
        <v>12400</v>
      </c>
      <c r="N818" s="9">
        <v>73.8</v>
      </c>
      <c r="O818" s="9">
        <f t="shared" si="76"/>
        <v>915120</v>
      </c>
      <c r="P818" s="75">
        <f t="shared" si="78"/>
        <v>5280.4188191331241</v>
      </c>
      <c r="Q818" s="78">
        <f t="shared" si="77"/>
        <v>100</v>
      </c>
      <c r="R818" s="7" t="s">
        <v>258</v>
      </c>
      <c r="S818" s="80" t="s">
        <v>19</v>
      </c>
      <c r="T818" s="7" t="s">
        <v>78</v>
      </c>
      <c r="U818" s="7"/>
    </row>
    <row r="819" spans="1:21" x14ac:dyDescent="0.3">
      <c r="A819" s="10" t="s">
        <v>248</v>
      </c>
      <c r="B819" s="10" t="s">
        <v>118</v>
      </c>
      <c r="C819" s="37">
        <v>17500114</v>
      </c>
      <c r="D819" s="11">
        <v>2019</v>
      </c>
      <c r="E819" s="10" t="s">
        <v>17</v>
      </c>
      <c r="F819" s="41">
        <f t="shared" si="73"/>
        <v>2.7428392752184357E-3</v>
      </c>
      <c r="G819" s="8">
        <v>7</v>
      </c>
      <c r="H819" s="36">
        <f t="shared" si="74"/>
        <v>18095.059199874926</v>
      </c>
      <c r="I819" s="37">
        <v>480</v>
      </c>
      <c r="J819" s="12">
        <v>0.13300000000000001</v>
      </c>
      <c r="K819" s="12">
        <v>6</v>
      </c>
      <c r="L819" s="40">
        <f t="shared" si="75"/>
        <v>383.04</v>
      </c>
      <c r="M819" s="11">
        <v>240</v>
      </c>
      <c r="N819" s="12">
        <v>73.8</v>
      </c>
      <c r="O819" s="9">
        <f t="shared" si="76"/>
        <v>17712</v>
      </c>
      <c r="P819" s="75">
        <f t="shared" si="78"/>
        <v>103.39966471004089</v>
      </c>
      <c r="Q819" s="78">
        <f t="shared" si="77"/>
        <v>64.441702278969373</v>
      </c>
      <c r="R819" s="10" t="s">
        <v>250</v>
      </c>
      <c r="S819" s="81" t="s">
        <v>19</v>
      </c>
      <c r="T819" s="10" t="s">
        <v>99</v>
      </c>
      <c r="U819" s="10"/>
    </row>
    <row r="820" spans="1:21" x14ac:dyDescent="0.3">
      <c r="A820" s="7" t="s">
        <v>248</v>
      </c>
      <c r="B820" s="7" t="s">
        <v>118</v>
      </c>
      <c r="C820" s="36">
        <v>17500114</v>
      </c>
      <c r="D820" s="8">
        <v>2019</v>
      </c>
      <c r="E820" s="7" t="s">
        <v>20</v>
      </c>
      <c r="F820" s="41">
        <f t="shared" si="73"/>
        <v>1.3714196376092178E-3</v>
      </c>
      <c r="G820" s="11">
        <v>7</v>
      </c>
      <c r="H820" s="36">
        <f t="shared" si="74"/>
        <v>35615.529599937458</v>
      </c>
      <c r="I820" s="36">
        <v>240</v>
      </c>
      <c r="J820" s="9">
        <v>0.13300000000000001</v>
      </c>
      <c r="K820" s="9">
        <v>6</v>
      </c>
      <c r="L820" s="40">
        <f t="shared" si="75"/>
        <v>191.52</v>
      </c>
      <c r="M820" s="8">
        <v>480</v>
      </c>
      <c r="N820" s="9">
        <v>73.8</v>
      </c>
      <c r="O820" s="9">
        <f t="shared" si="76"/>
        <v>35424</v>
      </c>
      <c r="P820" s="75">
        <f t="shared" si="78"/>
        <v>203.51598623836085</v>
      </c>
      <c r="Q820" s="78">
        <f t="shared" si="77"/>
        <v>86.93404067196542</v>
      </c>
      <c r="R820" s="7" t="s">
        <v>251</v>
      </c>
      <c r="S820" s="80" t="s">
        <v>19</v>
      </c>
      <c r="T820" s="7"/>
      <c r="U820" s="7"/>
    </row>
    <row r="821" spans="1:21" x14ac:dyDescent="0.3">
      <c r="A821" s="10" t="s">
        <v>248</v>
      </c>
      <c r="B821" s="10" t="s">
        <v>118</v>
      </c>
      <c r="C821" s="37">
        <v>17500114</v>
      </c>
      <c r="D821" s="11">
        <v>2019</v>
      </c>
      <c r="E821" s="10" t="s">
        <v>23</v>
      </c>
      <c r="F821" s="41">
        <f t="shared" si="73"/>
        <v>4.7999687316322625E-3</v>
      </c>
      <c r="G821" s="8">
        <v>8</v>
      </c>
      <c r="H821" s="36">
        <f t="shared" si="74"/>
        <v>92294.078399749851</v>
      </c>
      <c r="I821" s="37">
        <v>840</v>
      </c>
      <c r="J821" s="12">
        <v>0.13300000000000001</v>
      </c>
      <c r="K821" s="12">
        <v>7</v>
      </c>
      <c r="L821" s="40">
        <f t="shared" si="75"/>
        <v>782.04</v>
      </c>
      <c r="M821" s="11">
        <v>1240</v>
      </c>
      <c r="N821" s="12">
        <v>73.8</v>
      </c>
      <c r="O821" s="9">
        <f t="shared" si="76"/>
        <v>91512</v>
      </c>
      <c r="P821" s="75">
        <f t="shared" si="78"/>
        <v>527.39129813525699</v>
      </c>
      <c r="Q821" s="78">
        <f t="shared" si="77"/>
        <v>99.487647695253955</v>
      </c>
      <c r="R821" s="10" t="s">
        <v>252</v>
      </c>
      <c r="S821" s="81" t="s">
        <v>25</v>
      </c>
      <c r="T821" s="10" t="s">
        <v>15</v>
      </c>
      <c r="U821" s="10"/>
    </row>
    <row r="822" spans="1:21" ht="22.8" x14ac:dyDescent="0.3">
      <c r="A822" s="7" t="s">
        <v>248</v>
      </c>
      <c r="B822" s="7" t="s">
        <v>118</v>
      </c>
      <c r="C822" s="36">
        <v>17500114</v>
      </c>
      <c r="D822" s="8">
        <v>2019</v>
      </c>
      <c r="E822" s="7" t="s">
        <v>26</v>
      </c>
      <c r="F822" s="41">
        <f t="shared" si="73"/>
        <v>38.856889732261173</v>
      </c>
      <c r="G822" s="11">
        <v>6</v>
      </c>
      <c r="H822" s="36">
        <f t="shared" si="74"/>
        <v>4352233.141338394</v>
      </c>
      <c r="I822" s="36">
        <v>6800000</v>
      </c>
      <c r="J822" s="9">
        <v>0.128</v>
      </c>
      <c r="K822" s="9">
        <v>5</v>
      </c>
      <c r="L822" s="40">
        <f t="shared" si="75"/>
        <v>4352000</v>
      </c>
      <c r="M822" s="8">
        <v>0</v>
      </c>
      <c r="N822" s="9">
        <v>73.8</v>
      </c>
      <c r="O822" s="9">
        <f t="shared" si="76"/>
        <v>0</v>
      </c>
      <c r="P822" s="75">
        <f t="shared" si="78"/>
        <v>24869.741656188035</v>
      </c>
      <c r="Q822" s="78">
        <f t="shared" si="77"/>
        <v>100</v>
      </c>
      <c r="R822" s="7" t="s">
        <v>253</v>
      </c>
      <c r="S822" s="80" t="s">
        <v>28</v>
      </c>
      <c r="T822" s="7" t="s">
        <v>83</v>
      </c>
      <c r="U822" s="7"/>
    </row>
    <row r="823" spans="1:21" x14ac:dyDescent="0.3">
      <c r="A823" s="10" t="s">
        <v>248</v>
      </c>
      <c r="B823" s="10" t="s">
        <v>118</v>
      </c>
      <c r="C823" s="37">
        <v>17500114</v>
      </c>
      <c r="D823" s="11">
        <v>2019</v>
      </c>
      <c r="E823" s="10" t="s">
        <v>30</v>
      </c>
      <c r="F823" s="41">
        <f t="shared" si="73"/>
        <v>1.5999895772107541E-4</v>
      </c>
      <c r="G823" s="8">
        <v>6</v>
      </c>
      <c r="H823" s="36">
        <f t="shared" si="74"/>
        <v>6212.640959993746</v>
      </c>
      <c r="I823" s="37">
        <v>28</v>
      </c>
      <c r="J823" s="12">
        <v>0.12</v>
      </c>
      <c r="K823" s="12">
        <v>4</v>
      </c>
      <c r="L823" s="40">
        <f t="shared" si="75"/>
        <v>13.44</v>
      </c>
      <c r="M823" s="11">
        <v>84</v>
      </c>
      <c r="N823" s="12">
        <v>73.8</v>
      </c>
      <c r="O823" s="9">
        <f t="shared" si="76"/>
        <v>6199.2</v>
      </c>
      <c r="P823" s="75">
        <f t="shared" si="78"/>
        <v>35.500574224795024</v>
      </c>
      <c r="Q823" s="78">
        <f t="shared" si="77"/>
        <v>29.883058309163456</v>
      </c>
      <c r="R823" s="10" t="s">
        <v>254</v>
      </c>
      <c r="S823" s="81" t="s">
        <v>29</v>
      </c>
      <c r="T823" s="10" t="s">
        <v>33</v>
      </c>
      <c r="U823" s="10"/>
    </row>
    <row r="824" spans="1:21" x14ac:dyDescent="0.3">
      <c r="A824" s="7" t="s">
        <v>248</v>
      </c>
      <c r="B824" s="7" t="s">
        <v>118</v>
      </c>
      <c r="C824" s="36">
        <v>17500000</v>
      </c>
      <c r="D824" s="8">
        <v>2020</v>
      </c>
      <c r="E824" s="7" t="s">
        <v>11</v>
      </c>
      <c r="F824" s="41">
        <f t="shared" si="73"/>
        <v>3.5657142857142859E-2</v>
      </c>
      <c r="G824" s="11">
        <v>9</v>
      </c>
      <c r="H824" s="36">
        <f t="shared" si="74"/>
        <v>685599.68091428571</v>
      </c>
      <c r="I824" s="36">
        <v>6240</v>
      </c>
      <c r="J824" s="9">
        <v>0.13300000000000001</v>
      </c>
      <c r="K824" s="9">
        <v>8</v>
      </c>
      <c r="L824" s="40">
        <f t="shared" si="75"/>
        <v>6639.3600000000006</v>
      </c>
      <c r="M824" s="8">
        <v>9200</v>
      </c>
      <c r="N824" s="9">
        <v>73.8</v>
      </c>
      <c r="O824" s="9">
        <f t="shared" si="76"/>
        <v>678960</v>
      </c>
      <c r="P824" s="75">
        <f t="shared" si="78"/>
        <v>3917.7124623673467</v>
      </c>
      <c r="Q824" s="78">
        <f t="shared" si="77"/>
        <v>100</v>
      </c>
      <c r="R824" s="7" t="s">
        <v>259</v>
      </c>
      <c r="S824" s="80" t="s">
        <v>19</v>
      </c>
      <c r="T824" s="7" t="s">
        <v>78</v>
      </c>
      <c r="U824" s="7"/>
    </row>
    <row r="825" spans="1:21" x14ac:dyDescent="0.3">
      <c r="A825" s="10" t="s">
        <v>248</v>
      </c>
      <c r="B825" s="10" t="s">
        <v>118</v>
      </c>
      <c r="C825" s="37">
        <v>17500000</v>
      </c>
      <c r="D825" s="11">
        <v>2020</v>
      </c>
      <c r="E825" s="10" t="s">
        <v>17</v>
      </c>
      <c r="F825" s="41">
        <f t="shared" si="73"/>
        <v>2.7428571428571428E-3</v>
      </c>
      <c r="G825" s="8">
        <v>7</v>
      </c>
      <c r="H825" s="36">
        <f t="shared" si="74"/>
        <v>18095.0592</v>
      </c>
      <c r="I825" s="37">
        <v>480</v>
      </c>
      <c r="J825" s="12">
        <v>0.13300000000000001</v>
      </c>
      <c r="K825" s="12">
        <v>6</v>
      </c>
      <c r="L825" s="40">
        <f t="shared" si="75"/>
        <v>383.04</v>
      </c>
      <c r="M825" s="11">
        <v>240</v>
      </c>
      <c r="N825" s="12">
        <v>73.8</v>
      </c>
      <c r="O825" s="9">
        <f t="shared" si="76"/>
        <v>17712</v>
      </c>
      <c r="P825" s="75">
        <f t="shared" si="78"/>
        <v>103.40033828571428</v>
      </c>
      <c r="Q825" s="78">
        <f t="shared" si="77"/>
        <v>64.441941790206045</v>
      </c>
      <c r="R825" s="10" t="s">
        <v>250</v>
      </c>
      <c r="S825" s="81" t="s">
        <v>19</v>
      </c>
      <c r="T825" s="10" t="s">
        <v>99</v>
      </c>
      <c r="U825" s="10"/>
    </row>
    <row r="826" spans="1:21" x14ac:dyDescent="0.3">
      <c r="A826" s="7" t="s">
        <v>248</v>
      </c>
      <c r="B826" s="7" t="s">
        <v>118</v>
      </c>
      <c r="C826" s="36">
        <v>17500000</v>
      </c>
      <c r="D826" s="8">
        <v>2020</v>
      </c>
      <c r="E826" s="7" t="s">
        <v>20</v>
      </c>
      <c r="F826" s="41">
        <f t="shared" si="73"/>
        <v>1.3714285714285714E-3</v>
      </c>
      <c r="G826" s="11">
        <v>7</v>
      </c>
      <c r="H826" s="36">
        <f t="shared" si="74"/>
        <v>35615.529599999994</v>
      </c>
      <c r="I826" s="36">
        <v>240</v>
      </c>
      <c r="J826" s="9">
        <v>0.13300000000000001</v>
      </c>
      <c r="K826" s="9">
        <v>6</v>
      </c>
      <c r="L826" s="40">
        <f t="shared" si="75"/>
        <v>191.52</v>
      </c>
      <c r="M826" s="8">
        <v>480</v>
      </c>
      <c r="N826" s="9">
        <v>73.8</v>
      </c>
      <c r="O826" s="9">
        <f t="shared" si="76"/>
        <v>35424</v>
      </c>
      <c r="P826" s="75">
        <f t="shared" si="78"/>
        <v>203.51731199999998</v>
      </c>
      <c r="Q826" s="78">
        <f t="shared" si="77"/>
        <v>86.934213894293705</v>
      </c>
      <c r="R826" s="7" t="s">
        <v>251</v>
      </c>
      <c r="S826" s="80" t="s">
        <v>19</v>
      </c>
      <c r="T826" s="7"/>
      <c r="U826" s="7"/>
    </row>
    <row r="827" spans="1:21" x14ac:dyDescent="0.3">
      <c r="A827" s="10" t="s">
        <v>248</v>
      </c>
      <c r="B827" s="10" t="s">
        <v>118</v>
      </c>
      <c r="C827" s="37">
        <v>17500000</v>
      </c>
      <c r="D827" s="11">
        <v>2020</v>
      </c>
      <c r="E827" s="10" t="s">
        <v>23</v>
      </c>
      <c r="F827" s="41">
        <f t="shared" si="73"/>
        <v>4.7999999999999996E-3</v>
      </c>
      <c r="G827" s="8">
        <v>8</v>
      </c>
      <c r="H827" s="36">
        <f t="shared" si="74"/>
        <v>92294.078399999999</v>
      </c>
      <c r="I827" s="37">
        <v>840</v>
      </c>
      <c r="J827" s="12">
        <v>0.13300000000000001</v>
      </c>
      <c r="K827" s="12">
        <v>7</v>
      </c>
      <c r="L827" s="40">
        <f t="shared" si="75"/>
        <v>782.04</v>
      </c>
      <c r="M827" s="11">
        <v>1240</v>
      </c>
      <c r="N827" s="12">
        <v>73.8</v>
      </c>
      <c r="O827" s="9">
        <f t="shared" si="76"/>
        <v>91512</v>
      </c>
      <c r="P827" s="75">
        <f t="shared" si="78"/>
        <v>527.39473371428574</v>
      </c>
      <c r="Q827" s="78">
        <f t="shared" si="77"/>
        <v>99.487665297219934</v>
      </c>
      <c r="R827" s="10" t="s">
        <v>252</v>
      </c>
      <c r="S827" s="81" t="s">
        <v>25</v>
      </c>
      <c r="T827" s="10" t="s">
        <v>15</v>
      </c>
      <c r="U827" s="10"/>
    </row>
    <row r="828" spans="1:21" ht="22.8" x14ac:dyDescent="0.3">
      <c r="A828" s="7" t="s">
        <v>248</v>
      </c>
      <c r="B828" s="7" t="s">
        <v>118</v>
      </c>
      <c r="C828" s="36">
        <v>17500000</v>
      </c>
      <c r="D828" s="8">
        <v>2020</v>
      </c>
      <c r="E828" s="7" t="s">
        <v>26</v>
      </c>
      <c r="F828" s="41">
        <f t="shared" si="73"/>
        <v>38.857142857142854</v>
      </c>
      <c r="G828" s="11">
        <v>6</v>
      </c>
      <c r="H828" s="36">
        <f t="shared" si="74"/>
        <v>4352233.1428571427</v>
      </c>
      <c r="I828" s="36">
        <v>6800000</v>
      </c>
      <c r="J828" s="9">
        <v>0.128</v>
      </c>
      <c r="K828" s="9">
        <v>5</v>
      </c>
      <c r="L828" s="40">
        <f t="shared" si="75"/>
        <v>4352000</v>
      </c>
      <c r="M828" s="8">
        <v>0</v>
      </c>
      <c r="N828" s="9">
        <v>73.8</v>
      </c>
      <c r="O828" s="9">
        <f t="shared" si="76"/>
        <v>0</v>
      </c>
      <c r="P828" s="75">
        <f t="shared" si="78"/>
        <v>24869.903673469387</v>
      </c>
      <c r="Q828" s="78">
        <f t="shared" si="77"/>
        <v>100</v>
      </c>
      <c r="R828" s="7" t="s">
        <v>253</v>
      </c>
      <c r="S828" s="80" t="s">
        <v>28</v>
      </c>
      <c r="T828" s="7" t="s">
        <v>83</v>
      </c>
      <c r="U828" s="7"/>
    </row>
    <row r="829" spans="1:21" x14ac:dyDescent="0.3">
      <c r="A829" s="10" t="s">
        <v>248</v>
      </c>
      <c r="B829" s="10" t="s">
        <v>118</v>
      </c>
      <c r="C829" s="37">
        <v>17500000</v>
      </c>
      <c r="D829" s="11">
        <v>2020</v>
      </c>
      <c r="E829" s="10" t="s">
        <v>30</v>
      </c>
      <c r="F829" s="41">
        <f t="shared" si="73"/>
        <v>1.6000000000000001E-4</v>
      </c>
      <c r="G829" s="8">
        <v>6</v>
      </c>
      <c r="H829" s="36">
        <f t="shared" si="74"/>
        <v>6212.6409599999997</v>
      </c>
      <c r="I829" s="37">
        <v>28</v>
      </c>
      <c r="J829" s="12">
        <v>0.12</v>
      </c>
      <c r="K829" s="12">
        <v>4</v>
      </c>
      <c r="L829" s="40">
        <f t="shared" si="75"/>
        <v>13.44</v>
      </c>
      <c r="M829" s="11">
        <v>84</v>
      </c>
      <c r="N829" s="12">
        <v>73.8</v>
      </c>
      <c r="O829" s="9">
        <f t="shared" si="76"/>
        <v>6199.2</v>
      </c>
      <c r="P829" s="75">
        <f t="shared" si="78"/>
        <v>35.500805485714281</v>
      </c>
      <c r="Q829" s="78">
        <f t="shared" si="77"/>
        <v>29.883220462059867</v>
      </c>
      <c r="R829" s="10" t="s">
        <v>254</v>
      </c>
      <c r="S829" s="81" t="s">
        <v>29</v>
      </c>
      <c r="T829" s="10" t="s">
        <v>33</v>
      </c>
      <c r="U829" s="10"/>
    </row>
    <row r="830" spans="1:21" x14ac:dyDescent="0.3">
      <c r="A830" s="7" t="s">
        <v>248</v>
      </c>
      <c r="B830" s="7" t="s">
        <v>118</v>
      </c>
      <c r="C830" s="36">
        <v>21324000</v>
      </c>
      <c r="D830" s="8">
        <v>2021</v>
      </c>
      <c r="E830" s="7" t="s">
        <v>11</v>
      </c>
      <c r="F830" s="41">
        <f t="shared" si="73"/>
        <v>2.7386981804539485E-2</v>
      </c>
      <c r="G830" s="11">
        <v>9</v>
      </c>
      <c r="H830" s="36">
        <f t="shared" si="74"/>
        <v>603994.00648283621</v>
      </c>
      <c r="I830" s="36">
        <v>5840</v>
      </c>
      <c r="J830" s="9">
        <v>0.13300000000000001</v>
      </c>
      <c r="K830" s="9">
        <v>8</v>
      </c>
      <c r="L830" s="40">
        <f t="shared" si="75"/>
        <v>6213.76</v>
      </c>
      <c r="M830" s="8">
        <v>8100</v>
      </c>
      <c r="N830" s="9">
        <v>73.8</v>
      </c>
      <c r="O830" s="9">
        <f t="shared" si="76"/>
        <v>597780</v>
      </c>
      <c r="P830" s="75">
        <f t="shared" si="78"/>
        <v>2832.4611071226609</v>
      </c>
      <c r="Q830" s="78">
        <f t="shared" si="77"/>
        <v>99.99999999995002</v>
      </c>
      <c r="R830" s="7" t="s">
        <v>260</v>
      </c>
      <c r="S830" s="80" t="s">
        <v>19</v>
      </c>
      <c r="T830" s="7" t="s">
        <v>78</v>
      </c>
      <c r="U830" s="7"/>
    </row>
    <row r="831" spans="1:21" x14ac:dyDescent="0.3">
      <c r="A831" s="10" t="s">
        <v>248</v>
      </c>
      <c r="B831" s="10" t="s">
        <v>118</v>
      </c>
      <c r="C831" s="37">
        <v>21324000</v>
      </c>
      <c r="D831" s="11">
        <v>2021</v>
      </c>
      <c r="E831" s="10" t="s">
        <v>17</v>
      </c>
      <c r="F831" s="41">
        <f t="shared" si="73"/>
        <v>2.2509848058525606E-3</v>
      </c>
      <c r="G831" s="8">
        <v>7</v>
      </c>
      <c r="H831" s="36">
        <f t="shared" si="74"/>
        <v>18095.055756893642</v>
      </c>
      <c r="I831" s="37">
        <v>480</v>
      </c>
      <c r="J831" s="12">
        <v>0.13300000000000001</v>
      </c>
      <c r="K831" s="12">
        <v>6</v>
      </c>
      <c r="L831" s="40">
        <f t="shared" si="75"/>
        <v>383.04</v>
      </c>
      <c r="M831" s="11">
        <v>240</v>
      </c>
      <c r="N831" s="12">
        <v>73.8</v>
      </c>
      <c r="O831" s="9">
        <f t="shared" si="76"/>
        <v>17712</v>
      </c>
      <c r="P831" s="75">
        <f t="shared" si="78"/>
        <v>84.857699103796861</v>
      </c>
      <c r="Q831" s="78">
        <f t="shared" si="77"/>
        <v>57.197641981936698</v>
      </c>
      <c r="R831" s="10" t="s">
        <v>250</v>
      </c>
      <c r="S831" s="81" t="s">
        <v>19</v>
      </c>
      <c r="T831" s="10" t="s">
        <v>99</v>
      </c>
      <c r="U831" s="10"/>
    </row>
    <row r="832" spans="1:21" x14ac:dyDescent="0.3">
      <c r="A832" s="7" t="s">
        <v>248</v>
      </c>
      <c r="B832" s="7" t="s">
        <v>118</v>
      </c>
      <c r="C832" s="36">
        <v>21324000</v>
      </c>
      <c r="D832" s="8">
        <v>2021</v>
      </c>
      <c r="E832" s="7" t="s">
        <v>20</v>
      </c>
      <c r="F832" s="41">
        <f t="shared" si="73"/>
        <v>1.1254924029262803E-3</v>
      </c>
      <c r="G832" s="11">
        <v>7</v>
      </c>
      <c r="H832" s="36">
        <f t="shared" si="74"/>
        <v>35615.527878446817</v>
      </c>
      <c r="I832" s="36">
        <v>240</v>
      </c>
      <c r="J832" s="9">
        <v>0.13300000000000001</v>
      </c>
      <c r="K832" s="9">
        <v>6</v>
      </c>
      <c r="L832" s="40">
        <f t="shared" si="75"/>
        <v>191.52</v>
      </c>
      <c r="M832" s="8">
        <v>480</v>
      </c>
      <c r="N832" s="9">
        <v>73.8</v>
      </c>
      <c r="O832" s="9">
        <f t="shared" si="76"/>
        <v>35424</v>
      </c>
      <c r="P832" s="75">
        <f t="shared" si="78"/>
        <v>167.02085855583763</v>
      </c>
      <c r="Q832" s="78">
        <f t="shared" si="77"/>
        <v>81.179219588571641</v>
      </c>
      <c r="R832" s="7" t="s">
        <v>251</v>
      </c>
      <c r="S832" s="80" t="s">
        <v>19</v>
      </c>
      <c r="T832" s="7"/>
      <c r="U832" s="7"/>
    </row>
    <row r="833" spans="1:21" x14ac:dyDescent="0.3">
      <c r="A833" s="10" t="s">
        <v>248</v>
      </c>
      <c r="B833" s="10" t="s">
        <v>118</v>
      </c>
      <c r="C833" s="37">
        <v>21324000</v>
      </c>
      <c r="D833" s="11">
        <v>2021</v>
      </c>
      <c r="E833" s="10" t="s">
        <v>23</v>
      </c>
      <c r="F833" s="41">
        <f t="shared" si="73"/>
        <v>3.9392234102419805E-3</v>
      </c>
      <c r="G833" s="8">
        <v>8</v>
      </c>
      <c r="H833" s="36">
        <f t="shared" si="74"/>
        <v>92294.071513787276</v>
      </c>
      <c r="I833" s="37">
        <v>840</v>
      </c>
      <c r="J833" s="12">
        <v>0.13300000000000001</v>
      </c>
      <c r="K833" s="12">
        <v>7</v>
      </c>
      <c r="L833" s="40">
        <f t="shared" si="75"/>
        <v>782.04</v>
      </c>
      <c r="M833" s="11">
        <v>1240</v>
      </c>
      <c r="N833" s="12">
        <v>73.8</v>
      </c>
      <c r="O833" s="9">
        <f t="shared" si="76"/>
        <v>91512</v>
      </c>
      <c r="P833" s="75">
        <f t="shared" si="78"/>
        <v>432.81781801625993</v>
      </c>
      <c r="Q833" s="78">
        <f t="shared" si="77"/>
        <v>98.68084417456906</v>
      </c>
      <c r="R833" s="10" t="s">
        <v>252</v>
      </c>
      <c r="S833" s="81" t="s">
        <v>25</v>
      </c>
      <c r="T833" s="10" t="s">
        <v>15</v>
      </c>
      <c r="U833" s="10"/>
    </row>
    <row r="834" spans="1:21" ht="22.8" x14ac:dyDescent="0.3">
      <c r="A834" s="7" t="s">
        <v>248</v>
      </c>
      <c r="B834" s="7" t="s">
        <v>118</v>
      </c>
      <c r="C834" s="36">
        <v>21324000</v>
      </c>
      <c r="D834" s="8">
        <v>2021</v>
      </c>
      <c r="E834" s="7" t="s">
        <v>26</v>
      </c>
      <c r="F834" s="41">
        <f t="shared" ref="F834:F897" si="79">I834*100/C834</f>
        <v>31.888951416244605</v>
      </c>
      <c r="G834" s="11">
        <v>6</v>
      </c>
      <c r="H834" s="36">
        <f t="shared" ref="H834:H897" si="80">O834+L834+(G834*F834)</f>
        <v>4352191.3337084977</v>
      </c>
      <c r="I834" s="36">
        <v>6800000</v>
      </c>
      <c r="J834" s="9">
        <v>0.128</v>
      </c>
      <c r="K834" s="9">
        <v>5</v>
      </c>
      <c r="L834" s="40">
        <f t="shared" si="75"/>
        <v>4352000</v>
      </c>
      <c r="M834" s="8">
        <v>0</v>
      </c>
      <c r="N834" s="9">
        <v>73.8</v>
      </c>
      <c r="O834" s="9">
        <f t="shared" si="76"/>
        <v>0</v>
      </c>
      <c r="P834" s="75">
        <f t="shared" si="78"/>
        <v>20409.826175710459</v>
      </c>
      <c r="Q834" s="78">
        <f t="shared" si="77"/>
        <v>100</v>
      </c>
      <c r="R834" s="7" t="s">
        <v>253</v>
      </c>
      <c r="S834" s="80" t="s">
        <v>28</v>
      </c>
      <c r="T834" s="7" t="s">
        <v>83</v>
      </c>
      <c r="U834" s="7"/>
    </row>
    <row r="835" spans="1:21" x14ac:dyDescent="0.3">
      <c r="A835" s="10" t="s">
        <v>248</v>
      </c>
      <c r="B835" s="10" t="s">
        <v>118</v>
      </c>
      <c r="C835" s="37">
        <v>21324000</v>
      </c>
      <c r="D835" s="11">
        <v>2021</v>
      </c>
      <c r="E835" s="10" t="s">
        <v>30</v>
      </c>
      <c r="F835" s="41">
        <f t="shared" si="79"/>
        <v>1.3130744700806603E-4</v>
      </c>
      <c r="G835" s="8">
        <v>6</v>
      </c>
      <c r="H835" s="36">
        <f t="shared" si="80"/>
        <v>6212.6407878446817</v>
      </c>
      <c r="I835" s="37">
        <v>28</v>
      </c>
      <c r="J835" s="12">
        <v>0.12</v>
      </c>
      <c r="K835" s="12">
        <v>4</v>
      </c>
      <c r="L835" s="40">
        <f t="shared" ref="L835:L898" si="81">I835*J835*K835</f>
        <v>13.44</v>
      </c>
      <c r="M835" s="11">
        <v>84</v>
      </c>
      <c r="N835" s="12">
        <v>73.8</v>
      </c>
      <c r="O835" s="9">
        <f t="shared" ref="O835:O898" si="82">M835*N835</f>
        <v>6199.2</v>
      </c>
      <c r="P835" s="75">
        <f t="shared" si="78"/>
        <v>29.13450003678804</v>
      </c>
      <c r="Q835" s="78">
        <f t="shared" ref="Q835:Q898" si="83">100*(1-EXP(-P835/100))</f>
        <v>25.274217068431547</v>
      </c>
      <c r="R835" s="10" t="s">
        <v>254</v>
      </c>
      <c r="S835" s="81" t="s">
        <v>29</v>
      </c>
      <c r="T835" s="10" t="s">
        <v>33</v>
      </c>
      <c r="U835" s="10"/>
    </row>
    <row r="836" spans="1:21" x14ac:dyDescent="0.3">
      <c r="A836" s="7" t="s">
        <v>248</v>
      </c>
      <c r="B836" s="7" t="s">
        <v>118</v>
      </c>
      <c r="C836" s="36">
        <v>21324367</v>
      </c>
      <c r="D836" s="8">
        <v>2022</v>
      </c>
      <c r="E836" s="7" t="s">
        <v>11</v>
      </c>
      <c r="F836" s="41">
        <f t="shared" si="79"/>
        <v>2.5323143237968096E-2</v>
      </c>
      <c r="G836" s="11">
        <v>9</v>
      </c>
      <c r="H836" s="36">
        <f t="shared" si="80"/>
        <v>551865.82790828915</v>
      </c>
      <c r="I836" s="36">
        <v>5400</v>
      </c>
      <c r="J836" s="9">
        <v>0.13300000000000001</v>
      </c>
      <c r="K836" s="9">
        <v>8</v>
      </c>
      <c r="L836" s="40">
        <f t="shared" si="81"/>
        <v>5745.6</v>
      </c>
      <c r="M836" s="8">
        <v>7400</v>
      </c>
      <c r="N836" s="9">
        <v>73.8</v>
      </c>
      <c r="O836" s="9">
        <f t="shared" si="82"/>
        <v>546120</v>
      </c>
      <c r="P836" s="75">
        <f t="shared" si="78"/>
        <v>2587.9587793076776</v>
      </c>
      <c r="Q836" s="78">
        <f t="shared" si="83"/>
        <v>99.999999999423721</v>
      </c>
      <c r="R836" s="7" t="s">
        <v>261</v>
      </c>
      <c r="S836" s="80" t="s">
        <v>19</v>
      </c>
      <c r="T836" s="7" t="s">
        <v>78</v>
      </c>
      <c r="U836" s="7"/>
    </row>
    <row r="837" spans="1:21" x14ac:dyDescent="0.3">
      <c r="A837" s="10" t="s">
        <v>248</v>
      </c>
      <c r="B837" s="10" t="s">
        <v>118</v>
      </c>
      <c r="C837" s="37">
        <v>21324367</v>
      </c>
      <c r="D837" s="11">
        <v>2022</v>
      </c>
      <c r="E837" s="10" t="s">
        <v>17</v>
      </c>
      <c r="F837" s="41">
        <f t="shared" si="79"/>
        <v>2.2509460655971642E-3</v>
      </c>
      <c r="G837" s="8">
        <v>7</v>
      </c>
      <c r="H837" s="36">
        <f t="shared" si="80"/>
        <v>18095.05575662246</v>
      </c>
      <c r="I837" s="37">
        <v>480</v>
      </c>
      <c r="J837" s="12">
        <v>0.13300000000000001</v>
      </c>
      <c r="K837" s="12">
        <v>6</v>
      </c>
      <c r="L837" s="40">
        <f t="shared" si="81"/>
        <v>383.04</v>
      </c>
      <c r="M837" s="11">
        <v>240</v>
      </c>
      <c r="N837" s="12">
        <v>73.8</v>
      </c>
      <c r="O837" s="9">
        <f t="shared" si="82"/>
        <v>17712</v>
      </c>
      <c r="P837" s="75">
        <f t="shared" si="78"/>
        <v>84.856238671105501</v>
      </c>
      <c r="Q837" s="78">
        <f t="shared" si="83"/>
        <v>57.197016877742925</v>
      </c>
      <c r="R837" s="10" t="s">
        <v>250</v>
      </c>
      <c r="S837" s="81" t="s">
        <v>19</v>
      </c>
      <c r="T837" s="10" t="s">
        <v>99</v>
      </c>
      <c r="U837" s="10"/>
    </row>
    <row r="838" spans="1:21" x14ac:dyDescent="0.3">
      <c r="A838" s="7" t="s">
        <v>248</v>
      </c>
      <c r="B838" s="7" t="s">
        <v>118</v>
      </c>
      <c r="C838" s="36">
        <v>21324367</v>
      </c>
      <c r="D838" s="8">
        <v>2022</v>
      </c>
      <c r="E838" s="7" t="s">
        <v>20</v>
      </c>
      <c r="F838" s="41">
        <f t="shared" si="79"/>
        <v>1.1254730327985821E-3</v>
      </c>
      <c r="G838" s="11">
        <v>7</v>
      </c>
      <c r="H838" s="36">
        <f t="shared" si="80"/>
        <v>35615.52787831123</v>
      </c>
      <c r="I838" s="36">
        <v>240</v>
      </c>
      <c r="J838" s="9">
        <v>0.13300000000000001</v>
      </c>
      <c r="K838" s="9">
        <v>6</v>
      </c>
      <c r="L838" s="40">
        <f t="shared" si="81"/>
        <v>191.52</v>
      </c>
      <c r="M838" s="8">
        <v>480</v>
      </c>
      <c r="N838" s="9">
        <v>73.8</v>
      </c>
      <c r="O838" s="9">
        <f t="shared" si="82"/>
        <v>35424</v>
      </c>
      <c r="P838" s="75">
        <f t="shared" si="78"/>
        <v>167.01798406635578</v>
      </c>
      <c r="Q838" s="78">
        <f t="shared" si="83"/>
        <v>81.178678579442717</v>
      </c>
      <c r="R838" s="7" t="s">
        <v>251</v>
      </c>
      <c r="S838" s="80" t="s">
        <v>19</v>
      </c>
      <c r="T838" s="7"/>
      <c r="U838" s="7"/>
    </row>
    <row r="839" spans="1:21" x14ac:dyDescent="0.3">
      <c r="A839" s="10" t="s">
        <v>248</v>
      </c>
      <c r="B839" s="10" t="s">
        <v>118</v>
      </c>
      <c r="C839" s="37">
        <v>21324367</v>
      </c>
      <c r="D839" s="11">
        <v>2022</v>
      </c>
      <c r="E839" s="10" t="s">
        <v>23</v>
      </c>
      <c r="F839" s="41">
        <f t="shared" si="79"/>
        <v>3.9391556147950367E-3</v>
      </c>
      <c r="G839" s="8">
        <v>8</v>
      </c>
      <c r="H839" s="36">
        <f t="shared" si="80"/>
        <v>92294.071513244911</v>
      </c>
      <c r="I839" s="37">
        <v>840</v>
      </c>
      <c r="J839" s="12">
        <v>0.13300000000000001</v>
      </c>
      <c r="K839" s="12">
        <v>7</v>
      </c>
      <c r="L839" s="40">
        <f t="shared" si="81"/>
        <v>782.04</v>
      </c>
      <c r="M839" s="11">
        <v>1240</v>
      </c>
      <c r="N839" s="12">
        <v>73.8</v>
      </c>
      <c r="O839" s="9">
        <f t="shared" si="82"/>
        <v>91512</v>
      </c>
      <c r="P839" s="75">
        <f t="shared" si="78"/>
        <v>432.81036906392069</v>
      </c>
      <c r="Q839" s="78">
        <f t="shared" si="83"/>
        <v>98.680745907620462</v>
      </c>
      <c r="R839" s="10" t="s">
        <v>252</v>
      </c>
      <c r="S839" s="81" t="s">
        <v>25</v>
      </c>
      <c r="T839" s="10" t="s">
        <v>15</v>
      </c>
      <c r="U839" s="10"/>
    </row>
    <row r="840" spans="1:21" ht="22.8" x14ac:dyDescent="0.3">
      <c r="A840" s="7" t="s">
        <v>248</v>
      </c>
      <c r="B840" s="7" t="s">
        <v>118</v>
      </c>
      <c r="C840" s="36">
        <v>21324367</v>
      </c>
      <c r="D840" s="8">
        <v>2022</v>
      </c>
      <c r="E840" s="7" t="s">
        <v>26</v>
      </c>
      <c r="F840" s="41">
        <f t="shared" si="79"/>
        <v>31.888402595959825</v>
      </c>
      <c r="G840" s="11">
        <v>6</v>
      </c>
      <c r="H840" s="36">
        <f t="shared" si="80"/>
        <v>4352191.3304155758</v>
      </c>
      <c r="I840" s="36">
        <v>6800000</v>
      </c>
      <c r="J840" s="9">
        <v>0.128</v>
      </c>
      <c r="K840" s="9">
        <v>5</v>
      </c>
      <c r="L840" s="40">
        <f t="shared" si="81"/>
        <v>4352000</v>
      </c>
      <c r="M840" s="8">
        <v>0</v>
      </c>
      <c r="N840" s="9">
        <v>73.8</v>
      </c>
      <c r="O840" s="9">
        <f t="shared" si="82"/>
        <v>0</v>
      </c>
      <c r="P840" s="75">
        <f t="shared" si="78"/>
        <v>20409.474899843808</v>
      </c>
      <c r="Q840" s="78">
        <f t="shared" si="83"/>
        <v>100</v>
      </c>
      <c r="R840" s="7" t="s">
        <v>253</v>
      </c>
      <c r="S840" s="80" t="s">
        <v>28</v>
      </c>
      <c r="T840" s="7" t="s">
        <v>83</v>
      </c>
      <c r="U840" s="7"/>
    </row>
    <row r="841" spans="1:21" x14ac:dyDescent="0.3">
      <c r="A841" s="10" t="s">
        <v>248</v>
      </c>
      <c r="B841" s="10" t="s">
        <v>118</v>
      </c>
      <c r="C841" s="37">
        <v>21324367</v>
      </c>
      <c r="D841" s="11">
        <v>2022</v>
      </c>
      <c r="E841" s="10" t="s">
        <v>30</v>
      </c>
      <c r="F841" s="41">
        <f t="shared" si="79"/>
        <v>1.3130518715983458E-4</v>
      </c>
      <c r="G841" s="8">
        <v>6</v>
      </c>
      <c r="H841" s="36">
        <f t="shared" si="80"/>
        <v>6212.640787831122</v>
      </c>
      <c r="I841" s="37">
        <v>28</v>
      </c>
      <c r="J841" s="12">
        <v>0.12</v>
      </c>
      <c r="K841" s="12">
        <v>4</v>
      </c>
      <c r="L841" s="40">
        <f t="shared" si="81"/>
        <v>13.44</v>
      </c>
      <c r="M841" s="11">
        <v>84</v>
      </c>
      <c r="N841" s="12">
        <v>73.8</v>
      </c>
      <c r="O841" s="9">
        <f t="shared" si="82"/>
        <v>6199.2</v>
      </c>
      <c r="P841" s="75">
        <f t="shared" si="78"/>
        <v>29.13399862153527</v>
      </c>
      <c r="Q841" s="78">
        <f t="shared" si="83"/>
        <v>25.273842381018806</v>
      </c>
      <c r="R841" s="10" t="s">
        <v>254</v>
      </c>
      <c r="S841" s="81" t="s">
        <v>29</v>
      </c>
      <c r="T841" s="10" t="s">
        <v>33</v>
      </c>
      <c r="U841" s="10"/>
    </row>
    <row r="842" spans="1:21" ht="22.8" x14ac:dyDescent="0.3">
      <c r="A842" s="7" t="s">
        <v>248</v>
      </c>
      <c r="B842" s="7" t="s">
        <v>118</v>
      </c>
      <c r="C842" s="36">
        <v>22125249</v>
      </c>
      <c r="D842" s="8">
        <v>2023</v>
      </c>
      <c r="E842" s="7" t="s">
        <v>11</v>
      </c>
      <c r="F842" s="41">
        <f t="shared" si="79"/>
        <v>2.1785065560166125E-2</v>
      </c>
      <c r="G842" s="11">
        <v>9</v>
      </c>
      <c r="H842" s="36">
        <f t="shared" si="80"/>
        <v>462688.67606559</v>
      </c>
      <c r="I842" s="36">
        <v>4820</v>
      </c>
      <c r="J842" s="9">
        <v>0.13300000000000001</v>
      </c>
      <c r="K842" s="9">
        <v>8</v>
      </c>
      <c r="L842" s="40">
        <f t="shared" si="81"/>
        <v>5128.4800000000005</v>
      </c>
      <c r="M842" s="8">
        <v>6200</v>
      </c>
      <c r="N842" s="9">
        <v>73.8</v>
      </c>
      <c r="O842" s="9">
        <f t="shared" si="82"/>
        <v>457560</v>
      </c>
      <c r="P842" s="75">
        <f t="shared" si="78"/>
        <v>2091.2247182645947</v>
      </c>
      <c r="Q842" s="78">
        <f t="shared" si="83"/>
        <v>99.99999991721981</v>
      </c>
      <c r="R842" s="7" t="s">
        <v>262</v>
      </c>
      <c r="S842" s="80" t="s">
        <v>19</v>
      </c>
      <c r="T842" s="7" t="s">
        <v>78</v>
      </c>
      <c r="U842" s="7"/>
    </row>
    <row r="843" spans="1:21" x14ac:dyDescent="0.3">
      <c r="A843" s="10" t="s">
        <v>248</v>
      </c>
      <c r="B843" s="10" t="s">
        <v>118</v>
      </c>
      <c r="C843" s="37">
        <v>22125249</v>
      </c>
      <c r="D843" s="11">
        <v>2023</v>
      </c>
      <c r="E843" s="10" t="s">
        <v>17</v>
      </c>
      <c r="F843" s="41">
        <f t="shared" si="79"/>
        <v>2.1694671097260872E-3</v>
      </c>
      <c r="G843" s="8">
        <v>7</v>
      </c>
      <c r="H843" s="36">
        <f t="shared" si="80"/>
        <v>18095.055186269768</v>
      </c>
      <c r="I843" s="37">
        <v>480</v>
      </c>
      <c r="J843" s="12">
        <v>0.13300000000000001</v>
      </c>
      <c r="K843" s="12">
        <v>6</v>
      </c>
      <c r="L843" s="40">
        <f t="shared" si="81"/>
        <v>383.04</v>
      </c>
      <c r="M843" s="11">
        <v>240</v>
      </c>
      <c r="N843" s="12">
        <v>73.8</v>
      </c>
      <c r="O843" s="9">
        <f t="shared" si="82"/>
        <v>17712</v>
      </c>
      <c r="P843" s="75">
        <f t="shared" si="78"/>
        <v>81.784639740188993</v>
      </c>
      <c r="Q843" s="78">
        <f t="shared" si="83"/>
        <v>55.861880864304837</v>
      </c>
      <c r="R843" s="10" t="s">
        <v>250</v>
      </c>
      <c r="S843" s="81" t="s">
        <v>19</v>
      </c>
      <c r="T843" s="10" t="s">
        <v>99</v>
      </c>
      <c r="U843" s="10"/>
    </row>
    <row r="844" spans="1:21" x14ac:dyDescent="0.3">
      <c r="A844" s="7" t="s">
        <v>248</v>
      </c>
      <c r="B844" s="7" t="s">
        <v>118</v>
      </c>
      <c r="C844" s="36">
        <v>22125249</v>
      </c>
      <c r="D844" s="8">
        <v>2023</v>
      </c>
      <c r="E844" s="7" t="s">
        <v>20</v>
      </c>
      <c r="F844" s="41">
        <f t="shared" si="79"/>
        <v>1.0847335548630436E-3</v>
      </c>
      <c r="G844" s="11">
        <v>7</v>
      </c>
      <c r="H844" s="36">
        <f t="shared" si="80"/>
        <v>35615.527593134881</v>
      </c>
      <c r="I844" s="36">
        <v>240</v>
      </c>
      <c r="J844" s="9">
        <v>0.13300000000000001</v>
      </c>
      <c r="K844" s="9">
        <v>6</v>
      </c>
      <c r="L844" s="40">
        <f t="shared" si="81"/>
        <v>191.52</v>
      </c>
      <c r="M844" s="8">
        <v>480</v>
      </c>
      <c r="N844" s="9">
        <v>73.8</v>
      </c>
      <c r="O844" s="9">
        <f t="shared" si="82"/>
        <v>35424</v>
      </c>
      <c r="P844" s="75">
        <f t="shared" si="78"/>
        <v>160.97232439343341</v>
      </c>
      <c r="Q844" s="78">
        <f t="shared" si="83"/>
        <v>80.005705815941454</v>
      </c>
      <c r="R844" s="7" t="s">
        <v>251</v>
      </c>
      <c r="S844" s="80" t="s">
        <v>19</v>
      </c>
      <c r="T844" s="7"/>
      <c r="U844" s="7"/>
    </row>
    <row r="845" spans="1:21" x14ac:dyDescent="0.3">
      <c r="A845" s="10" t="s">
        <v>248</v>
      </c>
      <c r="B845" s="10" t="s">
        <v>118</v>
      </c>
      <c r="C845" s="37">
        <v>22125249</v>
      </c>
      <c r="D845" s="11">
        <v>2023</v>
      </c>
      <c r="E845" s="10" t="s">
        <v>23</v>
      </c>
      <c r="F845" s="41">
        <f t="shared" si="79"/>
        <v>3.7965674420206525E-3</v>
      </c>
      <c r="G845" s="8">
        <v>8</v>
      </c>
      <c r="H845" s="36">
        <f t="shared" si="80"/>
        <v>92294.070372539529</v>
      </c>
      <c r="I845" s="37">
        <v>840</v>
      </c>
      <c r="J845" s="12">
        <v>0.13300000000000001</v>
      </c>
      <c r="K845" s="12">
        <v>7</v>
      </c>
      <c r="L845" s="40">
        <f t="shared" si="81"/>
        <v>782.04</v>
      </c>
      <c r="M845" s="11">
        <v>1240</v>
      </c>
      <c r="N845" s="12">
        <v>73.8</v>
      </c>
      <c r="O845" s="9">
        <f t="shared" si="82"/>
        <v>91512</v>
      </c>
      <c r="P845" s="75">
        <f t="shared" si="78"/>
        <v>417.14364603326959</v>
      </c>
      <c r="Q845" s="78">
        <f t="shared" si="83"/>
        <v>98.456992050020162</v>
      </c>
      <c r="R845" s="10" t="s">
        <v>252</v>
      </c>
      <c r="S845" s="81" t="s">
        <v>25</v>
      </c>
      <c r="T845" s="10" t="s">
        <v>15</v>
      </c>
      <c r="U845" s="10"/>
    </row>
    <row r="846" spans="1:21" ht="22.8" x14ac:dyDescent="0.3">
      <c r="A846" s="7" t="s">
        <v>248</v>
      </c>
      <c r="B846" s="7" t="s">
        <v>118</v>
      </c>
      <c r="C846" s="36">
        <v>22125249</v>
      </c>
      <c r="D846" s="8">
        <v>2023</v>
      </c>
      <c r="E846" s="7" t="s">
        <v>26</v>
      </c>
      <c r="F846" s="41">
        <f t="shared" si="79"/>
        <v>30.734117387786235</v>
      </c>
      <c r="G846" s="11">
        <v>6</v>
      </c>
      <c r="H846" s="36">
        <f t="shared" si="80"/>
        <v>4352184.4047043268</v>
      </c>
      <c r="I846" s="36">
        <v>6800000</v>
      </c>
      <c r="J846" s="9">
        <v>0.128</v>
      </c>
      <c r="K846" s="9">
        <v>5</v>
      </c>
      <c r="L846" s="40">
        <f t="shared" si="81"/>
        <v>4352000</v>
      </c>
      <c r="M846" s="8">
        <v>0</v>
      </c>
      <c r="N846" s="9">
        <v>73.8</v>
      </c>
      <c r="O846" s="9">
        <f t="shared" si="82"/>
        <v>0</v>
      </c>
      <c r="P846" s="75">
        <f t="shared" si="78"/>
        <v>19670.668586393429</v>
      </c>
      <c r="Q846" s="78">
        <f t="shared" si="83"/>
        <v>100</v>
      </c>
      <c r="R846" s="7" t="s">
        <v>253</v>
      </c>
      <c r="S846" s="80" t="s">
        <v>28</v>
      </c>
      <c r="T846" s="7" t="s">
        <v>83</v>
      </c>
      <c r="U846" s="7"/>
    </row>
    <row r="847" spans="1:21" ht="22.8" x14ac:dyDescent="0.3">
      <c r="A847" s="10" t="s">
        <v>248</v>
      </c>
      <c r="B847" s="10" t="s">
        <v>118</v>
      </c>
      <c r="C847" s="37">
        <v>22125249</v>
      </c>
      <c r="D847" s="11">
        <v>2023</v>
      </c>
      <c r="E847" s="10" t="s">
        <v>30</v>
      </c>
      <c r="F847" s="41">
        <f t="shared" si="79"/>
        <v>8.135501661472826E-3</v>
      </c>
      <c r="G847" s="8">
        <v>6</v>
      </c>
      <c r="H847" s="36">
        <f t="shared" si="80"/>
        <v>4281264.0488130096</v>
      </c>
      <c r="I847" s="37">
        <v>1800</v>
      </c>
      <c r="J847" s="12">
        <v>0.12</v>
      </c>
      <c r="K847" s="12">
        <v>4</v>
      </c>
      <c r="L847" s="40">
        <f t="shared" si="81"/>
        <v>864</v>
      </c>
      <c r="M847" s="11">
        <v>58000</v>
      </c>
      <c r="N847" s="12">
        <v>73.8</v>
      </c>
      <c r="O847" s="9">
        <f t="shared" si="82"/>
        <v>4280400</v>
      </c>
      <c r="P847" s="75">
        <f t="shared" si="78"/>
        <v>19350.128212401181</v>
      </c>
      <c r="Q847" s="78">
        <f t="shared" si="83"/>
        <v>100</v>
      </c>
      <c r="R847" s="10" t="s">
        <v>263</v>
      </c>
      <c r="S847" s="81" t="s">
        <v>29</v>
      </c>
      <c r="T847" s="10" t="s">
        <v>33</v>
      </c>
      <c r="U847" s="10"/>
    </row>
    <row r="848" spans="1:21" x14ac:dyDescent="0.3">
      <c r="A848" s="7" t="s">
        <v>248</v>
      </c>
      <c r="B848" s="7" t="s">
        <v>118</v>
      </c>
      <c r="C848" s="36">
        <v>22492000</v>
      </c>
      <c r="D848" s="8">
        <v>2024</v>
      </c>
      <c r="E848" s="7" t="s">
        <v>11</v>
      </c>
      <c r="F848" s="41">
        <f t="shared" si="79"/>
        <v>3.7346612128756888E-2</v>
      </c>
      <c r="G848" s="11">
        <v>9</v>
      </c>
      <c r="H848" s="36">
        <f t="shared" si="80"/>
        <v>732177.93611950916</v>
      </c>
      <c r="I848" s="36">
        <v>8400</v>
      </c>
      <c r="J848" s="9">
        <v>0.13300000000000001</v>
      </c>
      <c r="K848" s="9">
        <v>8</v>
      </c>
      <c r="L848" s="40">
        <f t="shared" si="81"/>
        <v>8937.6</v>
      </c>
      <c r="M848" s="8">
        <v>9800</v>
      </c>
      <c r="N848" s="9">
        <v>73.8</v>
      </c>
      <c r="O848" s="9">
        <f t="shared" si="82"/>
        <v>723240</v>
      </c>
      <c r="P848" s="75">
        <f t="shared" si="78"/>
        <v>3255.2815939867919</v>
      </c>
      <c r="Q848" s="78">
        <f t="shared" si="83"/>
        <v>99.999999999999261</v>
      </c>
      <c r="R848" s="7" t="s">
        <v>264</v>
      </c>
      <c r="S848" s="80" t="s">
        <v>19</v>
      </c>
      <c r="T848" s="7" t="s">
        <v>78</v>
      </c>
      <c r="U848" s="7"/>
    </row>
    <row r="849" spans="1:21" x14ac:dyDescent="0.3">
      <c r="A849" s="10" t="s">
        <v>248</v>
      </c>
      <c r="B849" s="10" t="s">
        <v>118</v>
      </c>
      <c r="C849" s="37">
        <v>22492000</v>
      </c>
      <c r="D849" s="11">
        <v>2024</v>
      </c>
      <c r="E849" s="10" t="s">
        <v>17</v>
      </c>
      <c r="F849" s="41">
        <f t="shared" si="79"/>
        <v>2.1340921216432508E-3</v>
      </c>
      <c r="G849" s="8">
        <v>7</v>
      </c>
      <c r="H849" s="36">
        <f t="shared" si="80"/>
        <v>18095.054938644851</v>
      </c>
      <c r="I849" s="37">
        <v>480</v>
      </c>
      <c r="J849" s="12">
        <v>0.13300000000000001</v>
      </c>
      <c r="K849" s="12">
        <v>6</v>
      </c>
      <c r="L849" s="40">
        <f t="shared" si="81"/>
        <v>383.04</v>
      </c>
      <c r="M849" s="11">
        <v>240</v>
      </c>
      <c r="N849" s="12">
        <v>73.8</v>
      </c>
      <c r="O849" s="9">
        <f t="shared" si="82"/>
        <v>17712</v>
      </c>
      <c r="P849" s="75">
        <f t="shared" si="78"/>
        <v>80.451071219299536</v>
      </c>
      <c r="Q849" s="78">
        <f t="shared" si="83"/>
        <v>55.269326524379295</v>
      </c>
      <c r="R849" s="10" t="s">
        <v>250</v>
      </c>
      <c r="S849" s="81" t="s">
        <v>19</v>
      </c>
      <c r="T849" s="10" t="s">
        <v>99</v>
      </c>
      <c r="U849" s="10"/>
    </row>
    <row r="850" spans="1:21" x14ac:dyDescent="0.3">
      <c r="A850" s="7" t="s">
        <v>248</v>
      </c>
      <c r="B850" s="7" t="s">
        <v>118</v>
      </c>
      <c r="C850" s="36">
        <v>22492000</v>
      </c>
      <c r="D850" s="8">
        <v>2024</v>
      </c>
      <c r="E850" s="7" t="s">
        <v>20</v>
      </c>
      <c r="F850" s="41">
        <f t="shared" si="79"/>
        <v>1.0670460608216254E-3</v>
      </c>
      <c r="G850" s="11">
        <v>7</v>
      </c>
      <c r="H850" s="36">
        <f t="shared" si="80"/>
        <v>35615.52746932242</v>
      </c>
      <c r="I850" s="36">
        <v>240</v>
      </c>
      <c r="J850" s="9">
        <v>0.13300000000000001</v>
      </c>
      <c r="K850" s="9">
        <v>6</v>
      </c>
      <c r="L850" s="40">
        <f t="shared" si="81"/>
        <v>191.52</v>
      </c>
      <c r="M850" s="8">
        <v>480</v>
      </c>
      <c r="N850" s="9">
        <v>73.8</v>
      </c>
      <c r="O850" s="9">
        <f t="shared" si="82"/>
        <v>35424</v>
      </c>
      <c r="P850" s="75">
        <f t="shared" si="78"/>
        <v>158.34753454260368</v>
      </c>
      <c r="Q850" s="78">
        <f t="shared" si="83"/>
        <v>79.473949396398908</v>
      </c>
      <c r="R850" s="7" t="s">
        <v>251</v>
      </c>
      <c r="S850" s="80" t="s">
        <v>19</v>
      </c>
      <c r="T850" s="7"/>
      <c r="U850" s="7"/>
    </row>
    <row r="851" spans="1:21" x14ac:dyDescent="0.3">
      <c r="A851" s="10" t="s">
        <v>248</v>
      </c>
      <c r="B851" s="10" t="s">
        <v>118</v>
      </c>
      <c r="C851" s="37">
        <v>22492000</v>
      </c>
      <c r="D851" s="11">
        <v>2024</v>
      </c>
      <c r="E851" s="10" t="s">
        <v>23</v>
      </c>
      <c r="F851" s="41">
        <f t="shared" si="79"/>
        <v>3.7346612128756891E-3</v>
      </c>
      <c r="G851" s="8">
        <v>8</v>
      </c>
      <c r="H851" s="36">
        <f t="shared" si="80"/>
        <v>92294.069877289701</v>
      </c>
      <c r="I851" s="37">
        <v>840</v>
      </c>
      <c r="J851" s="12">
        <v>0.13300000000000001</v>
      </c>
      <c r="K851" s="12">
        <v>7</v>
      </c>
      <c r="L851" s="40">
        <f t="shared" si="81"/>
        <v>782.04</v>
      </c>
      <c r="M851" s="11">
        <v>1240</v>
      </c>
      <c r="N851" s="12">
        <v>73.8</v>
      </c>
      <c r="O851" s="9">
        <f t="shared" si="82"/>
        <v>91512</v>
      </c>
      <c r="P851" s="75">
        <f t="shared" si="78"/>
        <v>410.34176541565762</v>
      </c>
      <c r="Q851" s="78">
        <f t="shared" si="83"/>
        <v>98.348386759397215</v>
      </c>
      <c r="R851" s="10" t="s">
        <v>252</v>
      </c>
      <c r="S851" s="81" t="s">
        <v>25</v>
      </c>
      <c r="T851" s="10" t="s">
        <v>15</v>
      </c>
      <c r="U851" s="10"/>
    </row>
    <row r="852" spans="1:21" ht="22.8" x14ac:dyDescent="0.3">
      <c r="A852" s="7" t="s">
        <v>248</v>
      </c>
      <c r="B852" s="7" t="s">
        <v>118</v>
      </c>
      <c r="C852" s="36">
        <v>22492000</v>
      </c>
      <c r="D852" s="8">
        <v>2024</v>
      </c>
      <c r="E852" s="7" t="s">
        <v>26</v>
      </c>
      <c r="F852" s="41">
        <f t="shared" si="79"/>
        <v>30.232971723279388</v>
      </c>
      <c r="G852" s="11">
        <v>6</v>
      </c>
      <c r="H852" s="36">
        <f t="shared" si="80"/>
        <v>4352181.3978303401</v>
      </c>
      <c r="I852" s="36">
        <v>6800000</v>
      </c>
      <c r="J852" s="9">
        <v>0.128</v>
      </c>
      <c r="K852" s="9">
        <v>5</v>
      </c>
      <c r="L852" s="40">
        <f t="shared" si="81"/>
        <v>4352000</v>
      </c>
      <c r="M852" s="8">
        <v>0</v>
      </c>
      <c r="N852" s="9">
        <v>73.8</v>
      </c>
      <c r="O852" s="9">
        <f t="shared" si="82"/>
        <v>0</v>
      </c>
      <c r="P852" s="75">
        <f t="shared" si="78"/>
        <v>19349.908402233417</v>
      </c>
      <c r="Q852" s="78">
        <f t="shared" si="83"/>
        <v>100</v>
      </c>
      <c r="R852" s="7" t="s">
        <v>253</v>
      </c>
      <c r="S852" s="80" t="s">
        <v>28</v>
      </c>
      <c r="T852" s="7" t="s">
        <v>83</v>
      </c>
      <c r="U852" s="7"/>
    </row>
    <row r="853" spans="1:21" x14ac:dyDescent="0.3">
      <c r="A853" s="10" t="s">
        <v>248</v>
      </c>
      <c r="B853" s="10" t="s">
        <v>118</v>
      </c>
      <c r="C853" s="37">
        <v>22492000</v>
      </c>
      <c r="D853" s="11">
        <v>2024</v>
      </c>
      <c r="E853" s="10" t="s">
        <v>30</v>
      </c>
      <c r="F853" s="41">
        <f t="shared" si="79"/>
        <v>1.244887070958563E-4</v>
      </c>
      <c r="G853" s="8">
        <v>6</v>
      </c>
      <c r="H853" s="36">
        <f t="shared" si="80"/>
        <v>6212.6407469322421</v>
      </c>
      <c r="I853" s="37">
        <v>28</v>
      </c>
      <c r="J853" s="12">
        <v>0.12</v>
      </c>
      <c r="K853" s="12">
        <v>4</v>
      </c>
      <c r="L853" s="40">
        <f t="shared" si="81"/>
        <v>13.44</v>
      </c>
      <c r="M853" s="11">
        <v>84</v>
      </c>
      <c r="N853" s="12">
        <v>73.8</v>
      </c>
      <c r="O853" s="9">
        <f t="shared" si="82"/>
        <v>6199.2</v>
      </c>
      <c r="P853" s="75">
        <f t="shared" si="78"/>
        <v>27.621557651308208</v>
      </c>
      <c r="Q853" s="78">
        <f t="shared" si="83"/>
        <v>24.135063385347554</v>
      </c>
      <c r="R853" s="10" t="s">
        <v>254</v>
      </c>
      <c r="S853" s="81" t="s">
        <v>29</v>
      </c>
      <c r="T853" s="10" t="s">
        <v>33</v>
      </c>
      <c r="U853" s="10"/>
    </row>
    <row r="854" spans="1:21" ht="22.8" x14ac:dyDescent="0.3">
      <c r="A854" s="7" t="s">
        <v>248</v>
      </c>
      <c r="B854" s="7" t="s">
        <v>118</v>
      </c>
      <c r="C854" s="36">
        <v>22000000</v>
      </c>
      <c r="D854" s="8">
        <v>2025</v>
      </c>
      <c r="E854" s="7" t="s">
        <v>11</v>
      </c>
      <c r="F854" s="41">
        <f t="shared" si="79"/>
        <v>1.9090909090909092E-2</v>
      </c>
      <c r="G854" s="11">
        <v>9</v>
      </c>
      <c r="H854" s="36">
        <f t="shared" si="80"/>
        <v>358708.9718181818</v>
      </c>
      <c r="I854" s="36">
        <v>4200</v>
      </c>
      <c r="J854" s="9">
        <v>0.13300000000000001</v>
      </c>
      <c r="K854" s="9">
        <v>8</v>
      </c>
      <c r="L854" s="40">
        <f t="shared" si="81"/>
        <v>4468.8</v>
      </c>
      <c r="M854" s="8">
        <v>4800</v>
      </c>
      <c r="N854" s="9">
        <v>73.8</v>
      </c>
      <c r="O854" s="9">
        <f t="shared" si="82"/>
        <v>354240</v>
      </c>
      <c r="P854" s="75">
        <f t="shared" si="78"/>
        <v>1630.4953264462811</v>
      </c>
      <c r="Q854" s="78">
        <f t="shared" si="83"/>
        <v>99.999991704381543</v>
      </c>
      <c r="R854" s="7" t="s">
        <v>265</v>
      </c>
      <c r="S854" s="80" t="s">
        <v>19</v>
      </c>
      <c r="T854" s="7" t="s">
        <v>78</v>
      </c>
      <c r="U854" s="7"/>
    </row>
    <row r="855" spans="1:21" ht="22.8" x14ac:dyDescent="0.3">
      <c r="A855" s="10" t="s">
        <v>248</v>
      </c>
      <c r="B855" s="10" t="s">
        <v>118</v>
      </c>
      <c r="C855" s="37">
        <v>22000000</v>
      </c>
      <c r="D855" s="11">
        <v>2025</v>
      </c>
      <c r="E855" s="10" t="s">
        <v>17</v>
      </c>
      <c r="F855" s="41">
        <f t="shared" si="79"/>
        <v>5.4545454545454548E-4</v>
      </c>
      <c r="G855" s="8">
        <v>7</v>
      </c>
      <c r="H855" s="36">
        <f t="shared" si="80"/>
        <v>2162.1638181818184</v>
      </c>
      <c r="I855" s="37">
        <v>120</v>
      </c>
      <c r="J855" s="12">
        <v>0.13300000000000001</v>
      </c>
      <c r="K855" s="12">
        <v>6</v>
      </c>
      <c r="L855" s="40">
        <f t="shared" si="81"/>
        <v>95.76</v>
      </c>
      <c r="M855" s="11">
        <v>28</v>
      </c>
      <c r="N855" s="12">
        <v>73.8</v>
      </c>
      <c r="O855" s="9">
        <f t="shared" si="82"/>
        <v>2066.4</v>
      </c>
      <c r="P855" s="75">
        <f t="shared" si="78"/>
        <v>9.8280173553719017</v>
      </c>
      <c r="Q855" s="78">
        <f t="shared" si="83"/>
        <v>9.3605079710032957</v>
      </c>
      <c r="R855" s="10" t="s">
        <v>266</v>
      </c>
      <c r="S855" s="81" t="s">
        <v>19</v>
      </c>
      <c r="T855" s="10" t="s">
        <v>99</v>
      </c>
      <c r="U855" s="10"/>
    </row>
    <row r="856" spans="1:21" x14ac:dyDescent="0.3">
      <c r="A856" s="7" t="s">
        <v>248</v>
      </c>
      <c r="B856" s="7" t="s">
        <v>118</v>
      </c>
      <c r="C856" s="36">
        <v>22000000</v>
      </c>
      <c r="D856" s="8">
        <v>2025</v>
      </c>
      <c r="E856" s="7" t="s">
        <v>20</v>
      </c>
      <c r="F856" s="41">
        <f t="shared" si="79"/>
        <v>1.090909090909091E-3</v>
      </c>
      <c r="G856" s="11">
        <v>7</v>
      </c>
      <c r="H856" s="36">
        <f t="shared" si="80"/>
        <v>35615.527636363637</v>
      </c>
      <c r="I856" s="36">
        <v>240</v>
      </c>
      <c r="J856" s="9">
        <v>0.13300000000000001</v>
      </c>
      <c r="K856" s="9">
        <v>6</v>
      </c>
      <c r="L856" s="40">
        <f t="shared" si="81"/>
        <v>191.52</v>
      </c>
      <c r="M856" s="8">
        <v>480</v>
      </c>
      <c r="N856" s="9">
        <v>73.8</v>
      </c>
      <c r="O856" s="9">
        <f t="shared" si="82"/>
        <v>35424</v>
      </c>
      <c r="P856" s="75">
        <f t="shared" si="78"/>
        <v>161.88876198347108</v>
      </c>
      <c r="Q856" s="78">
        <f t="shared" si="83"/>
        <v>80.188103984447679</v>
      </c>
      <c r="R856" s="7" t="s">
        <v>251</v>
      </c>
      <c r="S856" s="80" t="s">
        <v>19</v>
      </c>
      <c r="T856" s="7"/>
      <c r="U856" s="7"/>
    </row>
    <row r="857" spans="1:21" x14ac:dyDescent="0.3">
      <c r="A857" s="10" t="s">
        <v>248</v>
      </c>
      <c r="B857" s="10" t="s">
        <v>118</v>
      </c>
      <c r="C857" s="37">
        <v>22000000</v>
      </c>
      <c r="D857" s="11">
        <v>2025</v>
      </c>
      <c r="E857" s="10" t="s">
        <v>23</v>
      </c>
      <c r="F857" s="41">
        <f t="shared" si="79"/>
        <v>3.8181818181818182E-3</v>
      </c>
      <c r="G857" s="8">
        <v>8</v>
      </c>
      <c r="H857" s="36">
        <f t="shared" si="80"/>
        <v>92294.070545454539</v>
      </c>
      <c r="I857" s="37">
        <v>840</v>
      </c>
      <c r="J857" s="12">
        <v>0.13300000000000001</v>
      </c>
      <c r="K857" s="12">
        <v>7</v>
      </c>
      <c r="L857" s="40">
        <f t="shared" si="81"/>
        <v>782.04</v>
      </c>
      <c r="M857" s="11">
        <v>1240</v>
      </c>
      <c r="N857" s="12">
        <v>73.8</v>
      </c>
      <c r="O857" s="9">
        <f t="shared" si="82"/>
        <v>91512</v>
      </c>
      <c r="P857" s="75">
        <f t="shared" si="78"/>
        <v>419.51850247933885</v>
      </c>
      <c r="Q857" s="78">
        <f t="shared" si="83"/>
        <v>98.493204574096978</v>
      </c>
      <c r="R857" s="10" t="s">
        <v>252</v>
      </c>
      <c r="S857" s="81" t="s">
        <v>25</v>
      </c>
      <c r="T857" s="10" t="s">
        <v>15</v>
      </c>
      <c r="U857" s="10"/>
    </row>
    <row r="858" spans="1:21" ht="22.8" x14ac:dyDescent="0.3">
      <c r="A858" s="7" t="s">
        <v>248</v>
      </c>
      <c r="B858" s="7" t="s">
        <v>118</v>
      </c>
      <c r="C858" s="36">
        <v>22000000</v>
      </c>
      <c r="D858" s="8">
        <v>2025</v>
      </c>
      <c r="E858" s="7" t="s">
        <v>26</v>
      </c>
      <c r="F858" s="41">
        <f t="shared" si="79"/>
        <v>30.90909090909091</v>
      </c>
      <c r="G858" s="11">
        <v>6</v>
      </c>
      <c r="H858" s="36">
        <f t="shared" si="80"/>
        <v>4352185.4545454541</v>
      </c>
      <c r="I858" s="36">
        <v>6800000</v>
      </c>
      <c r="J858" s="9">
        <v>0.128</v>
      </c>
      <c r="K858" s="9">
        <v>5</v>
      </c>
      <c r="L858" s="40">
        <f t="shared" si="81"/>
        <v>4352000</v>
      </c>
      <c r="M858" s="8">
        <v>0</v>
      </c>
      <c r="N858" s="9">
        <v>73.8</v>
      </c>
      <c r="O858" s="9">
        <f t="shared" si="82"/>
        <v>0</v>
      </c>
      <c r="P858" s="75">
        <f t="shared" si="78"/>
        <v>19782.661157024791</v>
      </c>
      <c r="Q858" s="78">
        <f t="shared" si="83"/>
        <v>100</v>
      </c>
      <c r="R858" s="7" t="s">
        <v>253</v>
      </c>
      <c r="S858" s="80" t="s">
        <v>28</v>
      </c>
      <c r="T858" s="7" t="s">
        <v>83</v>
      </c>
      <c r="U858" s="7"/>
    </row>
    <row r="859" spans="1:21" x14ac:dyDescent="0.3">
      <c r="A859" s="10" t="s">
        <v>248</v>
      </c>
      <c r="B859" s="10" t="s">
        <v>118</v>
      </c>
      <c r="C859" s="37">
        <v>22000000</v>
      </c>
      <c r="D859" s="11">
        <v>2025</v>
      </c>
      <c r="E859" s="10" t="s">
        <v>30</v>
      </c>
      <c r="F859" s="41">
        <f t="shared" si="79"/>
        <v>1.2727272727272728E-4</v>
      </c>
      <c r="G859" s="8">
        <v>6</v>
      </c>
      <c r="H859" s="36">
        <f t="shared" si="80"/>
        <v>6212.6407636363629</v>
      </c>
      <c r="I859" s="37">
        <v>28</v>
      </c>
      <c r="J859" s="12">
        <v>0.12</v>
      </c>
      <c r="K859" s="12">
        <v>4</v>
      </c>
      <c r="L859" s="40">
        <f t="shared" si="81"/>
        <v>13.44</v>
      </c>
      <c r="M859" s="11">
        <v>84</v>
      </c>
      <c r="N859" s="12">
        <v>73.8</v>
      </c>
      <c r="O859" s="9">
        <f t="shared" si="82"/>
        <v>6199.2</v>
      </c>
      <c r="P859" s="75">
        <f t="shared" si="78"/>
        <v>28.239276198347103</v>
      </c>
      <c r="Q859" s="78">
        <f t="shared" si="83"/>
        <v>24.602250732506981</v>
      </c>
      <c r="R859" s="10" t="s">
        <v>254</v>
      </c>
      <c r="S859" s="81" t="s">
        <v>29</v>
      </c>
      <c r="T859" s="10" t="s">
        <v>33</v>
      </c>
      <c r="U859" s="10"/>
    </row>
    <row r="860" spans="1:21" x14ac:dyDescent="0.3">
      <c r="A860" s="7" t="s">
        <v>267</v>
      </c>
      <c r="B860" s="7" t="s">
        <v>76</v>
      </c>
      <c r="C860" s="36">
        <v>38902940</v>
      </c>
      <c r="D860" s="8">
        <v>2015</v>
      </c>
      <c r="E860" s="7" t="s">
        <v>11</v>
      </c>
      <c r="F860" s="41">
        <f t="shared" si="79"/>
        <v>4.7297196561493808E-3</v>
      </c>
      <c r="G860" s="11">
        <v>9</v>
      </c>
      <c r="H860" s="36">
        <f t="shared" si="80"/>
        <v>184981.8025674769</v>
      </c>
      <c r="I860" s="36">
        <v>1840</v>
      </c>
      <c r="J860" s="9">
        <v>0.13300000000000001</v>
      </c>
      <c r="K860" s="9">
        <v>8</v>
      </c>
      <c r="L860" s="40">
        <f t="shared" si="81"/>
        <v>1957.7600000000002</v>
      </c>
      <c r="M860" s="8">
        <v>2480</v>
      </c>
      <c r="N860" s="9">
        <v>73.8</v>
      </c>
      <c r="O860" s="9">
        <f t="shared" si="82"/>
        <v>183024</v>
      </c>
      <c r="P860" s="75">
        <f t="shared" si="78"/>
        <v>475.49568893116282</v>
      </c>
      <c r="Q860" s="78">
        <f t="shared" si="83"/>
        <v>99.139108417843616</v>
      </c>
      <c r="R860" s="7" t="s">
        <v>268</v>
      </c>
      <c r="S860" s="80" t="s">
        <v>19</v>
      </c>
      <c r="T860" s="7" t="s">
        <v>78</v>
      </c>
      <c r="U860" s="7"/>
    </row>
    <row r="861" spans="1:21" ht="22.8" x14ac:dyDescent="0.3">
      <c r="A861" s="10" t="s">
        <v>267</v>
      </c>
      <c r="B861" s="10" t="s">
        <v>76</v>
      </c>
      <c r="C861" s="37">
        <v>38902940</v>
      </c>
      <c r="D861" s="11">
        <v>2015</v>
      </c>
      <c r="E861" s="10" t="s">
        <v>17</v>
      </c>
      <c r="F861" s="41">
        <f t="shared" si="79"/>
        <v>1.2338399102998386E-3</v>
      </c>
      <c r="G861" s="8">
        <v>7</v>
      </c>
      <c r="H861" s="36">
        <f t="shared" si="80"/>
        <v>6582.2486368793716</v>
      </c>
      <c r="I861" s="37">
        <v>480</v>
      </c>
      <c r="J861" s="12">
        <v>0.13300000000000001</v>
      </c>
      <c r="K861" s="12">
        <v>6</v>
      </c>
      <c r="L861" s="40">
        <f t="shared" si="81"/>
        <v>383.04</v>
      </c>
      <c r="M861" s="11">
        <v>84</v>
      </c>
      <c r="N861" s="12">
        <v>73.8</v>
      </c>
      <c r="O861" s="9">
        <f t="shared" si="82"/>
        <v>6199.2</v>
      </c>
      <c r="P861" s="75">
        <f t="shared" ref="P861:P924" si="84">H861/C861*100000</f>
        <v>16.919668891038498</v>
      </c>
      <c r="Q861" s="78">
        <f t="shared" si="83"/>
        <v>15.565718581549559</v>
      </c>
      <c r="R861" s="10" t="s">
        <v>269</v>
      </c>
      <c r="S861" s="81" t="s">
        <v>19</v>
      </c>
      <c r="T861" s="10" t="s">
        <v>99</v>
      </c>
      <c r="U861" s="10"/>
    </row>
    <row r="862" spans="1:21" ht="22.8" x14ac:dyDescent="0.3">
      <c r="A862" s="7" t="s">
        <v>267</v>
      </c>
      <c r="B862" s="7" t="s">
        <v>76</v>
      </c>
      <c r="C862" s="36">
        <v>38902940</v>
      </c>
      <c r="D862" s="8">
        <v>2015</v>
      </c>
      <c r="E862" s="7" t="s">
        <v>20</v>
      </c>
      <c r="F862" s="41">
        <f t="shared" si="79"/>
        <v>1.6451198803997848E-3</v>
      </c>
      <c r="G862" s="11">
        <v>7</v>
      </c>
      <c r="H862" s="36">
        <f t="shared" si="80"/>
        <v>62502.731515839165</v>
      </c>
      <c r="I862" s="36">
        <v>640</v>
      </c>
      <c r="J862" s="9">
        <v>0.13300000000000001</v>
      </c>
      <c r="K862" s="9">
        <v>6</v>
      </c>
      <c r="L862" s="40">
        <f t="shared" si="81"/>
        <v>510.72</v>
      </c>
      <c r="M862" s="8">
        <v>840</v>
      </c>
      <c r="N862" s="9">
        <v>73.8</v>
      </c>
      <c r="O862" s="9">
        <f t="shared" si="82"/>
        <v>61992</v>
      </c>
      <c r="P862" s="75">
        <f t="shared" si="84"/>
        <v>160.66325968124559</v>
      </c>
      <c r="Q862" s="78">
        <f t="shared" si="83"/>
        <v>79.943814915967224</v>
      </c>
      <c r="R862" s="7" t="s">
        <v>270</v>
      </c>
      <c r="S862" s="80" t="s">
        <v>19</v>
      </c>
      <c r="T862" s="7"/>
      <c r="U862" s="7"/>
    </row>
    <row r="863" spans="1:21" x14ac:dyDescent="0.3">
      <c r="A863" s="10" t="s">
        <v>267</v>
      </c>
      <c r="B863" s="10" t="s">
        <v>76</v>
      </c>
      <c r="C863" s="37">
        <v>38902940</v>
      </c>
      <c r="D863" s="11">
        <v>2015</v>
      </c>
      <c r="E863" s="10" t="s">
        <v>23</v>
      </c>
      <c r="F863" s="41">
        <f t="shared" si="79"/>
        <v>2.1592198430247175E-4</v>
      </c>
      <c r="G863" s="8">
        <v>8</v>
      </c>
      <c r="H863" s="36">
        <f t="shared" si="80"/>
        <v>3620.6057273758743</v>
      </c>
      <c r="I863" s="37">
        <v>84</v>
      </c>
      <c r="J863" s="12">
        <v>0.13300000000000001</v>
      </c>
      <c r="K863" s="12">
        <v>7</v>
      </c>
      <c r="L863" s="40">
        <f t="shared" si="81"/>
        <v>78.204000000000008</v>
      </c>
      <c r="M863" s="11">
        <v>48</v>
      </c>
      <c r="N863" s="12">
        <v>73.8</v>
      </c>
      <c r="O863" s="9">
        <f t="shared" si="82"/>
        <v>3542.3999999999996</v>
      </c>
      <c r="P863" s="75">
        <f t="shared" si="84"/>
        <v>9.3067663456177723</v>
      </c>
      <c r="Q863" s="78">
        <f t="shared" si="83"/>
        <v>8.8868152119504824</v>
      </c>
      <c r="R863" s="10" t="s">
        <v>112</v>
      </c>
      <c r="S863" s="81" t="s">
        <v>25</v>
      </c>
      <c r="T863" s="10" t="s">
        <v>15</v>
      </c>
      <c r="U863" s="10"/>
    </row>
    <row r="864" spans="1:21" x14ac:dyDescent="0.3">
      <c r="A864" s="7" t="s">
        <v>267</v>
      </c>
      <c r="B864" s="7" t="s">
        <v>76</v>
      </c>
      <c r="C864" s="36">
        <v>38902940</v>
      </c>
      <c r="D864" s="8">
        <v>2015</v>
      </c>
      <c r="E864" s="7" t="s">
        <v>26</v>
      </c>
      <c r="F864" s="41">
        <f t="shared" si="79"/>
        <v>5.3980496075617932</v>
      </c>
      <c r="G864" s="11">
        <v>6</v>
      </c>
      <c r="H864" s="36">
        <f t="shared" si="80"/>
        <v>1344032.3882976454</v>
      </c>
      <c r="I864" s="36">
        <v>2100000</v>
      </c>
      <c r="J864" s="9">
        <v>0.128</v>
      </c>
      <c r="K864" s="9">
        <v>5</v>
      </c>
      <c r="L864" s="40">
        <f t="shared" si="81"/>
        <v>1344000</v>
      </c>
      <c r="M864" s="8">
        <v>0</v>
      </c>
      <c r="N864" s="9">
        <v>73.8</v>
      </c>
      <c r="O864" s="9">
        <f t="shared" si="82"/>
        <v>0</v>
      </c>
      <c r="P864" s="75">
        <f t="shared" si="84"/>
        <v>3454.8350029525927</v>
      </c>
      <c r="Q864" s="78">
        <f t="shared" si="83"/>
        <v>99.999999999999901</v>
      </c>
      <c r="R864" s="7" t="s">
        <v>271</v>
      </c>
      <c r="S864" s="80" t="s">
        <v>28</v>
      </c>
      <c r="T864" s="7" t="s">
        <v>83</v>
      </c>
      <c r="U864" s="7"/>
    </row>
    <row r="865" spans="1:21" x14ac:dyDescent="0.3">
      <c r="A865" s="10" t="s">
        <v>267</v>
      </c>
      <c r="B865" s="10" t="s">
        <v>76</v>
      </c>
      <c r="C865" s="37">
        <v>38902940</v>
      </c>
      <c r="D865" s="11">
        <v>2015</v>
      </c>
      <c r="E865" s="10" t="s">
        <v>30</v>
      </c>
      <c r="F865" s="41">
        <f t="shared" si="79"/>
        <v>1.2338399102998385E-4</v>
      </c>
      <c r="G865" s="8">
        <v>6</v>
      </c>
      <c r="H865" s="36">
        <f t="shared" si="80"/>
        <v>13307.040740303946</v>
      </c>
      <c r="I865" s="37">
        <v>48</v>
      </c>
      <c r="J865" s="12">
        <v>0.12</v>
      </c>
      <c r="K865" s="12">
        <v>4</v>
      </c>
      <c r="L865" s="40">
        <f t="shared" si="81"/>
        <v>23.04</v>
      </c>
      <c r="M865" s="11">
        <v>180</v>
      </c>
      <c r="N865" s="12">
        <v>73.8</v>
      </c>
      <c r="O865" s="9">
        <f t="shared" si="82"/>
        <v>13284</v>
      </c>
      <c r="P865" s="75">
        <f t="shared" si="84"/>
        <v>34.205745736193577</v>
      </c>
      <c r="Q865" s="78">
        <f t="shared" si="83"/>
        <v>28.969260885219018</v>
      </c>
      <c r="R865" s="10" t="s">
        <v>272</v>
      </c>
      <c r="S865" s="81" t="s">
        <v>29</v>
      </c>
      <c r="T865" s="10" t="s">
        <v>33</v>
      </c>
      <c r="U865" s="10"/>
    </row>
    <row r="866" spans="1:21" x14ac:dyDescent="0.3">
      <c r="A866" s="7" t="s">
        <v>267</v>
      </c>
      <c r="B866" s="7" t="s">
        <v>76</v>
      </c>
      <c r="C866" s="36">
        <v>39599483</v>
      </c>
      <c r="D866" s="8">
        <v>2016</v>
      </c>
      <c r="E866" s="7" t="s">
        <v>11</v>
      </c>
      <c r="F866" s="41">
        <f t="shared" si="79"/>
        <v>4.646525309433964E-3</v>
      </c>
      <c r="G866" s="11">
        <v>9</v>
      </c>
      <c r="H866" s="36">
        <f t="shared" si="80"/>
        <v>184981.80181872781</v>
      </c>
      <c r="I866" s="36">
        <v>1840</v>
      </c>
      <c r="J866" s="9">
        <v>0.13300000000000001</v>
      </c>
      <c r="K866" s="9">
        <v>8</v>
      </c>
      <c r="L866" s="40">
        <f t="shared" si="81"/>
        <v>1957.7600000000002</v>
      </c>
      <c r="M866" s="8">
        <v>2480</v>
      </c>
      <c r="N866" s="9">
        <v>73.8</v>
      </c>
      <c r="O866" s="9">
        <f t="shared" si="82"/>
        <v>183024</v>
      </c>
      <c r="P866" s="75">
        <f t="shared" si="84"/>
        <v>467.1318608344655</v>
      </c>
      <c r="Q866" s="78">
        <f t="shared" si="83"/>
        <v>99.06400806814672</v>
      </c>
      <c r="R866" s="7" t="s">
        <v>268</v>
      </c>
      <c r="S866" s="80" t="s">
        <v>19</v>
      </c>
      <c r="T866" s="7" t="s">
        <v>78</v>
      </c>
      <c r="U866" s="7"/>
    </row>
    <row r="867" spans="1:21" ht="22.8" x14ac:dyDescent="0.3">
      <c r="A867" s="10" t="s">
        <v>267</v>
      </c>
      <c r="B867" s="10" t="s">
        <v>76</v>
      </c>
      <c r="C867" s="37">
        <v>39599483</v>
      </c>
      <c r="D867" s="11">
        <v>2016</v>
      </c>
      <c r="E867" s="10" t="s">
        <v>17</v>
      </c>
      <c r="F867" s="41">
        <f t="shared" si="79"/>
        <v>1.2121370372436427E-3</v>
      </c>
      <c r="G867" s="8">
        <v>7</v>
      </c>
      <c r="H867" s="36">
        <f t="shared" si="80"/>
        <v>6582.2484849592602</v>
      </c>
      <c r="I867" s="37">
        <v>480</v>
      </c>
      <c r="J867" s="12">
        <v>0.13300000000000001</v>
      </c>
      <c r="K867" s="12">
        <v>6</v>
      </c>
      <c r="L867" s="40">
        <f t="shared" si="81"/>
        <v>383.04</v>
      </c>
      <c r="M867" s="11">
        <v>84</v>
      </c>
      <c r="N867" s="12">
        <v>73.8</v>
      </c>
      <c r="O867" s="9">
        <f t="shared" si="82"/>
        <v>6199.2</v>
      </c>
      <c r="P867" s="75">
        <f t="shared" si="84"/>
        <v>16.622056618666612</v>
      </c>
      <c r="Q867" s="78">
        <f t="shared" si="83"/>
        <v>15.31405749657565</v>
      </c>
      <c r="R867" s="10" t="s">
        <v>269</v>
      </c>
      <c r="S867" s="81" t="s">
        <v>19</v>
      </c>
      <c r="T867" s="10" t="s">
        <v>99</v>
      </c>
      <c r="U867" s="10"/>
    </row>
    <row r="868" spans="1:21" ht="22.8" x14ac:dyDescent="0.3">
      <c r="A868" s="7" t="s">
        <v>267</v>
      </c>
      <c r="B868" s="7" t="s">
        <v>76</v>
      </c>
      <c r="C868" s="36">
        <v>39599483</v>
      </c>
      <c r="D868" s="8">
        <v>2016</v>
      </c>
      <c r="E868" s="7" t="s">
        <v>20</v>
      </c>
      <c r="F868" s="41">
        <f t="shared" si="79"/>
        <v>1.6161827163248571E-3</v>
      </c>
      <c r="G868" s="11">
        <v>7</v>
      </c>
      <c r="H868" s="36">
        <f t="shared" si="80"/>
        <v>62502.731313279015</v>
      </c>
      <c r="I868" s="36">
        <v>640</v>
      </c>
      <c r="J868" s="9">
        <v>0.13300000000000001</v>
      </c>
      <c r="K868" s="9">
        <v>6</v>
      </c>
      <c r="L868" s="40">
        <f t="shared" si="81"/>
        <v>510.72</v>
      </c>
      <c r="M868" s="8">
        <v>840</v>
      </c>
      <c r="N868" s="9">
        <v>73.8</v>
      </c>
      <c r="O868" s="9">
        <f t="shared" si="82"/>
        <v>61992</v>
      </c>
      <c r="P868" s="75">
        <f t="shared" si="84"/>
        <v>157.83724073690308</v>
      </c>
      <c r="Q868" s="78">
        <f t="shared" si="83"/>
        <v>79.36893852750741</v>
      </c>
      <c r="R868" s="7" t="s">
        <v>270</v>
      </c>
      <c r="S868" s="80" t="s">
        <v>19</v>
      </c>
      <c r="T868" s="7"/>
      <c r="U868" s="7"/>
    </row>
    <row r="869" spans="1:21" x14ac:dyDescent="0.3">
      <c r="A869" s="10" t="s">
        <v>267</v>
      </c>
      <c r="B869" s="10" t="s">
        <v>76</v>
      </c>
      <c r="C869" s="37">
        <v>39599483</v>
      </c>
      <c r="D869" s="11">
        <v>2016</v>
      </c>
      <c r="E869" s="10" t="s">
        <v>23</v>
      </c>
      <c r="F869" s="41">
        <f t="shared" si="79"/>
        <v>2.121239815176375E-4</v>
      </c>
      <c r="G869" s="8">
        <v>8</v>
      </c>
      <c r="H869" s="36">
        <f t="shared" si="80"/>
        <v>3620.6056969918518</v>
      </c>
      <c r="I869" s="37">
        <v>84</v>
      </c>
      <c r="J869" s="12">
        <v>0.13300000000000001</v>
      </c>
      <c r="K869" s="12">
        <v>7</v>
      </c>
      <c r="L869" s="40">
        <f t="shared" si="81"/>
        <v>78.204000000000008</v>
      </c>
      <c r="M869" s="11">
        <v>48</v>
      </c>
      <c r="N869" s="12">
        <v>73.8</v>
      </c>
      <c r="O869" s="9">
        <f t="shared" si="82"/>
        <v>3542.3999999999996</v>
      </c>
      <c r="P869" s="75">
        <f t="shared" si="84"/>
        <v>9.1430630470399112</v>
      </c>
      <c r="Q869" s="78">
        <f t="shared" si="83"/>
        <v>8.737537770302195</v>
      </c>
      <c r="R869" s="10" t="s">
        <v>112</v>
      </c>
      <c r="S869" s="81" t="s">
        <v>25</v>
      </c>
      <c r="T869" s="10" t="s">
        <v>15</v>
      </c>
      <c r="U869" s="10"/>
    </row>
    <row r="870" spans="1:21" x14ac:dyDescent="0.3">
      <c r="A870" s="7" t="s">
        <v>267</v>
      </c>
      <c r="B870" s="7" t="s">
        <v>76</v>
      </c>
      <c r="C870" s="36">
        <v>39599483</v>
      </c>
      <c r="D870" s="8">
        <v>2016</v>
      </c>
      <c r="E870" s="7" t="s">
        <v>26</v>
      </c>
      <c r="F870" s="41">
        <f t="shared" si="79"/>
        <v>5.3030995379409376</v>
      </c>
      <c r="G870" s="11">
        <v>6</v>
      </c>
      <c r="H870" s="36">
        <f t="shared" si="80"/>
        <v>1344031.8185972276</v>
      </c>
      <c r="I870" s="36">
        <v>2100000</v>
      </c>
      <c r="J870" s="9">
        <v>0.128</v>
      </c>
      <c r="K870" s="9">
        <v>5</v>
      </c>
      <c r="L870" s="40">
        <f t="shared" si="81"/>
        <v>1344000</v>
      </c>
      <c r="M870" s="8">
        <v>0</v>
      </c>
      <c r="N870" s="9">
        <v>73.8</v>
      </c>
      <c r="O870" s="9">
        <f t="shared" si="82"/>
        <v>0</v>
      </c>
      <c r="P870" s="75">
        <f t="shared" si="84"/>
        <v>3394.0640553242265</v>
      </c>
      <c r="Q870" s="78">
        <f t="shared" si="83"/>
        <v>99.999999999999829</v>
      </c>
      <c r="R870" s="7" t="s">
        <v>271</v>
      </c>
      <c r="S870" s="80" t="s">
        <v>28</v>
      </c>
      <c r="T870" s="7" t="s">
        <v>83</v>
      </c>
      <c r="U870" s="7"/>
    </row>
    <row r="871" spans="1:21" x14ac:dyDescent="0.3">
      <c r="A871" s="10" t="s">
        <v>267</v>
      </c>
      <c r="B871" s="10" t="s">
        <v>76</v>
      </c>
      <c r="C871" s="37">
        <v>39599483</v>
      </c>
      <c r="D871" s="11">
        <v>2016</v>
      </c>
      <c r="E871" s="10" t="s">
        <v>30</v>
      </c>
      <c r="F871" s="41">
        <f t="shared" si="79"/>
        <v>1.2121370372436428E-4</v>
      </c>
      <c r="G871" s="8">
        <v>6</v>
      </c>
      <c r="H871" s="36">
        <f t="shared" si="80"/>
        <v>13307.040727282223</v>
      </c>
      <c r="I871" s="37">
        <v>48</v>
      </c>
      <c r="J871" s="12">
        <v>0.12</v>
      </c>
      <c r="K871" s="12">
        <v>4</v>
      </c>
      <c r="L871" s="40">
        <f t="shared" si="81"/>
        <v>23.04</v>
      </c>
      <c r="M871" s="11">
        <v>180</v>
      </c>
      <c r="N871" s="12">
        <v>73.8</v>
      </c>
      <c r="O871" s="9">
        <f t="shared" si="82"/>
        <v>13284</v>
      </c>
      <c r="P871" s="75">
        <f t="shared" si="84"/>
        <v>33.604076920100759</v>
      </c>
      <c r="Q871" s="78">
        <f t="shared" si="83"/>
        <v>28.5406028203099</v>
      </c>
      <c r="R871" s="10" t="s">
        <v>272</v>
      </c>
      <c r="S871" s="81" t="s">
        <v>29</v>
      </c>
      <c r="T871" s="10" t="s">
        <v>33</v>
      </c>
      <c r="U871" s="10"/>
    </row>
    <row r="872" spans="1:21" x14ac:dyDescent="0.3">
      <c r="A872" s="7" t="s">
        <v>267</v>
      </c>
      <c r="B872" s="7" t="s">
        <v>76</v>
      </c>
      <c r="C872" s="36">
        <v>40533330</v>
      </c>
      <c r="D872" s="8">
        <v>2017</v>
      </c>
      <c r="E872" s="7" t="s">
        <v>11</v>
      </c>
      <c r="F872" s="41">
        <f t="shared" si="79"/>
        <v>4.5394740575225379E-3</v>
      </c>
      <c r="G872" s="11">
        <v>9</v>
      </c>
      <c r="H872" s="36">
        <f t="shared" si="80"/>
        <v>184981.80085526654</v>
      </c>
      <c r="I872" s="36">
        <v>1840</v>
      </c>
      <c r="J872" s="9">
        <v>0.13300000000000001</v>
      </c>
      <c r="K872" s="9">
        <v>8</v>
      </c>
      <c r="L872" s="40">
        <f t="shared" si="81"/>
        <v>1957.7600000000002</v>
      </c>
      <c r="M872" s="8">
        <v>2480</v>
      </c>
      <c r="N872" s="9">
        <v>73.8</v>
      </c>
      <c r="O872" s="9">
        <f t="shared" si="82"/>
        <v>183024</v>
      </c>
      <c r="P872" s="75">
        <f t="shared" si="84"/>
        <v>456.3696120088494</v>
      </c>
      <c r="Q872" s="78">
        <f t="shared" si="83"/>
        <v>98.95765387080823</v>
      </c>
      <c r="R872" s="7" t="s">
        <v>268</v>
      </c>
      <c r="S872" s="80" t="s">
        <v>19</v>
      </c>
      <c r="T872" s="7" t="s">
        <v>78</v>
      </c>
      <c r="U872" s="7"/>
    </row>
    <row r="873" spans="1:21" ht="22.8" x14ac:dyDescent="0.3">
      <c r="A873" s="10" t="s">
        <v>267</v>
      </c>
      <c r="B873" s="10" t="s">
        <v>76</v>
      </c>
      <c r="C873" s="37">
        <v>40533330</v>
      </c>
      <c r="D873" s="11">
        <v>2017</v>
      </c>
      <c r="E873" s="10" t="s">
        <v>17</v>
      </c>
      <c r="F873" s="41">
        <f t="shared" si="79"/>
        <v>1.1842106237015316E-3</v>
      </c>
      <c r="G873" s="8">
        <v>7</v>
      </c>
      <c r="H873" s="36">
        <f t="shared" si="80"/>
        <v>6582.2482894743653</v>
      </c>
      <c r="I873" s="37">
        <v>480</v>
      </c>
      <c r="J873" s="12">
        <v>0.13300000000000001</v>
      </c>
      <c r="K873" s="12">
        <v>6</v>
      </c>
      <c r="L873" s="40">
        <f t="shared" si="81"/>
        <v>383.04</v>
      </c>
      <c r="M873" s="11">
        <v>84</v>
      </c>
      <c r="N873" s="12">
        <v>73.8</v>
      </c>
      <c r="O873" s="9">
        <f t="shared" si="82"/>
        <v>6199.2</v>
      </c>
      <c r="P873" s="75">
        <f t="shared" si="84"/>
        <v>16.239100733826618</v>
      </c>
      <c r="Q873" s="78">
        <f t="shared" si="83"/>
        <v>14.989125920938751</v>
      </c>
      <c r="R873" s="10" t="s">
        <v>269</v>
      </c>
      <c r="S873" s="81" t="s">
        <v>19</v>
      </c>
      <c r="T873" s="10" t="s">
        <v>99</v>
      </c>
      <c r="U873" s="10"/>
    </row>
    <row r="874" spans="1:21" ht="22.8" x14ac:dyDescent="0.3">
      <c r="A874" s="7" t="s">
        <v>267</v>
      </c>
      <c r="B874" s="7" t="s">
        <v>76</v>
      </c>
      <c r="C874" s="36">
        <v>40533330</v>
      </c>
      <c r="D874" s="8">
        <v>2017</v>
      </c>
      <c r="E874" s="7" t="s">
        <v>20</v>
      </c>
      <c r="F874" s="41">
        <f t="shared" si="79"/>
        <v>1.5789474982687087E-3</v>
      </c>
      <c r="G874" s="11">
        <v>7</v>
      </c>
      <c r="H874" s="36">
        <f t="shared" si="80"/>
        <v>62502.731052632487</v>
      </c>
      <c r="I874" s="36">
        <v>640</v>
      </c>
      <c r="J874" s="9">
        <v>0.13300000000000001</v>
      </c>
      <c r="K874" s="9">
        <v>6</v>
      </c>
      <c r="L874" s="40">
        <f t="shared" si="81"/>
        <v>510.72</v>
      </c>
      <c r="M874" s="8">
        <v>840</v>
      </c>
      <c r="N874" s="9">
        <v>73.8</v>
      </c>
      <c r="O874" s="9">
        <f t="shared" si="82"/>
        <v>61992</v>
      </c>
      <c r="P874" s="75">
        <f t="shared" si="84"/>
        <v>154.20082942268124</v>
      </c>
      <c r="Q874" s="78">
        <f t="shared" si="83"/>
        <v>78.604900686479482</v>
      </c>
      <c r="R874" s="7" t="s">
        <v>270</v>
      </c>
      <c r="S874" s="80" t="s">
        <v>19</v>
      </c>
      <c r="T874" s="7"/>
      <c r="U874" s="7"/>
    </row>
    <row r="875" spans="1:21" x14ac:dyDescent="0.3">
      <c r="A875" s="10" t="s">
        <v>267</v>
      </c>
      <c r="B875" s="10" t="s">
        <v>76</v>
      </c>
      <c r="C875" s="37">
        <v>40533330</v>
      </c>
      <c r="D875" s="11">
        <v>2017</v>
      </c>
      <c r="E875" s="10" t="s">
        <v>23</v>
      </c>
      <c r="F875" s="41">
        <f t="shared" si="79"/>
        <v>2.0723685914776803E-4</v>
      </c>
      <c r="G875" s="8">
        <v>8</v>
      </c>
      <c r="H875" s="36">
        <f t="shared" si="80"/>
        <v>3620.6056578948728</v>
      </c>
      <c r="I875" s="37">
        <v>84</v>
      </c>
      <c r="J875" s="12">
        <v>0.13300000000000001</v>
      </c>
      <c r="K875" s="12">
        <v>7</v>
      </c>
      <c r="L875" s="40">
        <f t="shared" si="81"/>
        <v>78.204000000000008</v>
      </c>
      <c r="M875" s="11">
        <v>48</v>
      </c>
      <c r="N875" s="12">
        <v>73.8</v>
      </c>
      <c r="O875" s="9">
        <f t="shared" si="82"/>
        <v>3542.3999999999996</v>
      </c>
      <c r="P875" s="75">
        <f t="shared" si="84"/>
        <v>8.9324160089853777</v>
      </c>
      <c r="Q875" s="78">
        <f t="shared" si="83"/>
        <v>8.5450934788195099</v>
      </c>
      <c r="R875" s="10" t="s">
        <v>112</v>
      </c>
      <c r="S875" s="81" t="s">
        <v>25</v>
      </c>
      <c r="T875" s="10" t="s">
        <v>15</v>
      </c>
      <c r="U875" s="10"/>
    </row>
    <row r="876" spans="1:21" x14ac:dyDescent="0.3">
      <c r="A876" s="7" t="s">
        <v>267</v>
      </c>
      <c r="B876" s="7" t="s">
        <v>76</v>
      </c>
      <c r="C876" s="36">
        <v>40533330</v>
      </c>
      <c r="D876" s="8">
        <v>2017</v>
      </c>
      <c r="E876" s="7" t="s">
        <v>26</v>
      </c>
      <c r="F876" s="41">
        <f t="shared" si="79"/>
        <v>5.1809214786942004</v>
      </c>
      <c r="G876" s="11">
        <v>6</v>
      </c>
      <c r="H876" s="36">
        <f t="shared" si="80"/>
        <v>1344031.0855288722</v>
      </c>
      <c r="I876" s="36">
        <v>2100000</v>
      </c>
      <c r="J876" s="9">
        <v>0.128</v>
      </c>
      <c r="K876" s="9">
        <v>5</v>
      </c>
      <c r="L876" s="40">
        <f t="shared" si="81"/>
        <v>1344000</v>
      </c>
      <c r="M876" s="8">
        <v>0</v>
      </c>
      <c r="N876" s="9">
        <v>73.8</v>
      </c>
      <c r="O876" s="9">
        <f t="shared" si="82"/>
        <v>0</v>
      </c>
      <c r="P876" s="75">
        <f t="shared" si="84"/>
        <v>3315.866437642484</v>
      </c>
      <c r="Q876" s="78">
        <f t="shared" si="83"/>
        <v>99.999999999999602</v>
      </c>
      <c r="R876" s="7" t="s">
        <v>271</v>
      </c>
      <c r="S876" s="80" t="s">
        <v>28</v>
      </c>
      <c r="T876" s="7" t="s">
        <v>83</v>
      </c>
      <c r="U876" s="7"/>
    </row>
    <row r="877" spans="1:21" x14ac:dyDescent="0.3">
      <c r="A877" s="10" t="s">
        <v>267</v>
      </c>
      <c r="B877" s="10" t="s">
        <v>76</v>
      </c>
      <c r="C877" s="37">
        <v>40533330</v>
      </c>
      <c r="D877" s="11">
        <v>2017</v>
      </c>
      <c r="E877" s="10" t="s">
        <v>30</v>
      </c>
      <c r="F877" s="41">
        <f t="shared" si="79"/>
        <v>1.1842106237015316E-4</v>
      </c>
      <c r="G877" s="8">
        <v>6</v>
      </c>
      <c r="H877" s="36">
        <f t="shared" si="80"/>
        <v>13307.040710526375</v>
      </c>
      <c r="I877" s="37">
        <v>48</v>
      </c>
      <c r="J877" s="12">
        <v>0.12</v>
      </c>
      <c r="K877" s="12">
        <v>4</v>
      </c>
      <c r="L877" s="40">
        <f t="shared" si="81"/>
        <v>23.04</v>
      </c>
      <c r="M877" s="11">
        <v>180</v>
      </c>
      <c r="N877" s="12">
        <v>73.8</v>
      </c>
      <c r="O877" s="9">
        <f t="shared" si="82"/>
        <v>13284</v>
      </c>
      <c r="P877" s="75">
        <f t="shared" si="84"/>
        <v>32.82987287382106</v>
      </c>
      <c r="Q877" s="78">
        <f t="shared" si="83"/>
        <v>27.985214129164216</v>
      </c>
      <c r="R877" s="10" t="s">
        <v>272</v>
      </c>
      <c r="S877" s="81" t="s">
        <v>29</v>
      </c>
      <c r="T877" s="10" t="s">
        <v>33</v>
      </c>
      <c r="U877" s="10"/>
    </row>
    <row r="878" spans="1:21" x14ac:dyDescent="0.3">
      <c r="A878" s="7" t="s">
        <v>267</v>
      </c>
      <c r="B878" s="7" t="s">
        <v>76</v>
      </c>
      <c r="C878" s="36">
        <v>41511526</v>
      </c>
      <c r="D878" s="8">
        <v>2018</v>
      </c>
      <c r="E878" s="7" t="s">
        <v>11</v>
      </c>
      <c r="F878" s="41">
        <f t="shared" si="79"/>
        <v>4.4325038785613426E-3</v>
      </c>
      <c r="G878" s="11">
        <v>9</v>
      </c>
      <c r="H878" s="36">
        <f t="shared" si="80"/>
        <v>184981.79989253491</v>
      </c>
      <c r="I878" s="36">
        <v>1840</v>
      </c>
      <c r="J878" s="9">
        <v>0.13300000000000001</v>
      </c>
      <c r="K878" s="9">
        <v>8</v>
      </c>
      <c r="L878" s="40">
        <f t="shared" si="81"/>
        <v>1957.7600000000002</v>
      </c>
      <c r="M878" s="8">
        <v>2480</v>
      </c>
      <c r="N878" s="9">
        <v>73.8</v>
      </c>
      <c r="O878" s="9">
        <f t="shared" si="82"/>
        <v>183024</v>
      </c>
      <c r="P878" s="75">
        <f t="shared" si="84"/>
        <v>445.61551385158646</v>
      </c>
      <c r="Q878" s="78">
        <f t="shared" si="83"/>
        <v>98.839309545464943</v>
      </c>
      <c r="R878" s="7" t="s">
        <v>268</v>
      </c>
      <c r="S878" s="80" t="s">
        <v>19</v>
      </c>
      <c r="T878" s="7" t="s">
        <v>78</v>
      </c>
      <c r="U878" s="7"/>
    </row>
    <row r="879" spans="1:21" ht="22.8" x14ac:dyDescent="0.3">
      <c r="A879" s="10" t="s">
        <v>267</v>
      </c>
      <c r="B879" s="10" t="s">
        <v>76</v>
      </c>
      <c r="C879" s="37">
        <v>41511526</v>
      </c>
      <c r="D879" s="11">
        <v>2018</v>
      </c>
      <c r="E879" s="10" t="s">
        <v>17</v>
      </c>
      <c r="F879" s="41">
        <f t="shared" si="79"/>
        <v>1.1563053596246979E-3</v>
      </c>
      <c r="G879" s="8">
        <v>7</v>
      </c>
      <c r="H879" s="36">
        <f t="shared" si="80"/>
        <v>6582.248094137517</v>
      </c>
      <c r="I879" s="37">
        <v>480</v>
      </c>
      <c r="J879" s="12">
        <v>0.13300000000000001</v>
      </c>
      <c r="K879" s="12">
        <v>6</v>
      </c>
      <c r="L879" s="40">
        <f t="shared" si="81"/>
        <v>383.04</v>
      </c>
      <c r="M879" s="11">
        <v>84</v>
      </c>
      <c r="N879" s="12">
        <v>73.8</v>
      </c>
      <c r="O879" s="9">
        <f t="shared" si="82"/>
        <v>6199.2</v>
      </c>
      <c r="P879" s="75">
        <f t="shared" si="84"/>
        <v>15.856434895063884</v>
      </c>
      <c r="Q879" s="78">
        <f t="shared" si="83"/>
        <v>14.663195131435348</v>
      </c>
      <c r="R879" s="10" t="s">
        <v>269</v>
      </c>
      <c r="S879" s="81" t="s">
        <v>19</v>
      </c>
      <c r="T879" s="10" t="s">
        <v>99</v>
      </c>
      <c r="U879" s="10"/>
    </row>
    <row r="880" spans="1:21" ht="22.8" x14ac:dyDescent="0.3">
      <c r="A880" s="7" t="s">
        <v>267</v>
      </c>
      <c r="B880" s="7" t="s">
        <v>76</v>
      </c>
      <c r="C880" s="36">
        <v>41511526</v>
      </c>
      <c r="D880" s="8">
        <v>2018</v>
      </c>
      <c r="E880" s="7" t="s">
        <v>20</v>
      </c>
      <c r="F880" s="41">
        <f t="shared" si="79"/>
        <v>1.5417404794995974E-3</v>
      </c>
      <c r="G880" s="11">
        <v>7</v>
      </c>
      <c r="H880" s="36">
        <f t="shared" si="80"/>
        <v>62502.730792183356</v>
      </c>
      <c r="I880" s="36">
        <v>640</v>
      </c>
      <c r="J880" s="9">
        <v>0.13300000000000001</v>
      </c>
      <c r="K880" s="9">
        <v>6</v>
      </c>
      <c r="L880" s="40">
        <f t="shared" si="81"/>
        <v>510.72</v>
      </c>
      <c r="M880" s="8">
        <v>840</v>
      </c>
      <c r="N880" s="9">
        <v>73.8</v>
      </c>
      <c r="O880" s="9">
        <f t="shared" si="82"/>
        <v>61992</v>
      </c>
      <c r="P880" s="75">
        <f t="shared" si="84"/>
        <v>150.56717209621095</v>
      </c>
      <c r="Q880" s="78">
        <f t="shared" si="83"/>
        <v>77.813178976137536</v>
      </c>
      <c r="R880" s="7" t="s">
        <v>270</v>
      </c>
      <c r="S880" s="80" t="s">
        <v>19</v>
      </c>
      <c r="T880" s="7"/>
      <c r="U880" s="7"/>
    </row>
    <row r="881" spans="1:21" x14ac:dyDescent="0.3">
      <c r="A881" s="10" t="s">
        <v>267</v>
      </c>
      <c r="B881" s="10" t="s">
        <v>76</v>
      </c>
      <c r="C881" s="37">
        <v>41511526</v>
      </c>
      <c r="D881" s="11">
        <v>2018</v>
      </c>
      <c r="E881" s="10" t="s">
        <v>23</v>
      </c>
      <c r="F881" s="41">
        <f t="shared" si="79"/>
        <v>2.0235343793432214E-4</v>
      </c>
      <c r="G881" s="8">
        <v>8</v>
      </c>
      <c r="H881" s="36">
        <f t="shared" si="80"/>
        <v>3620.6056188275033</v>
      </c>
      <c r="I881" s="37">
        <v>84</v>
      </c>
      <c r="J881" s="12">
        <v>0.13300000000000001</v>
      </c>
      <c r="K881" s="12">
        <v>7</v>
      </c>
      <c r="L881" s="40">
        <f t="shared" si="81"/>
        <v>78.204000000000008</v>
      </c>
      <c r="M881" s="11">
        <v>48</v>
      </c>
      <c r="N881" s="12">
        <v>73.8</v>
      </c>
      <c r="O881" s="9">
        <f t="shared" si="82"/>
        <v>3542.3999999999996</v>
      </c>
      <c r="P881" s="75">
        <f t="shared" si="84"/>
        <v>8.7219285044532047</v>
      </c>
      <c r="Q881" s="78">
        <f t="shared" si="83"/>
        <v>8.3523895906560401</v>
      </c>
      <c r="R881" s="10" t="s">
        <v>112</v>
      </c>
      <c r="S881" s="81" t="s">
        <v>25</v>
      </c>
      <c r="T881" s="10" t="s">
        <v>15</v>
      </c>
      <c r="U881" s="10"/>
    </row>
    <row r="882" spans="1:21" x14ac:dyDescent="0.3">
      <c r="A882" s="7" t="s">
        <v>267</v>
      </c>
      <c r="B882" s="7" t="s">
        <v>76</v>
      </c>
      <c r="C882" s="36">
        <v>41511526</v>
      </c>
      <c r="D882" s="8">
        <v>2018</v>
      </c>
      <c r="E882" s="7" t="s">
        <v>26</v>
      </c>
      <c r="F882" s="41">
        <f t="shared" si="79"/>
        <v>5.0588359483580536</v>
      </c>
      <c r="G882" s="11">
        <v>6</v>
      </c>
      <c r="H882" s="36">
        <f t="shared" si="80"/>
        <v>1344030.3530156901</v>
      </c>
      <c r="I882" s="36">
        <v>2100000</v>
      </c>
      <c r="J882" s="9">
        <v>0.128</v>
      </c>
      <c r="K882" s="9">
        <v>5</v>
      </c>
      <c r="L882" s="40">
        <f t="shared" si="81"/>
        <v>1344000</v>
      </c>
      <c r="M882" s="8">
        <v>0</v>
      </c>
      <c r="N882" s="9">
        <v>73.8</v>
      </c>
      <c r="O882" s="9">
        <f t="shared" si="82"/>
        <v>0</v>
      </c>
      <c r="P882" s="75">
        <f t="shared" si="84"/>
        <v>3237.7281264381609</v>
      </c>
      <c r="Q882" s="78">
        <f t="shared" si="83"/>
        <v>99.999999999999133</v>
      </c>
      <c r="R882" s="7" t="s">
        <v>271</v>
      </c>
      <c r="S882" s="80" t="s">
        <v>28</v>
      </c>
      <c r="T882" s="7" t="s">
        <v>83</v>
      </c>
      <c r="U882" s="7"/>
    </row>
    <row r="883" spans="1:21" x14ac:dyDescent="0.3">
      <c r="A883" s="10" t="s">
        <v>267</v>
      </c>
      <c r="B883" s="10" t="s">
        <v>76</v>
      </c>
      <c r="C883" s="37">
        <v>41511526</v>
      </c>
      <c r="D883" s="11">
        <v>2018</v>
      </c>
      <c r="E883" s="10" t="s">
        <v>30</v>
      </c>
      <c r="F883" s="41">
        <f t="shared" si="79"/>
        <v>1.156305359624698E-4</v>
      </c>
      <c r="G883" s="8">
        <v>6</v>
      </c>
      <c r="H883" s="36">
        <f t="shared" si="80"/>
        <v>13307.040693783216</v>
      </c>
      <c r="I883" s="37">
        <v>48</v>
      </c>
      <c r="J883" s="12">
        <v>0.12</v>
      </c>
      <c r="K883" s="12">
        <v>4</v>
      </c>
      <c r="L883" s="40">
        <f t="shared" si="81"/>
        <v>23.04</v>
      </c>
      <c r="M883" s="11">
        <v>180</v>
      </c>
      <c r="N883" s="12">
        <v>73.8</v>
      </c>
      <c r="O883" s="9">
        <f t="shared" si="82"/>
        <v>13284</v>
      </c>
      <c r="P883" s="75">
        <f t="shared" si="84"/>
        <v>32.056255156178111</v>
      </c>
      <c r="Q883" s="78">
        <f t="shared" si="83"/>
        <v>27.425934432263478</v>
      </c>
      <c r="R883" s="10" t="s">
        <v>272</v>
      </c>
      <c r="S883" s="81" t="s">
        <v>29</v>
      </c>
      <c r="T883" s="10" t="s">
        <v>33</v>
      </c>
      <c r="U883" s="10"/>
    </row>
    <row r="884" spans="1:21" x14ac:dyDescent="0.3">
      <c r="A884" s="7" t="s">
        <v>267</v>
      </c>
      <c r="B884" s="7" t="s">
        <v>76</v>
      </c>
      <c r="C884" s="36">
        <v>42514731</v>
      </c>
      <c r="D884" s="8">
        <v>2019</v>
      </c>
      <c r="E884" s="7" t="s">
        <v>11</v>
      </c>
      <c r="F884" s="41">
        <f t="shared" si="79"/>
        <v>4.3279116596080542E-3</v>
      </c>
      <c r="G884" s="11">
        <v>9</v>
      </c>
      <c r="H884" s="36">
        <f t="shared" si="80"/>
        <v>184981.79895120495</v>
      </c>
      <c r="I884" s="36">
        <v>1840</v>
      </c>
      <c r="J884" s="9">
        <v>0.13300000000000001</v>
      </c>
      <c r="K884" s="9">
        <v>8</v>
      </c>
      <c r="L884" s="40">
        <f t="shared" si="81"/>
        <v>1957.7600000000002</v>
      </c>
      <c r="M884" s="8">
        <v>2480</v>
      </c>
      <c r="N884" s="9">
        <v>73.8</v>
      </c>
      <c r="O884" s="9">
        <f t="shared" si="82"/>
        <v>183024</v>
      </c>
      <c r="P884" s="75">
        <f t="shared" si="84"/>
        <v>435.10048070445271</v>
      </c>
      <c r="Q884" s="78">
        <f t="shared" si="83"/>
        <v>98.710614976230616</v>
      </c>
      <c r="R884" s="7" t="s">
        <v>268</v>
      </c>
      <c r="S884" s="80" t="s">
        <v>19</v>
      </c>
      <c r="T884" s="7" t="s">
        <v>78</v>
      </c>
      <c r="U884" s="7"/>
    </row>
    <row r="885" spans="1:21" ht="22.8" x14ac:dyDescent="0.3">
      <c r="A885" s="10" t="s">
        <v>267</v>
      </c>
      <c r="B885" s="10" t="s">
        <v>76</v>
      </c>
      <c r="C885" s="37">
        <v>42514731</v>
      </c>
      <c r="D885" s="11">
        <v>2019</v>
      </c>
      <c r="E885" s="10" t="s">
        <v>17</v>
      </c>
      <c r="F885" s="41">
        <f t="shared" si="79"/>
        <v>1.1290204329412316E-3</v>
      </c>
      <c r="G885" s="8">
        <v>7</v>
      </c>
      <c r="H885" s="36">
        <f t="shared" si="80"/>
        <v>6582.2479031430303</v>
      </c>
      <c r="I885" s="37">
        <v>480</v>
      </c>
      <c r="J885" s="12">
        <v>0.13300000000000001</v>
      </c>
      <c r="K885" s="12">
        <v>6</v>
      </c>
      <c r="L885" s="40">
        <f t="shared" si="81"/>
        <v>383.04</v>
      </c>
      <c r="M885" s="11">
        <v>84</v>
      </c>
      <c r="N885" s="12">
        <v>73.8</v>
      </c>
      <c r="O885" s="9">
        <f t="shared" si="82"/>
        <v>6199.2</v>
      </c>
      <c r="P885" s="75">
        <f t="shared" si="84"/>
        <v>15.482275786110538</v>
      </c>
      <c r="Q885" s="78">
        <f t="shared" si="83"/>
        <v>14.343301620570726</v>
      </c>
      <c r="R885" s="10" t="s">
        <v>269</v>
      </c>
      <c r="S885" s="81" t="s">
        <v>19</v>
      </c>
      <c r="T885" s="10" t="s">
        <v>99</v>
      </c>
      <c r="U885" s="10"/>
    </row>
    <row r="886" spans="1:21" ht="22.8" x14ac:dyDescent="0.3">
      <c r="A886" s="7" t="s">
        <v>267</v>
      </c>
      <c r="B886" s="7" t="s">
        <v>76</v>
      </c>
      <c r="C886" s="36">
        <v>42514731</v>
      </c>
      <c r="D886" s="8">
        <v>2019</v>
      </c>
      <c r="E886" s="7" t="s">
        <v>20</v>
      </c>
      <c r="F886" s="41">
        <f t="shared" si="79"/>
        <v>1.5053605772549754E-3</v>
      </c>
      <c r="G886" s="11">
        <v>7</v>
      </c>
      <c r="H886" s="36">
        <f t="shared" si="80"/>
        <v>62502.730537524039</v>
      </c>
      <c r="I886" s="36">
        <v>640</v>
      </c>
      <c r="J886" s="9">
        <v>0.13300000000000001</v>
      </c>
      <c r="K886" s="9">
        <v>6</v>
      </c>
      <c r="L886" s="40">
        <f t="shared" si="81"/>
        <v>510.72</v>
      </c>
      <c r="M886" s="8">
        <v>840</v>
      </c>
      <c r="N886" s="9">
        <v>73.8</v>
      </c>
      <c r="O886" s="9">
        <f t="shared" si="82"/>
        <v>61992</v>
      </c>
      <c r="P886" s="75">
        <f t="shared" si="84"/>
        <v>147.01429144059279</v>
      </c>
      <c r="Q886" s="78">
        <f t="shared" si="83"/>
        <v>77.010737212945145</v>
      </c>
      <c r="R886" s="7" t="s">
        <v>270</v>
      </c>
      <c r="S886" s="80" t="s">
        <v>19</v>
      </c>
      <c r="T886" s="7"/>
      <c r="U886" s="7"/>
    </row>
    <row r="887" spans="1:21" x14ac:dyDescent="0.3">
      <c r="A887" s="10" t="s">
        <v>267</v>
      </c>
      <c r="B887" s="10" t="s">
        <v>76</v>
      </c>
      <c r="C887" s="37">
        <v>42514731</v>
      </c>
      <c r="D887" s="11">
        <v>2019</v>
      </c>
      <c r="E887" s="10" t="s">
        <v>23</v>
      </c>
      <c r="F887" s="41">
        <f t="shared" si="79"/>
        <v>1.9757857576471554E-4</v>
      </c>
      <c r="G887" s="8">
        <v>8</v>
      </c>
      <c r="H887" s="36">
        <f t="shared" si="80"/>
        <v>3620.6055806286058</v>
      </c>
      <c r="I887" s="37">
        <v>84</v>
      </c>
      <c r="J887" s="12">
        <v>0.13300000000000001</v>
      </c>
      <c r="K887" s="12">
        <v>7</v>
      </c>
      <c r="L887" s="40">
        <f t="shared" si="81"/>
        <v>78.204000000000008</v>
      </c>
      <c r="M887" s="11">
        <v>48</v>
      </c>
      <c r="N887" s="12">
        <v>73.8</v>
      </c>
      <c r="O887" s="9">
        <f t="shared" si="82"/>
        <v>3542.3999999999996</v>
      </c>
      <c r="P887" s="75">
        <f t="shared" si="84"/>
        <v>8.5161201669807252</v>
      </c>
      <c r="Q887" s="78">
        <f t="shared" si="83"/>
        <v>8.1635769378947671</v>
      </c>
      <c r="R887" s="10" t="s">
        <v>112</v>
      </c>
      <c r="S887" s="81" t="s">
        <v>25</v>
      </c>
      <c r="T887" s="10" t="s">
        <v>15</v>
      </c>
      <c r="U887" s="10"/>
    </row>
    <row r="888" spans="1:21" x14ac:dyDescent="0.3">
      <c r="A888" s="7" t="s">
        <v>267</v>
      </c>
      <c r="B888" s="7" t="s">
        <v>76</v>
      </c>
      <c r="C888" s="36">
        <v>42514731</v>
      </c>
      <c r="D888" s="8">
        <v>2019</v>
      </c>
      <c r="E888" s="7" t="s">
        <v>26</v>
      </c>
      <c r="F888" s="41">
        <f t="shared" si="79"/>
        <v>4.9394643941178886</v>
      </c>
      <c r="G888" s="11">
        <v>6</v>
      </c>
      <c r="H888" s="36">
        <f t="shared" si="80"/>
        <v>1344029.6367863647</v>
      </c>
      <c r="I888" s="36">
        <v>2100000</v>
      </c>
      <c r="J888" s="9">
        <v>0.128</v>
      </c>
      <c r="K888" s="9">
        <v>5</v>
      </c>
      <c r="L888" s="40">
        <f t="shared" si="81"/>
        <v>1344000</v>
      </c>
      <c r="M888" s="8">
        <v>0</v>
      </c>
      <c r="N888" s="9">
        <v>73.8</v>
      </c>
      <c r="O888" s="9">
        <f t="shared" si="82"/>
        <v>0</v>
      </c>
      <c r="P888" s="75">
        <f t="shared" si="84"/>
        <v>3161.3269216883082</v>
      </c>
      <c r="Q888" s="78">
        <f t="shared" si="83"/>
        <v>99.999999999998138</v>
      </c>
      <c r="R888" s="7" t="s">
        <v>271</v>
      </c>
      <c r="S888" s="80" t="s">
        <v>28</v>
      </c>
      <c r="T888" s="7" t="s">
        <v>83</v>
      </c>
      <c r="U888" s="7"/>
    </row>
    <row r="889" spans="1:21" x14ac:dyDescent="0.3">
      <c r="A889" s="10" t="s">
        <v>267</v>
      </c>
      <c r="B889" s="10" t="s">
        <v>76</v>
      </c>
      <c r="C889" s="37">
        <v>42514731</v>
      </c>
      <c r="D889" s="11">
        <v>2019</v>
      </c>
      <c r="E889" s="10" t="s">
        <v>30</v>
      </c>
      <c r="F889" s="41">
        <f t="shared" si="79"/>
        <v>1.1290204329412315E-4</v>
      </c>
      <c r="G889" s="8">
        <v>6</v>
      </c>
      <c r="H889" s="36">
        <f t="shared" si="80"/>
        <v>13307.04067741226</v>
      </c>
      <c r="I889" s="37">
        <v>48</v>
      </c>
      <c r="J889" s="12">
        <v>0.12</v>
      </c>
      <c r="K889" s="12">
        <v>4</v>
      </c>
      <c r="L889" s="40">
        <f t="shared" si="81"/>
        <v>23.04</v>
      </c>
      <c r="M889" s="11">
        <v>180</v>
      </c>
      <c r="N889" s="12">
        <v>73.8</v>
      </c>
      <c r="O889" s="9">
        <f t="shared" si="82"/>
        <v>13284</v>
      </c>
      <c r="P889" s="75">
        <f t="shared" si="84"/>
        <v>31.299835055788684</v>
      </c>
      <c r="Q889" s="78">
        <f t="shared" si="83"/>
        <v>26.874888127572216</v>
      </c>
      <c r="R889" s="10" t="s">
        <v>272</v>
      </c>
      <c r="S889" s="81" t="s">
        <v>29</v>
      </c>
      <c r="T889" s="10" t="s">
        <v>33</v>
      </c>
      <c r="U889" s="10"/>
    </row>
    <row r="890" spans="1:21" x14ac:dyDescent="0.3">
      <c r="A890" s="7" t="s">
        <v>267</v>
      </c>
      <c r="B890" s="7" t="s">
        <v>76</v>
      </c>
      <c r="C890" s="36">
        <v>43532499</v>
      </c>
      <c r="D890" s="8">
        <v>2020</v>
      </c>
      <c r="E890" s="7" t="s">
        <v>11</v>
      </c>
      <c r="F890" s="41">
        <f t="shared" si="79"/>
        <v>4.2267272549641587E-3</v>
      </c>
      <c r="G890" s="11">
        <v>9</v>
      </c>
      <c r="H890" s="36">
        <f t="shared" si="80"/>
        <v>184981.79804054531</v>
      </c>
      <c r="I890" s="36">
        <v>1840</v>
      </c>
      <c r="J890" s="9">
        <v>0.13300000000000001</v>
      </c>
      <c r="K890" s="9">
        <v>8</v>
      </c>
      <c r="L890" s="40">
        <f t="shared" si="81"/>
        <v>1957.7600000000002</v>
      </c>
      <c r="M890" s="8">
        <v>2480</v>
      </c>
      <c r="N890" s="9">
        <v>73.8</v>
      </c>
      <c r="O890" s="9">
        <f t="shared" si="82"/>
        <v>183024</v>
      </c>
      <c r="P890" s="75">
        <f t="shared" si="84"/>
        <v>424.92804752730905</v>
      </c>
      <c r="Q890" s="78">
        <f t="shared" si="83"/>
        <v>98.572549892869716</v>
      </c>
      <c r="R890" s="7" t="s">
        <v>268</v>
      </c>
      <c r="S890" s="80" t="s">
        <v>19</v>
      </c>
      <c r="T890" s="7" t="s">
        <v>78</v>
      </c>
      <c r="U890" s="7"/>
    </row>
    <row r="891" spans="1:21" ht="22.8" x14ac:dyDescent="0.3">
      <c r="A891" s="10" t="s">
        <v>267</v>
      </c>
      <c r="B891" s="10" t="s">
        <v>76</v>
      </c>
      <c r="C891" s="37">
        <v>43532499</v>
      </c>
      <c r="D891" s="11">
        <v>2020</v>
      </c>
      <c r="E891" s="10" t="s">
        <v>17</v>
      </c>
      <c r="F891" s="41">
        <f t="shared" si="79"/>
        <v>1.1026245012949981E-3</v>
      </c>
      <c r="G891" s="8">
        <v>7</v>
      </c>
      <c r="H891" s="36">
        <f t="shared" si="80"/>
        <v>6582.2477183715091</v>
      </c>
      <c r="I891" s="37">
        <v>480</v>
      </c>
      <c r="J891" s="12">
        <v>0.13300000000000001</v>
      </c>
      <c r="K891" s="12">
        <v>6</v>
      </c>
      <c r="L891" s="40">
        <f t="shared" si="81"/>
        <v>383.04</v>
      </c>
      <c r="M891" s="11">
        <v>84</v>
      </c>
      <c r="N891" s="12">
        <v>73.8</v>
      </c>
      <c r="O891" s="9">
        <f t="shared" si="82"/>
        <v>6199.2</v>
      </c>
      <c r="P891" s="75">
        <f t="shared" si="84"/>
        <v>15.120307516394842</v>
      </c>
      <c r="Q891" s="78">
        <f t="shared" si="83"/>
        <v>14.032689732451642</v>
      </c>
      <c r="R891" s="10" t="s">
        <v>269</v>
      </c>
      <c r="S891" s="81" t="s">
        <v>19</v>
      </c>
      <c r="T891" s="10" t="s">
        <v>99</v>
      </c>
      <c r="U891" s="10"/>
    </row>
    <row r="892" spans="1:21" ht="22.8" x14ac:dyDescent="0.3">
      <c r="A892" s="7" t="s">
        <v>267</v>
      </c>
      <c r="B892" s="7" t="s">
        <v>76</v>
      </c>
      <c r="C892" s="36">
        <v>43532499</v>
      </c>
      <c r="D892" s="8">
        <v>2020</v>
      </c>
      <c r="E892" s="7" t="s">
        <v>20</v>
      </c>
      <c r="F892" s="41">
        <f t="shared" si="79"/>
        <v>1.4701660017266641E-3</v>
      </c>
      <c r="G892" s="11">
        <v>7</v>
      </c>
      <c r="H892" s="36">
        <f t="shared" si="80"/>
        <v>62502.730291162014</v>
      </c>
      <c r="I892" s="36">
        <v>640</v>
      </c>
      <c r="J892" s="9">
        <v>0.13300000000000001</v>
      </c>
      <c r="K892" s="9">
        <v>6</v>
      </c>
      <c r="L892" s="40">
        <f t="shared" si="81"/>
        <v>510.72</v>
      </c>
      <c r="M892" s="8">
        <v>840</v>
      </c>
      <c r="N892" s="9">
        <v>73.8</v>
      </c>
      <c r="O892" s="9">
        <f t="shared" si="82"/>
        <v>61992</v>
      </c>
      <c r="P892" s="75">
        <f t="shared" si="84"/>
        <v>143.57717045180891</v>
      </c>
      <c r="Q892" s="78">
        <f t="shared" si="83"/>
        <v>76.206831980361756</v>
      </c>
      <c r="R892" s="7" t="s">
        <v>270</v>
      </c>
      <c r="S892" s="80" t="s">
        <v>19</v>
      </c>
      <c r="T892" s="7"/>
      <c r="U892" s="7"/>
    </row>
    <row r="893" spans="1:21" x14ac:dyDescent="0.3">
      <c r="A893" s="10" t="s">
        <v>267</v>
      </c>
      <c r="B893" s="10" t="s">
        <v>76</v>
      </c>
      <c r="C893" s="37">
        <v>43532499</v>
      </c>
      <c r="D893" s="11">
        <v>2020</v>
      </c>
      <c r="E893" s="10" t="s">
        <v>23</v>
      </c>
      <c r="F893" s="41">
        <f t="shared" si="79"/>
        <v>1.9295928772662465E-4</v>
      </c>
      <c r="G893" s="8">
        <v>8</v>
      </c>
      <c r="H893" s="36">
        <f t="shared" si="80"/>
        <v>3620.6055436743018</v>
      </c>
      <c r="I893" s="37">
        <v>84</v>
      </c>
      <c r="J893" s="12">
        <v>0.13300000000000001</v>
      </c>
      <c r="K893" s="12">
        <v>7</v>
      </c>
      <c r="L893" s="40">
        <f t="shared" si="81"/>
        <v>78.204000000000008</v>
      </c>
      <c r="M893" s="11">
        <v>48</v>
      </c>
      <c r="N893" s="12">
        <v>73.8</v>
      </c>
      <c r="O893" s="9">
        <f t="shared" si="82"/>
        <v>3542.3999999999996</v>
      </c>
      <c r="P893" s="75">
        <f t="shared" si="84"/>
        <v>8.3170174624578799</v>
      </c>
      <c r="Q893" s="78">
        <f t="shared" si="83"/>
        <v>7.9805459865180284</v>
      </c>
      <c r="R893" s="10" t="s">
        <v>112</v>
      </c>
      <c r="S893" s="81" t="s">
        <v>25</v>
      </c>
      <c r="T893" s="10" t="s">
        <v>15</v>
      </c>
      <c r="U893" s="10"/>
    </row>
    <row r="894" spans="1:21" x14ac:dyDescent="0.3">
      <c r="A894" s="7" t="s">
        <v>267</v>
      </c>
      <c r="B894" s="7" t="s">
        <v>76</v>
      </c>
      <c r="C894" s="36">
        <v>43532499</v>
      </c>
      <c r="D894" s="8">
        <v>2020</v>
      </c>
      <c r="E894" s="7" t="s">
        <v>26</v>
      </c>
      <c r="F894" s="41">
        <f t="shared" si="79"/>
        <v>4.8239821931656159</v>
      </c>
      <c r="G894" s="11">
        <v>6</v>
      </c>
      <c r="H894" s="36">
        <f t="shared" si="80"/>
        <v>1344028.943893159</v>
      </c>
      <c r="I894" s="36">
        <v>2100000</v>
      </c>
      <c r="J894" s="9">
        <v>0.128</v>
      </c>
      <c r="K894" s="9">
        <v>5</v>
      </c>
      <c r="L894" s="40">
        <f t="shared" si="81"/>
        <v>1344000</v>
      </c>
      <c r="M894" s="8">
        <v>0</v>
      </c>
      <c r="N894" s="9">
        <v>73.8</v>
      </c>
      <c r="O894" s="9">
        <f t="shared" si="82"/>
        <v>0</v>
      </c>
      <c r="P894" s="75">
        <f t="shared" si="84"/>
        <v>3087.4150916379945</v>
      </c>
      <c r="Q894" s="78">
        <f t="shared" si="83"/>
        <v>99.999999999996092</v>
      </c>
      <c r="R894" s="7" t="s">
        <v>271</v>
      </c>
      <c r="S894" s="80" t="s">
        <v>28</v>
      </c>
      <c r="T894" s="7" t="s">
        <v>83</v>
      </c>
      <c r="U894" s="7"/>
    </row>
    <row r="895" spans="1:21" x14ac:dyDescent="0.3">
      <c r="A895" s="10" t="s">
        <v>267</v>
      </c>
      <c r="B895" s="10" t="s">
        <v>76</v>
      </c>
      <c r="C895" s="37">
        <v>43532499</v>
      </c>
      <c r="D895" s="11">
        <v>2020</v>
      </c>
      <c r="E895" s="10" t="s">
        <v>30</v>
      </c>
      <c r="F895" s="41">
        <f t="shared" si="79"/>
        <v>1.102624501294998E-4</v>
      </c>
      <c r="G895" s="8">
        <v>6</v>
      </c>
      <c r="H895" s="36">
        <f t="shared" si="80"/>
        <v>13307.040661574702</v>
      </c>
      <c r="I895" s="37">
        <v>48</v>
      </c>
      <c r="J895" s="12">
        <v>0.12</v>
      </c>
      <c r="K895" s="12">
        <v>4</v>
      </c>
      <c r="L895" s="40">
        <f t="shared" si="81"/>
        <v>23.04</v>
      </c>
      <c r="M895" s="11">
        <v>180</v>
      </c>
      <c r="N895" s="12">
        <v>73.8</v>
      </c>
      <c r="O895" s="9">
        <f t="shared" si="82"/>
        <v>13284</v>
      </c>
      <c r="P895" s="75">
        <f t="shared" si="84"/>
        <v>30.568060569127223</v>
      </c>
      <c r="Q895" s="78">
        <f t="shared" si="83"/>
        <v>26.337814528422044</v>
      </c>
      <c r="R895" s="10" t="s">
        <v>272</v>
      </c>
      <c r="S895" s="81" t="s">
        <v>29</v>
      </c>
      <c r="T895" s="10" t="s">
        <v>33</v>
      </c>
      <c r="U895" s="10"/>
    </row>
    <row r="896" spans="1:21" x14ac:dyDescent="0.3">
      <c r="A896" s="7" t="s">
        <v>267</v>
      </c>
      <c r="B896" s="7" t="s">
        <v>76</v>
      </c>
      <c r="C896" s="36">
        <v>44574000</v>
      </c>
      <c r="D896" s="8">
        <v>2021</v>
      </c>
      <c r="E896" s="7" t="s">
        <v>11</v>
      </c>
      <c r="F896" s="41">
        <f t="shared" si="79"/>
        <v>4.1279669762641896E-3</v>
      </c>
      <c r="G896" s="11">
        <v>9</v>
      </c>
      <c r="H896" s="36">
        <f t="shared" si="80"/>
        <v>184981.79715170281</v>
      </c>
      <c r="I896" s="36">
        <v>1840</v>
      </c>
      <c r="J896" s="9">
        <v>0.13300000000000001</v>
      </c>
      <c r="K896" s="9">
        <v>8</v>
      </c>
      <c r="L896" s="40">
        <f t="shared" si="81"/>
        <v>1957.7600000000002</v>
      </c>
      <c r="M896" s="8">
        <v>2480</v>
      </c>
      <c r="N896" s="9">
        <v>73.8</v>
      </c>
      <c r="O896" s="9">
        <f t="shared" si="82"/>
        <v>183024</v>
      </c>
      <c r="P896" s="75">
        <f t="shared" si="84"/>
        <v>414.9993205718643</v>
      </c>
      <c r="Q896" s="78">
        <f t="shared" si="83"/>
        <v>98.423547640690074</v>
      </c>
      <c r="R896" s="7" t="s">
        <v>268</v>
      </c>
      <c r="S896" s="80" t="s">
        <v>19</v>
      </c>
      <c r="T896" s="7" t="s">
        <v>78</v>
      </c>
      <c r="U896" s="7"/>
    </row>
    <row r="897" spans="1:21" ht="22.8" x14ac:dyDescent="0.3">
      <c r="A897" s="10" t="s">
        <v>267</v>
      </c>
      <c r="B897" s="10" t="s">
        <v>76</v>
      </c>
      <c r="C897" s="37">
        <v>44574000</v>
      </c>
      <c r="D897" s="11">
        <v>2021</v>
      </c>
      <c r="E897" s="10" t="s">
        <v>17</v>
      </c>
      <c r="F897" s="41">
        <f t="shared" si="79"/>
        <v>1.0768609503297886E-3</v>
      </c>
      <c r="G897" s="8">
        <v>7</v>
      </c>
      <c r="H897" s="36">
        <f t="shared" si="80"/>
        <v>6582.2475380266524</v>
      </c>
      <c r="I897" s="37">
        <v>480</v>
      </c>
      <c r="J897" s="12">
        <v>0.13300000000000001</v>
      </c>
      <c r="K897" s="12">
        <v>6</v>
      </c>
      <c r="L897" s="40">
        <f t="shared" si="81"/>
        <v>383.04</v>
      </c>
      <c r="M897" s="11">
        <v>84</v>
      </c>
      <c r="N897" s="12">
        <v>73.8</v>
      </c>
      <c r="O897" s="9">
        <f t="shared" si="82"/>
        <v>6199.2</v>
      </c>
      <c r="P897" s="75">
        <f t="shared" si="84"/>
        <v>14.767011123136026</v>
      </c>
      <c r="Q897" s="78">
        <f t="shared" si="83"/>
        <v>13.72843317865261</v>
      </c>
      <c r="R897" s="10" t="s">
        <v>269</v>
      </c>
      <c r="S897" s="81" t="s">
        <v>19</v>
      </c>
      <c r="T897" s="10" t="s">
        <v>99</v>
      </c>
      <c r="U897" s="10"/>
    </row>
    <row r="898" spans="1:21" ht="22.8" x14ac:dyDescent="0.3">
      <c r="A898" s="7" t="s">
        <v>267</v>
      </c>
      <c r="B898" s="7" t="s">
        <v>76</v>
      </c>
      <c r="C898" s="36">
        <v>44574000</v>
      </c>
      <c r="D898" s="8">
        <v>2021</v>
      </c>
      <c r="E898" s="7" t="s">
        <v>20</v>
      </c>
      <c r="F898" s="41">
        <f t="shared" ref="F898:F961" si="85">I898*100/C898</f>
        <v>1.4358146004397182E-3</v>
      </c>
      <c r="G898" s="11">
        <v>7</v>
      </c>
      <c r="H898" s="36">
        <f t="shared" ref="H898:H961" si="86">O898+L898+(G898*F898)</f>
        <v>62502.730050702201</v>
      </c>
      <c r="I898" s="36">
        <v>640</v>
      </c>
      <c r="J898" s="9">
        <v>0.13300000000000001</v>
      </c>
      <c r="K898" s="9">
        <v>6</v>
      </c>
      <c r="L898" s="40">
        <f t="shared" si="81"/>
        <v>510.72</v>
      </c>
      <c r="M898" s="8">
        <v>840</v>
      </c>
      <c r="N898" s="9">
        <v>73.8</v>
      </c>
      <c r="O898" s="9">
        <f t="shared" si="82"/>
        <v>61992</v>
      </c>
      <c r="P898" s="75">
        <f t="shared" si="84"/>
        <v>140.22239433459461</v>
      </c>
      <c r="Q898" s="78">
        <f t="shared" si="83"/>
        <v>75.395084436238079</v>
      </c>
      <c r="R898" s="7" t="s">
        <v>270</v>
      </c>
      <c r="S898" s="80" t="s">
        <v>19</v>
      </c>
      <c r="T898" s="7"/>
      <c r="U898" s="7"/>
    </row>
    <row r="899" spans="1:21" x14ac:dyDescent="0.3">
      <c r="A899" s="10" t="s">
        <v>267</v>
      </c>
      <c r="B899" s="10" t="s">
        <v>76</v>
      </c>
      <c r="C899" s="37">
        <v>44574000</v>
      </c>
      <c r="D899" s="11">
        <v>2021</v>
      </c>
      <c r="E899" s="10" t="s">
        <v>23</v>
      </c>
      <c r="F899" s="41">
        <f t="shared" si="85"/>
        <v>1.8845066630771302E-4</v>
      </c>
      <c r="G899" s="8">
        <v>8</v>
      </c>
      <c r="H899" s="36">
        <f t="shared" si="86"/>
        <v>3620.6055076053303</v>
      </c>
      <c r="I899" s="37">
        <v>84</v>
      </c>
      <c r="J899" s="12">
        <v>0.13300000000000001</v>
      </c>
      <c r="K899" s="12">
        <v>7</v>
      </c>
      <c r="L899" s="40">
        <f t="shared" ref="L899:L962" si="87">I899*J899*K899</f>
        <v>78.204000000000008</v>
      </c>
      <c r="M899" s="11">
        <v>48</v>
      </c>
      <c r="N899" s="12">
        <v>73.8</v>
      </c>
      <c r="O899" s="9">
        <f t="shared" ref="O899:O962" si="88">M899*N899</f>
        <v>3542.3999999999996</v>
      </c>
      <c r="P899" s="75">
        <f t="shared" si="84"/>
        <v>8.1226847660190469</v>
      </c>
      <c r="Q899" s="78">
        <f t="shared" ref="Q899:Q962" si="89">100*(1-EXP(-P899/100))</f>
        <v>7.801548231035305</v>
      </c>
      <c r="R899" s="10" t="s">
        <v>112</v>
      </c>
      <c r="S899" s="81" t="s">
        <v>25</v>
      </c>
      <c r="T899" s="10" t="s">
        <v>15</v>
      </c>
      <c r="U899" s="10"/>
    </row>
    <row r="900" spans="1:21" x14ac:dyDescent="0.3">
      <c r="A900" s="7" t="s">
        <v>267</v>
      </c>
      <c r="B900" s="7" t="s">
        <v>76</v>
      </c>
      <c r="C900" s="36">
        <v>44574000</v>
      </c>
      <c r="D900" s="8">
        <v>2021</v>
      </c>
      <c r="E900" s="7" t="s">
        <v>26</v>
      </c>
      <c r="F900" s="41">
        <f t="shared" si="85"/>
        <v>4.7112666576928257</v>
      </c>
      <c r="G900" s="11">
        <v>6</v>
      </c>
      <c r="H900" s="36">
        <f t="shared" si="86"/>
        <v>1344028.2675999461</v>
      </c>
      <c r="I900" s="36">
        <v>2100000</v>
      </c>
      <c r="J900" s="9">
        <v>0.128</v>
      </c>
      <c r="K900" s="9">
        <v>5</v>
      </c>
      <c r="L900" s="40">
        <f t="shared" si="87"/>
        <v>1344000</v>
      </c>
      <c r="M900" s="8">
        <v>0</v>
      </c>
      <c r="N900" s="9">
        <v>73.8</v>
      </c>
      <c r="O900" s="9">
        <f t="shared" si="88"/>
        <v>0</v>
      </c>
      <c r="P900" s="75">
        <f t="shared" si="84"/>
        <v>3015.2740781620364</v>
      </c>
      <c r="Q900" s="78">
        <f t="shared" si="89"/>
        <v>99.999999999991971</v>
      </c>
      <c r="R900" s="7" t="s">
        <v>271</v>
      </c>
      <c r="S900" s="80" t="s">
        <v>28</v>
      </c>
      <c r="T900" s="7" t="s">
        <v>83</v>
      </c>
      <c r="U900" s="7"/>
    </row>
    <row r="901" spans="1:21" x14ac:dyDescent="0.3">
      <c r="A901" s="10" t="s">
        <v>267</v>
      </c>
      <c r="B901" s="10" t="s">
        <v>76</v>
      </c>
      <c r="C901" s="37">
        <v>44574000</v>
      </c>
      <c r="D901" s="11">
        <v>2021</v>
      </c>
      <c r="E901" s="10" t="s">
        <v>30</v>
      </c>
      <c r="F901" s="41">
        <f t="shared" si="85"/>
        <v>1.0768609503297887E-4</v>
      </c>
      <c r="G901" s="8">
        <v>6</v>
      </c>
      <c r="H901" s="36">
        <f t="shared" si="86"/>
        <v>13307.040646116571</v>
      </c>
      <c r="I901" s="37">
        <v>48</v>
      </c>
      <c r="J901" s="12">
        <v>0.12</v>
      </c>
      <c r="K901" s="12">
        <v>4</v>
      </c>
      <c r="L901" s="40">
        <f t="shared" si="87"/>
        <v>23.04</v>
      </c>
      <c r="M901" s="11">
        <v>180</v>
      </c>
      <c r="N901" s="12">
        <v>73.8</v>
      </c>
      <c r="O901" s="9">
        <f t="shared" si="88"/>
        <v>13284</v>
      </c>
      <c r="P901" s="75">
        <f t="shared" si="84"/>
        <v>29.853817575529614</v>
      </c>
      <c r="Q901" s="78">
        <f t="shared" si="89"/>
        <v>25.809804135814808</v>
      </c>
      <c r="R901" s="10" t="s">
        <v>272</v>
      </c>
      <c r="S901" s="81" t="s">
        <v>29</v>
      </c>
      <c r="T901" s="10" t="s">
        <v>33</v>
      </c>
      <c r="U901" s="10"/>
    </row>
    <row r="902" spans="1:21" x14ac:dyDescent="0.3">
      <c r="A902" s="7" t="s">
        <v>267</v>
      </c>
      <c r="B902" s="7" t="s">
        <v>76</v>
      </c>
      <c r="C902" s="36">
        <v>45657202</v>
      </c>
      <c r="D902" s="8">
        <v>2022</v>
      </c>
      <c r="E902" s="7" t="s">
        <v>11</v>
      </c>
      <c r="F902" s="41">
        <f t="shared" si="85"/>
        <v>4.0300323265538701E-3</v>
      </c>
      <c r="G902" s="11">
        <v>9</v>
      </c>
      <c r="H902" s="36">
        <f t="shared" si="86"/>
        <v>184981.79627029094</v>
      </c>
      <c r="I902" s="36">
        <v>1840</v>
      </c>
      <c r="J902" s="9">
        <v>0.13300000000000001</v>
      </c>
      <c r="K902" s="9">
        <v>8</v>
      </c>
      <c r="L902" s="40">
        <f t="shared" si="87"/>
        <v>1957.7600000000002</v>
      </c>
      <c r="M902" s="8">
        <v>2480</v>
      </c>
      <c r="N902" s="9">
        <v>73.8</v>
      </c>
      <c r="O902" s="9">
        <f t="shared" si="88"/>
        <v>183024</v>
      </c>
      <c r="P902" s="75">
        <f t="shared" si="84"/>
        <v>405.15359717025791</v>
      </c>
      <c r="Q902" s="78">
        <f t="shared" si="89"/>
        <v>98.260436509395049</v>
      </c>
      <c r="R902" s="7" t="s">
        <v>268</v>
      </c>
      <c r="S902" s="80" t="s">
        <v>19</v>
      </c>
      <c r="T902" s="7" t="s">
        <v>78</v>
      </c>
      <c r="U902" s="7"/>
    </row>
    <row r="903" spans="1:21" ht="22.8" x14ac:dyDescent="0.3">
      <c r="A903" s="10" t="s">
        <v>267</v>
      </c>
      <c r="B903" s="10" t="s">
        <v>76</v>
      </c>
      <c r="C903" s="37">
        <v>45657202</v>
      </c>
      <c r="D903" s="11">
        <v>2022</v>
      </c>
      <c r="E903" s="10" t="s">
        <v>17</v>
      </c>
      <c r="F903" s="41">
        <f t="shared" si="85"/>
        <v>1.0513127808401399E-3</v>
      </c>
      <c r="G903" s="8">
        <v>7</v>
      </c>
      <c r="H903" s="36">
        <f t="shared" si="86"/>
        <v>6582.2473591894659</v>
      </c>
      <c r="I903" s="37">
        <v>480</v>
      </c>
      <c r="J903" s="12">
        <v>0.13300000000000001</v>
      </c>
      <c r="K903" s="12">
        <v>6</v>
      </c>
      <c r="L903" s="40">
        <f t="shared" si="87"/>
        <v>383.04</v>
      </c>
      <c r="M903" s="11">
        <v>84</v>
      </c>
      <c r="N903" s="12">
        <v>73.8</v>
      </c>
      <c r="O903" s="9">
        <f t="shared" si="88"/>
        <v>6199.2</v>
      </c>
      <c r="P903" s="75">
        <f t="shared" si="84"/>
        <v>14.416668282014886</v>
      </c>
      <c r="Q903" s="78">
        <f t="shared" si="89"/>
        <v>13.425656852469213</v>
      </c>
      <c r="R903" s="10" t="s">
        <v>269</v>
      </c>
      <c r="S903" s="81" t="s">
        <v>19</v>
      </c>
      <c r="T903" s="10" t="s">
        <v>99</v>
      </c>
      <c r="U903" s="10"/>
    </row>
    <row r="904" spans="1:21" ht="22.8" x14ac:dyDescent="0.3">
      <c r="A904" s="7" t="s">
        <v>267</v>
      </c>
      <c r="B904" s="7" t="s">
        <v>76</v>
      </c>
      <c r="C904" s="36">
        <v>45657202</v>
      </c>
      <c r="D904" s="8">
        <v>2022</v>
      </c>
      <c r="E904" s="7" t="s">
        <v>20</v>
      </c>
      <c r="F904" s="41">
        <f t="shared" si="85"/>
        <v>1.4017503744535201E-3</v>
      </c>
      <c r="G904" s="11">
        <v>7</v>
      </c>
      <c r="H904" s="36">
        <f t="shared" si="86"/>
        <v>62502.729812252619</v>
      </c>
      <c r="I904" s="36">
        <v>640</v>
      </c>
      <c r="J904" s="9">
        <v>0.13300000000000001</v>
      </c>
      <c r="K904" s="9">
        <v>6</v>
      </c>
      <c r="L904" s="40">
        <f t="shared" si="87"/>
        <v>510.72</v>
      </c>
      <c r="M904" s="8">
        <v>840</v>
      </c>
      <c r="N904" s="9">
        <v>73.8</v>
      </c>
      <c r="O904" s="9">
        <f t="shared" si="88"/>
        <v>61992</v>
      </c>
      <c r="P904" s="75">
        <f t="shared" si="84"/>
        <v>136.8956639354567</v>
      </c>
      <c r="Q904" s="78">
        <f t="shared" si="89"/>
        <v>74.562777688715585</v>
      </c>
      <c r="R904" s="7" t="s">
        <v>270</v>
      </c>
      <c r="S904" s="80" t="s">
        <v>19</v>
      </c>
      <c r="T904" s="7"/>
      <c r="U904" s="7"/>
    </row>
    <row r="905" spans="1:21" x14ac:dyDescent="0.3">
      <c r="A905" s="10" t="s">
        <v>267</v>
      </c>
      <c r="B905" s="10" t="s">
        <v>76</v>
      </c>
      <c r="C905" s="37">
        <v>45657202</v>
      </c>
      <c r="D905" s="11">
        <v>2022</v>
      </c>
      <c r="E905" s="10" t="s">
        <v>23</v>
      </c>
      <c r="F905" s="41">
        <f t="shared" si="85"/>
        <v>1.8397973664702449E-4</v>
      </c>
      <c r="G905" s="8">
        <v>8</v>
      </c>
      <c r="H905" s="36">
        <f t="shared" si="86"/>
        <v>3620.6054718378928</v>
      </c>
      <c r="I905" s="37">
        <v>84</v>
      </c>
      <c r="J905" s="12">
        <v>0.13300000000000001</v>
      </c>
      <c r="K905" s="12">
        <v>7</v>
      </c>
      <c r="L905" s="40">
        <f t="shared" si="87"/>
        <v>78.204000000000008</v>
      </c>
      <c r="M905" s="11">
        <v>48</v>
      </c>
      <c r="N905" s="12">
        <v>73.8</v>
      </c>
      <c r="O905" s="9">
        <f t="shared" si="88"/>
        <v>3542.3999999999996</v>
      </c>
      <c r="P905" s="75">
        <f t="shared" si="84"/>
        <v>7.9299766810894212</v>
      </c>
      <c r="Q905" s="78">
        <f t="shared" si="89"/>
        <v>7.6237030543172324</v>
      </c>
      <c r="R905" s="10" t="s">
        <v>112</v>
      </c>
      <c r="S905" s="81" t="s">
        <v>25</v>
      </c>
      <c r="T905" s="10" t="s">
        <v>15</v>
      </c>
      <c r="U905" s="10"/>
    </row>
    <row r="906" spans="1:21" x14ac:dyDescent="0.3">
      <c r="A906" s="7" t="s">
        <v>267</v>
      </c>
      <c r="B906" s="7" t="s">
        <v>76</v>
      </c>
      <c r="C906" s="36">
        <v>45657202</v>
      </c>
      <c r="D906" s="8">
        <v>2022</v>
      </c>
      <c r="E906" s="7" t="s">
        <v>26</v>
      </c>
      <c r="F906" s="41">
        <f t="shared" si="85"/>
        <v>4.599493416175612</v>
      </c>
      <c r="G906" s="11">
        <v>6</v>
      </c>
      <c r="H906" s="36">
        <f t="shared" si="86"/>
        <v>1344027.5969604971</v>
      </c>
      <c r="I906" s="36">
        <v>2100000</v>
      </c>
      <c r="J906" s="9">
        <v>0.128</v>
      </c>
      <c r="K906" s="9">
        <v>5</v>
      </c>
      <c r="L906" s="40">
        <f t="shared" si="87"/>
        <v>1344000</v>
      </c>
      <c r="M906" s="8">
        <v>0</v>
      </c>
      <c r="N906" s="9">
        <v>73.8</v>
      </c>
      <c r="O906" s="9">
        <f t="shared" si="88"/>
        <v>0</v>
      </c>
      <c r="P906" s="75">
        <f t="shared" si="84"/>
        <v>2943.7362301800645</v>
      </c>
      <c r="Q906" s="78">
        <f t="shared" si="89"/>
        <v>99.999999999983586</v>
      </c>
      <c r="R906" s="7" t="s">
        <v>271</v>
      </c>
      <c r="S906" s="80" t="s">
        <v>28</v>
      </c>
      <c r="T906" s="7" t="s">
        <v>83</v>
      </c>
      <c r="U906" s="7"/>
    </row>
    <row r="907" spans="1:21" x14ac:dyDescent="0.3">
      <c r="A907" s="10" t="s">
        <v>267</v>
      </c>
      <c r="B907" s="10" t="s">
        <v>76</v>
      </c>
      <c r="C907" s="37">
        <v>45657202</v>
      </c>
      <c r="D907" s="11">
        <v>2022</v>
      </c>
      <c r="E907" s="10" t="s">
        <v>30</v>
      </c>
      <c r="F907" s="41">
        <f t="shared" si="85"/>
        <v>1.0513127808401399E-4</v>
      </c>
      <c r="G907" s="8">
        <v>6</v>
      </c>
      <c r="H907" s="36">
        <f t="shared" si="86"/>
        <v>13307.040630787669</v>
      </c>
      <c r="I907" s="37">
        <v>48</v>
      </c>
      <c r="J907" s="12">
        <v>0.12</v>
      </c>
      <c r="K907" s="12">
        <v>4</v>
      </c>
      <c r="L907" s="40">
        <f t="shared" si="87"/>
        <v>23.04</v>
      </c>
      <c r="M907" s="11">
        <v>180</v>
      </c>
      <c r="N907" s="12">
        <v>73.8</v>
      </c>
      <c r="O907" s="9">
        <f t="shared" si="88"/>
        <v>13284</v>
      </c>
      <c r="P907" s="75">
        <f t="shared" si="84"/>
        <v>29.145545604804404</v>
      </c>
      <c r="Q907" s="78">
        <f t="shared" si="89"/>
        <v>25.282470499783429</v>
      </c>
      <c r="R907" s="10" t="s">
        <v>272</v>
      </c>
      <c r="S907" s="81" t="s">
        <v>29</v>
      </c>
      <c r="T907" s="10" t="s">
        <v>33</v>
      </c>
      <c r="U907" s="10"/>
    </row>
    <row r="908" spans="1:21" ht="22.8" x14ac:dyDescent="0.3">
      <c r="A908" s="7" t="s">
        <v>267</v>
      </c>
      <c r="B908" s="7" t="s">
        <v>76</v>
      </c>
      <c r="C908" s="36">
        <v>46874204</v>
      </c>
      <c r="D908" s="8">
        <v>2023</v>
      </c>
      <c r="E908" s="7" t="s">
        <v>11</v>
      </c>
      <c r="F908" s="41">
        <f t="shared" si="85"/>
        <v>1.7962971701876794E-2</v>
      </c>
      <c r="G908" s="11">
        <v>9</v>
      </c>
      <c r="H908" s="36">
        <f t="shared" si="86"/>
        <v>732199.04166674532</v>
      </c>
      <c r="I908" s="36">
        <v>8420</v>
      </c>
      <c r="J908" s="9">
        <v>0.13300000000000001</v>
      </c>
      <c r="K908" s="9">
        <v>8</v>
      </c>
      <c r="L908" s="40">
        <f t="shared" si="87"/>
        <v>8958.880000000001</v>
      </c>
      <c r="M908" s="8">
        <v>9800</v>
      </c>
      <c r="N908" s="9">
        <v>73.8</v>
      </c>
      <c r="O908" s="9">
        <f t="shared" si="88"/>
        <v>723240</v>
      </c>
      <c r="P908" s="75">
        <f t="shared" si="84"/>
        <v>1562.0511479336169</v>
      </c>
      <c r="Q908" s="78">
        <f t="shared" si="89"/>
        <v>99.999983552569489</v>
      </c>
      <c r="R908" s="7" t="s">
        <v>273</v>
      </c>
      <c r="S908" s="80" t="s">
        <v>19</v>
      </c>
      <c r="T908" s="7" t="s">
        <v>78</v>
      </c>
      <c r="U908" s="7"/>
    </row>
    <row r="909" spans="1:21" ht="22.8" x14ac:dyDescent="0.3">
      <c r="A909" s="10" t="s">
        <v>267</v>
      </c>
      <c r="B909" s="10" t="s">
        <v>76</v>
      </c>
      <c r="C909" s="37">
        <v>46874204</v>
      </c>
      <c r="D909" s="11">
        <v>2023</v>
      </c>
      <c r="E909" s="10" t="s">
        <v>17</v>
      </c>
      <c r="F909" s="41">
        <f t="shared" si="85"/>
        <v>1.0240173891806249E-3</v>
      </c>
      <c r="G909" s="8">
        <v>7</v>
      </c>
      <c r="H909" s="36">
        <f t="shared" si="86"/>
        <v>6582.2471681217239</v>
      </c>
      <c r="I909" s="37">
        <v>480</v>
      </c>
      <c r="J909" s="12">
        <v>0.13300000000000001</v>
      </c>
      <c r="K909" s="12">
        <v>6</v>
      </c>
      <c r="L909" s="40">
        <f t="shared" si="87"/>
        <v>383.04</v>
      </c>
      <c r="M909" s="11">
        <v>84</v>
      </c>
      <c r="N909" s="12">
        <v>73.8</v>
      </c>
      <c r="O909" s="9">
        <f t="shared" si="88"/>
        <v>6199.2</v>
      </c>
      <c r="P909" s="75">
        <f t="shared" si="84"/>
        <v>14.042365750086601</v>
      </c>
      <c r="Q909" s="78">
        <f t="shared" si="89"/>
        <v>13.100999673090097</v>
      </c>
      <c r="R909" s="10" t="s">
        <v>269</v>
      </c>
      <c r="S909" s="81" t="s">
        <v>19</v>
      </c>
      <c r="T909" s="10" t="s">
        <v>99</v>
      </c>
      <c r="U909" s="10"/>
    </row>
    <row r="910" spans="1:21" ht="22.8" x14ac:dyDescent="0.3">
      <c r="A910" s="7" t="s">
        <v>267</v>
      </c>
      <c r="B910" s="7" t="s">
        <v>76</v>
      </c>
      <c r="C910" s="36">
        <v>46874204</v>
      </c>
      <c r="D910" s="8">
        <v>2023</v>
      </c>
      <c r="E910" s="7" t="s">
        <v>20</v>
      </c>
      <c r="F910" s="41">
        <f t="shared" si="85"/>
        <v>1.3653565189074997E-3</v>
      </c>
      <c r="G910" s="11">
        <v>7</v>
      </c>
      <c r="H910" s="36">
        <f t="shared" si="86"/>
        <v>62502.729557495637</v>
      </c>
      <c r="I910" s="36">
        <v>640</v>
      </c>
      <c r="J910" s="9">
        <v>0.13300000000000001</v>
      </c>
      <c r="K910" s="9">
        <v>6</v>
      </c>
      <c r="L910" s="40">
        <f t="shared" si="87"/>
        <v>510.72</v>
      </c>
      <c r="M910" s="8">
        <v>840</v>
      </c>
      <c r="N910" s="9">
        <v>73.8</v>
      </c>
      <c r="O910" s="9">
        <f t="shared" si="88"/>
        <v>61992</v>
      </c>
      <c r="P910" s="75">
        <f t="shared" si="84"/>
        <v>133.34142070443616</v>
      </c>
      <c r="Q910" s="78">
        <f t="shared" si="89"/>
        <v>73.642417910103617</v>
      </c>
      <c r="R910" s="7" t="s">
        <v>270</v>
      </c>
      <c r="S910" s="80" t="s">
        <v>19</v>
      </c>
      <c r="T910" s="7"/>
      <c r="U910" s="7"/>
    </row>
    <row r="911" spans="1:21" x14ac:dyDescent="0.3">
      <c r="A911" s="10" t="s">
        <v>267</v>
      </c>
      <c r="B911" s="10" t="s">
        <v>76</v>
      </c>
      <c r="C911" s="37">
        <v>46874204</v>
      </c>
      <c r="D911" s="11">
        <v>2023</v>
      </c>
      <c r="E911" s="10" t="s">
        <v>23</v>
      </c>
      <c r="F911" s="41">
        <f t="shared" si="85"/>
        <v>1.7920304310660933E-4</v>
      </c>
      <c r="G911" s="8">
        <v>8</v>
      </c>
      <c r="H911" s="36">
        <f t="shared" si="86"/>
        <v>3620.6054336243446</v>
      </c>
      <c r="I911" s="37">
        <v>84</v>
      </c>
      <c r="J911" s="12">
        <v>0.13300000000000001</v>
      </c>
      <c r="K911" s="12">
        <v>7</v>
      </c>
      <c r="L911" s="40">
        <f t="shared" si="87"/>
        <v>78.204000000000008</v>
      </c>
      <c r="M911" s="11">
        <v>48</v>
      </c>
      <c r="N911" s="12">
        <v>73.8</v>
      </c>
      <c r="O911" s="9">
        <f t="shared" si="88"/>
        <v>3542.3999999999996</v>
      </c>
      <c r="P911" s="75">
        <f t="shared" si="84"/>
        <v>7.7240894237358031</v>
      </c>
      <c r="Q911" s="78">
        <f t="shared" si="89"/>
        <v>7.433316106111409</v>
      </c>
      <c r="R911" s="10" t="s">
        <v>112</v>
      </c>
      <c r="S911" s="81" t="s">
        <v>25</v>
      </c>
      <c r="T911" s="10" t="s">
        <v>15</v>
      </c>
      <c r="U911" s="10"/>
    </row>
    <row r="912" spans="1:21" x14ac:dyDescent="0.3">
      <c r="A912" s="7" t="s">
        <v>267</v>
      </c>
      <c r="B912" s="7" t="s">
        <v>76</v>
      </c>
      <c r="C912" s="36">
        <v>46874204</v>
      </c>
      <c r="D912" s="8">
        <v>2023</v>
      </c>
      <c r="E912" s="7" t="s">
        <v>26</v>
      </c>
      <c r="F912" s="41">
        <f t="shared" si="85"/>
        <v>17.49363039850234</v>
      </c>
      <c r="G912" s="11">
        <v>6</v>
      </c>
      <c r="H912" s="36">
        <f t="shared" si="86"/>
        <v>5248104.9617823912</v>
      </c>
      <c r="I912" s="36">
        <v>8200000</v>
      </c>
      <c r="J912" s="9">
        <v>0.128</v>
      </c>
      <c r="K912" s="9">
        <v>5</v>
      </c>
      <c r="L912" s="40">
        <f t="shared" si="87"/>
        <v>5248000</v>
      </c>
      <c r="M912" s="8">
        <v>0</v>
      </c>
      <c r="N912" s="9">
        <v>73.8</v>
      </c>
      <c r="O912" s="9">
        <f t="shared" si="88"/>
        <v>0</v>
      </c>
      <c r="P912" s="75">
        <f t="shared" si="84"/>
        <v>11196.147377313098</v>
      </c>
      <c r="Q912" s="78">
        <f t="shared" si="89"/>
        <v>100</v>
      </c>
      <c r="R912" s="7" t="s">
        <v>274</v>
      </c>
      <c r="S912" s="80" t="s">
        <v>28</v>
      </c>
      <c r="T912" s="7" t="s">
        <v>83</v>
      </c>
      <c r="U912" s="7"/>
    </row>
    <row r="913" spans="1:21" x14ac:dyDescent="0.3">
      <c r="A913" s="10" t="s">
        <v>267</v>
      </c>
      <c r="B913" s="10" t="s">
        <v>76</v>
      </c>
      <c r="C913" s="37">
        <v>46874204</v>
      </c>
      <c r="D913" s="11">
        <v>2023</v>
      </c>
      <c r="E913" s="10" t="s">
        <v>30</v>
      </c>
      <c r="F913" s="41">
        <f t="shared" si="85"/>
        <v>1.0240173891806248E-4</v>
      </c>
      <c r="G913" s="8">
        <v>6</v>
      </c>
      <c r="H913" s="36">
        <f t="shared" si="86"/>
        <v>13307.040614410435</v>
      </c>
      <c r="I913" s="37">
        <v>48</v>
      </c>
      <c r="J913" s="12">
        <v>0.12</v>
      </c>
      <c r="K913" s="12">
        <v>4</v>
      </c>
      <c r="L913" s="40">
        <f t="shared" si="87"/>
        <v>23.04</v>
      </c>
      <c r="M913" s="11">
        <v>180</v>
      </c>
      <c r="N913" s="12">
        <v>73.8</v>
      </c>
      <c r="O913" s="9">
        <f t="shared" si="88"/>
        <v>13284</v>
      </c>
      <c r="P913" s="75">
        <f t="shared" si="84"/>
        <v>28.388835391018983</v>
      </c>
      <c r="Q913" s="78">
        <f t="shared" si="89"/>
        <v>24.714930714964677</v>
      </c>
      <c r="R913" s="10" t="s">
        <v>272</v>
      </c>
      <c r="S913" s="81" t="s">
        <v>29</v>
      </c>
      <c r="T913" s="10" t="s">
        <v>33</v>
      </c>
      <c r="U913" s="10"/>
    </row>
    <row r="914" spans="1:21" ht="22.8" x14ac:dyDescent="0.3">
      <c r="A914" s="7" t="s">
        <v>267</v>
      </c>
      <c r="B914" s="7" t="s">
        <v>76</v>
      </c>
      <c r="C914" s="36">
        <v>48109006</v>
      </c>
      <c r="D914" s="8">
        <v>2024</v>
      </c>
      <c r="E914" s="7" t="s">
        <v>11</v>
      </c>
      <c r="F914" s="41">
        <f t="shared" si="85"/>
        <v>2.577479983685383E-2</v>
      </c>
      <c r="G914" s="11">
        <v>9</v>
      </c>
      <c r="H914" s="36">
        <f t="shared" si="86"/>
        <v>2079593.8319731986</v>
      </c>
      <c r="I914" s="36">
        <v>12400</v>
      </c>
      <c r="J914" s="9">
        <v>0.13300000000000001</v>
      </c>
      <c r="K914" s="9">
        <v>8</v>
      </c>
      <c r="L914" s="40">
        <f t="shared" si="87"/>
        <v>13193.6</v>
      </c>
      <c r="M914" s="8">
        <v>28000</v>
      </c>
      <c r="N914" s="9">
        <v>73.8</v>
      </c>
      <c r="O914" s="9">
        <f t="shared" si="88"/>
        <v>2066400</v>
      </c>
      <c r="P914" s="75">
        <f t="shared" si="84"/>
        <v>4322.6705452471797</v>
      </c>
      <c r="Q914" s="78">
        <f t="shared" si="89"/>
        <v>100</v>
      </c>
      <c r="R914" s="7" t="s">
        <v>275</v>
      </c>
      <c r="S914" s="80" t="s">
        <v>19</v>
      </c>
      <c r="T914" s="7" t="s">
        <v>78</v>
      </c>
      <c r="U914" s="7"/>
    </row>
    <row r="915" spans="1:21" ht="22.8" x14ac:dyDescent="0.3">
      <c r="A915" s="10" t="s">
        <v>267</v>
      </c>
      <c r="B915" s="10" t="s">
        <v>76</v>
      </c>
      <c r="C915" s="37">
        <v>48109006</v>
      </c>
      <c r="D915" s="11">
        <v>2024</v>
      </c>
      <c r="E915" s="10" t="s">
        <v>17</v>
      </c>
      <c r="F915" s="41">
        <f t="shared" si="85"/>
        <v>9.9773418723305145E-4</v>
      </c>
      <c r="G915" s="8">
        <v>7</v>
      </c>
      <c r="H915" s="36">
        <f t="shared" si="86"/>
        <v>6582.2469841393104</v>
      </c>
      <c r="I915" s="37">
        <v>480</v>
      </c>
      <c r="J915" s="12">
        <v>0.13300000000000001</v>
      </c>
      <c r="K915" s="12">
        <v>6</v>
      </c>
      <c r="L915" s="40">
        <f t="shared" si="87"/>
        <v>383.04</v>
      </c>
      <c r="M915" s="11">
        <v>84</v>
      </c>
      <c r="N915" s="12">
        <v>73.8</v>
      </c>
      <c r="O915" s="9">
        <f t="shared" si="88"/>
        <v>6199.2</v>
      </c>
      <c r="P915" s="75">
        <f t="shared" si="84"/>
        <v>13.681943426848832</v>
      </c>
      <c r="Q915" s="78">
        <f t="shared" si="89"/>
        <v>12.787231171044567</v>
      </c>
      <c r="R915" s="10" t="s">
        <v>269</v>
      </c>
      <c r="S915" s="81" t="s">
        <v>19</v>
      </c>
      <c r="T915" s="10" t="s">
        <v>99</v>
      </c>
      <c r="U915" s="10"/>
    </row>
    <row r="916" spans="1:21" ht="22.8" x14ac:dyDescent="0.3">
      <c r="A916" s="7" t="s">
        <v>267</v>
      </c>
      <c r="B916" s="7" t="s">
        <v>76</v>
      </c>
      <c r="C916" s="36">
        <v>48109006</v>
      </c>
      <c r="D916" s="8">
        <v>2024</v>
      </c>
      <c r="E916" s="7" t="s">
        <v>20</v>
      </c>
      <c r="F916" s="41">
        <f t="shared" si="85"/>
        <v>1.3303122496440688E-3</v>
      </c>
      <c r="G916" s="11">
        <v>7</v>
      </c>
      <c r="H916" s="36">
        <f t="shared" si="86"/>
        <v>62502.729312185751</v>
      </c>
      <c r="I916" s="36">
        <v>640</v>
      </c>
      <c r="J916" s="9">
        <v>0.13300000000000001</v>
      </c>
      <c r="K916" s="9">
        <v>6</v>
      </c>
      <c r="L916" s="40">
        <f t="shared" si="87"/>
        <v>510.72</v>
      </c>
      <c r="M916" s="8">
        <v>840</v>
      </c>
      <c r="N916" s="9">
        <v>73.8</v>
      </c>
      <c r="O916" s="9">
        <f t="shared" si="88"/>
        <v>61992</v>
      </c>
      <c r="P916" s="75">
        <f t="shared" si="84"/>
        <v>129.91897881279391</v>
      </c>
      <c r="Q916" s="78">
        <f t="shared" si="89"/>
        <v>72.724730899676246</v>
      </c>
      <c r="R916" s="7" t="s">
        <v>270</v>
      </c>
      <c r="S916" s="80" t="s">
        <v>19</v>
      </c>
      <c r="T916" s="7"/>
      <c r="U916" s="7"/>
    </row>
    <row r="917" spans="1:21" x14ac:dyDescent="0.3">
      <c r="A917" s="10" t="s">
        <v>267</v>
      </c>
      <c r="B917" s="10" t="s">
        <v>76</v>
      </c>
      <c r="C917" s="37">
        <v>48109006</v>
      </c>
      <c r="D917" s="11">
        <v>2024</v>
      </c>
      <c r="E917" s="10" t="s">
        <v>23</v>
      </c>
      <c r="F917" s="41">
        <f t="shared" si="85"/>
        <v>1.7460348276578401E-4</v>
      </c>
      <c r="G917" s="8">
        <v>8</v>
      </c>
      <c r="H917" s="36">
        <f t="shared" si="86"/>
        <v>3620.605396827862</v>
      </c>
      <c r="I917" s="37">
        <v>84</v>
      </c>
      <c r="J917" s="12">
        <v>0.13300000000000001</v>
      </c>
      <c r="K917" s="12">
        <v>7</v>
      </c>
      <c r="L917" s="40">
        <f t="shared" si="87"/>
        <v>78.204000000000008</v>
      </c>
      <c r="M917" s="11">
        <v>48</v>
      </c>
      <c r="N917" s="12">
        <v>73.8</v>
      </c>
      <c r="O917" s="9">
        <f t="shared" si="88"/>
        <v>3542.3999999999996</v>
      </c>
      <c r="P917" s="75">
        <f t="shared" si="84"/>
        <v>7.5258370476992651</v>
      </c>
      <c r="Q917" s="78">
        <f t="shared" si="89"/>
        <v>7.2496184235304462</v>
      </c>
      <c r="R917" s="10" t="s">
        <v>112</v>
      </c>
      <c r="S917" s="81" t="s">
        <v>25</v>
      </c>
      <c r="T917" s="10" t="s">
        <v>15</v>
      </c>
      <c r="U917" s="10"/>
    </row>
    <row r="918" spans="1:21" ht="22.8" x14ac:dyDescent="0.3">
      <c r="A918" s="7" t="s">
        <v>267</v>
      </c>
      <c r="B918" s="7" t="s">
        <v>76</v>
      </c>
      <c r="C918" s="36">
        <v>48109006</v>
      </c>
      <c r="D918" s="8">
        <v>2024</v>
      </c>
      <c r="E918" s="7" t="s">
        <v>26</v>
      </c>
      <c r="F918" s="41">
        <f t="shared" si="85"/>
        <v>23.696186946784973</v>
      </c>
      <c r="G918" s="11">
        <v>6</v>
      </c>
      <c r="H918" s="36">
        <f t="shared" si="86"/>
        <v>7296142.1771216812</v>
      </c>
      <c r="I918" s="36">
        <v>11400000</v>
      </c>
      <c r="J918" s="9">
        <v>0.128</v>
      </c>
      <c r="K918" s="9">
        <v>5</v>
      </c>
      <c r="L918" s="40">
        <f t="shared" si="87"/>
        <v>7296000</v>
      </c>
      <c r="M918" s="8">
        <v>0</v>
      </c>
      <c r="N918" s="9">
        <v>73.8</v>
      </c>
      <c r="O918" s="9">
        <f t="shared" si="88"/>
        <v>0</v>
      </c>
      <c r="P918" s="75">
        <f t="shared" si="84"/>
        <v>15165.855177140184</v>
      </c>
      <c r="Q918" s="78">
        <f t="shared" si="89"/>
        <v>100</v>
      </c>
      <c r="R918" s="7" t="s">
        <v>276</v>
      </c>
      <c r="S918" s="80" t="s">
        <v>28</v>
      </c>
      <c r="T918" s="7" t="s">
        <v>83</v>
      </c>
      <c r="U918" s="7"/>
    </row>
    <row r="919" spans="1:21" x14ac:dyDescent="0.3">
      <c r="A919" s="10" t="s">
        <v>267</v>
      </c>
      <c r="B919" s="10" t="s">
        <v>76</v>
      </c>
      <c r="C919" s="37">
        <v>48109006</v>
      </c>
      <c r="D919" s="11">
        <v>2024</v>
      </c>
      <c r="E919" s="10" t="s">
        <v>30</v>
      </c>
      <c r="F919" s="41">
        <f t="shared" si="85"/>
        <v>9.9773418723305156E-5</v>
      </c>
      <c r="G919" s="8">
        <v>6</v>
      </c>
      <c r="H919" s="36">
        <f t="shared" si="86"/>
        <v>13307.040598640513</v>
      </c>
      <c r="I919" s="37">
        <v>48</v>
      </c>
      <c r="J919" s="12">
        <v>0.12</v>
      </c>
      <c r="K919" s="12">
        <v>4</v>
      </c>
      <c r="L919" s="40">
        <f t="shared" si="87"/>
        <v>23.04</v>
      </c>
      <c r="M919" s="11">
        <v>180</v>
      </c>
      <c r="N919" s="12">
        <v>73.8</v>
      </c>
      <c r="O919" s="9">
        <f t="shared" si="88"/>
        <v>13284</v>
      </c>
      <c r="P919" s="75">
        <f t="shared" si="84"/>
        <v>27.660186117003775</v>
      </c>
      <c r="Q919" s="78">
        <f t="shared" si="89"/>
        <v>24.164363186966476</v>
      </c>
      <c r="R919" s="10" t="s">
        <v>272</v>
      </c>
      <c r="S919" s="81" t="s">
        <v>29</v>
      </c>
      <c r="T919" s="10" t="s">
        <v>33</v>
      </c>
      <c r="U919" s="10"/>
    </row>
    <row r="920" spans="1:21" x14ac:dyDescent="0.3">
      <c r="A920" s="7" t="s">
        <v>267</v>
      </c>
      <c r="B920" s="7" t="s">
        <v>76</v>
      </c>
      <c r="C920" s="36">
        <v>49000000</v>
      </c>
      <c r="D920" s="8">
        <v>2025</v>
      </c>
      <c r="E920" s="7" t="s">
        <v>11</v>
      </c>
      <c r="F920" s="41">
        <f t="shared" si="85"/>
        <v>2.2040816326530613E-2</v>
      </c>
      <c r="G920" s="11">
        <v>9</v>
      </c>
      <c r="H920" s="36">
        <f t="shared" si="86"/>
        <v>1635091.398367347</v>
      </c>
      <c r="I920" s="36">
        <v>10800</v>
      </c>
      <c r="J920" s="9">
        <v>0.13300000000000001</v>
      </c>
      <c r="K920" s="9">
        <v>8</v>
      </c>
      <c r="L920" s="40">
        <f t="shared" si="87"/>
        <v>11491.2</v>
      </c>
      <c r="M920" s="8">
        <v>22000</v>
      </c>
      <c r="N920" s="9">
        <v>73.8</v>
      </c>
      <c r="O920" s="9">
        <f t="shared" si="88"/>
        <v>1623600</v>
      </c>
      <c r="P920" s="75">
        <f t="shared" si="84"/>
        <v>3336.9212211578506</v>
      </c>
      <c r="Q920" s="78">
        <f t="shared" si="89"/>
        <v>99.999999999999673</v>
      </c>
      <c r="R920" s="7" t="s">
        <v>277</v>
      </c>
      <c r="S920" s="80" t="s">
        <v>19</v>
      </c>
      <c r="T920" s="7" t="s">
        <v>78</v>
      </c>
      <c r="U920" s="7"/>
    </row>
    <row r="921" spans="1:21" ht="22.8" x14ac:dyDescent="0.3">
      <c r="A921" s="10" t="s">
        <v>267</v>
      </c>
      <c r="B921" s="10" t="s">
        <v>76</v>
      </c>
      <c r="C921" s="37">
        <v>49000000</v>
      </c>
      <c r="D921" s="11">
        <v>2025</v>
      </c>
      <c r="E921" s="10" t="s">
        <v>17</v>
      </c>
      <c r="F921" s="41">
        <f t="shared" si="85"/>
        <v>9.7959183673469383E-4</v>
      </c>
      <c r="G921" s="8">
        <v>7</v>
      </c>
      <c r="H921" s="36">
        <f t="shared" si="86"/>
        <v>6582.2468571428572</v>
      </c>
      <c r="I921" s="37">
        <v>480</v>
      </c>
      <c r="J921" s="12">
        <v>0.13300000000000001</v>
      </c>
      <c r="K921" s="12">
        <v>6</v>
      </c>
      <c r="L921" s="40">
        <f t="shared" si="87"/>
        <v>383.04</v>
      </c>
      <c r="M921" s="11">
        <v>84</v>
      </c>
      <c r="N921" s="12">
        <v>73.8</v>
      </c>
      <c r="O921" s="9">
        <f t="shared" si="88"/>
        <v>6199.2</v>
      </c>
      <c r="P921" s="75">
        <f t="shared" si="84"/>
        <v>13.433156851311955</v>
      </c>
      <c r="Q921" s="78">
        <f t="shared" si="89"/>
        <v>12.569987385408776</v>
      </c>
      <c r="R921" s="10" t="s">
        <v>269</v>
      </c>
      <c r="S921" s="81" t="s">
        <v>19</v>
      </c>
      <c r="T921" s="10" t="s">
        <v>99</v>
      </c>
      <c r="U921" s="10"/>
    </row>
    <row r="922" spans="1:21" ht="22.8" x14ac:dyDescent="0.3">
      <c r="A922" s="7" t="s">
        <v>267</v>
      </c>
      <c r="B922" s="7" t="s">
        <v>76</v>
      </c>
      <c r="C922" s="36">
        <v>49000000</v>
      </c>
      <c r="D922" s="8">
        <v>2025</v>
      </c>
      <c r="E922" s="7" t="s">
        <v>20</v>
      </c>
      <c r="F922" s="41">
        <f t="shared" si="85"/>
        <v>1.3061224489795918E-3</v>
      </c>
      <c r="G922" s="11">
        <v>7</v>
      </c>
      <c r="H922" s="36">
        <f t="shared" si="86"/>
        <v>62502.729142857141</v>
      </c>
      <c r="I922" s="36">
        <v>640</v>
      </c>
      <c r="J922" s="9">
        <v>0.13300000000000001</v>
      </c>
      <c r="K922" s="9">
        <v>6</v>
      </c>
      <c r="L922" s="40">
        <f t="shared" si="87"/>
        <v>510.72</v>
      </c>
      <c r="M922" s="8">
        <v>840</v>
      </c>
      <c r="N922" s="9">
        <v>73.8</v>
      </c>
      <c r="O922" s="9">
        <f t="shared" si="88"/>
        <v>61992</v>
      </c>
      <c r="P922" s="75">
        <f t="shared" si="84"/>
        <v>127.55659008746355</v>
      </c>
      <c r="Q922" s="78">
        <f t="shared" si="89"/>
        <v>72.072711727333072</v>
      </c>
      <c r="R922" s="7" t="s">
        <v>270</v>
      </c>
      <c r="S922" s="80" t="s">
        <v>19</v>
      </c>
      <c r="T922" s="7"/>
      <c r="U922" s="7"/>
    </row>
    <row r="923" spans="1:21" x14ac:dyDescent="0.3">
      <c r="A923" s="10" t="s">
        <v>267</v>
      </c>
      <c r="B923" s="10" t="s">
        <v>76</v>
      </c>
      <c r="C923" s="37">
        <v>49000000</v>
      </c>
      <c r="D923" s="11">
        <v>2025</v>
      </c>
      <c r="E923" s="10" t="s">
        <v>23</v>
      </c>
      <c r="F923" s="41">
        <f t="shared" si="85"/>
        <v>1.7142857142857143E-4</v>
      </c>
      <c r="G923" s="8">
        <v>8</v>
      </c>
      <c r="H923" s="36">
        <f t="shared" si="86"/>
        <v>3620.6053714285713</v>
      </c>
      <c r="I923" s="37">
        <v>84</v>
      </c>
      <c r="J923" s="12">
        <v>0.13300000000000001</v>
      </c>
      <c r="K923" s="12">
        <v>7</v>
      </c>
      <c r="L923" s="40">
        <f t="shared" si="87"/>
        <v>78.204000000000008</v>
      </c>
      <c r="M923" s="11">
        <v>48</v>
      </c>
      <c r="N923" s="12">
        <v>73.8</v>
      </c>
      <c r="O923" s="9">
        <f t="shared" si="88"/>
        <v>3542.3999999999996</v>
      </c>
      <c r="P923" s="75">
        <f t="shared" si="84"/>
        <v>7.3889905539358596</v>
      </c>
      <c r="Q923" s="78">
        <f t="shared" si="89"/>
        <v>7.1226058921142421</v>
      </c>
      <c r="R923" s="10" t="s">
        <v>112</v>
      </c>
      <c r="S923" s="81" t="s">
        <v>25</v>
      </c>
      <c r="T923" s="10" t="s">
        <v>15</v>
      </c>
      <c r="U923" s="10"/>
    </row>
    <row r="924" spans="1:21" x14ac:dyDescent="0.3">
      <c r="A924" s="7" t="s">
        <v>267</v>
      </c>
      <c r="B924" s="7" t="s">
        <v>76</v>
      </c>
      <c r="C924" s="36">
        <v>49000000</v>
      </c>
      <c r="D924" s="8">
        <v>2025</v>
      </c>
      <c r="E924" s="7" t="s">
        <v>26</v>
      </c>
      <c r="F924" s="41">
        <f t="shared" si="85"/>
        <v>22.040816326530614</v>
      </c>
      <c r="G924" s="11">
        <v>6</v>
      </c>
      <c r="H924" s="36">
        <f t="shared" si="86"/>
        <v>6912132.2448979588</v>
      </c>
      <c r="I924" s="36">
        <v>10800000</v>
      </c>
      <c r="J924" s="9">
        <v>0.128</v>
      </c>
      <c r="K924" s="9">
        <v>5</v>
      </c>
      <c r="L924" s="40">
        <f t="shared" si="87"/>
        <v>6912000</v>
      </c>
      <c r="M924" s="8">
        <v>0</v>
      </c>
      <c r="N924" s="9">
        <v>73.8</v>
      </c>
      <c r="O924" s="9">
        <f t="shared" si="88"/>
        <v>0</v>
      </c>
      <c r="P924" s="75">
        <f t="shared" si="84"/>
        <v>14106.392336526447</v>
      </c>
      <c r="Q924" s="78">
        <f t="shared" si="89"/>
        <v>100</v>
      </c>
      <c r="R924" s="7" t="s">
        <v>278</v>
      </c>
      <c r="S924" s="80" t="s">
        <v>28</v>
      </c>
      <c r="T924" s="7" t="s">
        <v>83</v>
      </c>
      <c r="U924" s="7"/>
    </row>
    <row r="925" spans="1:21" x14ac:dyDescent="0.3">
      <c r="A925" s="10" t="s">
        <v>267</v>
      </c>
      <c r="B925" s="10" t="s">
        <v>76</v>
      </c>
      <c r="C925" s="37">
        <v>49000000</v>
      </c>
      <c r="D925" s="11">
        <v>2025</v>
      </c>
      <c r="E925" s="10" t="s">
        <v>30</v>
      </c>
      <c r="F925" s="41">
        <f t="shared" si="85"/>
        <v>9.7959183673469394E-5</v>
      </c>
      <c r="G925" s="8">
        <v>6</v>
      </c>
      <c r="H925" s="36">
        <f t="shared" si="86"/>
        <v>13307.040587755102</v>
      </c>
      <c r="I925" s="37">
        <v>48</v>
      </c>
      <c r="J925" s="12">
        <v>0.12</v>
      </c>
      <c r="K925" s="12">
        <v>4</v>
      </c>
      <c r="L925" s="40">
        <f t="shared" si="87"/>
        <v>23.04</v>
      </c>
      <c r="M925" s="11">
        <v>180</v>
      </c>
      <c r="N925" s="12">
        <v>73.8</v>
      </c>
      <c r="O925" s="9">
        <f t="shared" si="88"/>
        <v>13284</v>
      </c>
      <c r="P925" s="75">
        <f t="shared" ref="P925:P991" si="90">H925/C925*100000</f>
        <v>27.157225689296126</v>
      </c>
      <c r="Q925" s="78">
        <f t="shared" si="89"/>
        <v>23.781979129546016</v>
      </c>
      <c r="R925" s="10" t="s">
        <v>272</v>
      </c>
      <c r="S925" s="81" t="s">
        <v>29</v>
      </c>
      <c r="T925" s="10" t="s">
        <v>33</v>
      </c>
      <c r="U925" s="10"/>
    </row>
    <row r="926" spans="1:21" ht="22.8" x14ac:dyDescent="0.3">
      <c r="A926" s="7" t="s">
        <v>279</v>
      </c>
      <c r="B926" s="7" t="s">
        <v>76</v>
      </c>
      <c r="C926" s="36">
        <v>13797457</v>
      </c>
      <c r="D926" s="8">
        <v>2015</v>
      </c>
      <c r="E926" s="7" t="s">
        <v>11</v>
      </c>
      <c r="F926" s="41">
        <f t="shared" si="85"/>
        <v>3.4933973702545335E-2</v>
      </c>
      <c r="G926" s="11">
        <v>9</v>
      </c>
      <c r="H926" s="36">
        <f t="shared" si="86"/>
        <v>391840.79440576333</v>
      </c>
      <c r="I926" s="36">
        <v>4820</v>
      </c>
      <c r="J926" s="9">
        <v>0.13300000000000001</v>
      </c>
      <c r="K926" s="9">
        <v>8</v>
      </c>
      <c r="L926" s="40">
        <f t="shared" si="87"/>
        <v>5128.4800000000005</v>
      </c>
      <c r="M926" s="8">
        <v>5240</v>
      </c>
      <c r="N926" s="9">
        <v>73.8</v>
      </c>
      <c r="O926" s="9">
        <f t="shared" si="88"/>
        <v>386712</v>
      </c>
      <c r="P926" s="75">
        <f t="shared" si="90"/>
        <v>2839.949379119379</v>
      </c>
      <c r="Q926" s="78">
        <f t="shared" si="89"/>
        <v>99.99999999995363</v>
      </c>
      <c r="R926" s="7" t="s">
        <v>280</v>
      </c>
      <c r="S926" s="80" t="s">
        <v>19</v>
      </c>
      <c r="T926" s="7" t="s">
        <v>78</v>
      </c>
      <c r="U926" s="7"/>
    </row>
    <row r="927" spans="1:21" ht="22.8" x14ac:dyDescent="0.3">
      <c r="A927" s="10" t="s">
        <v>279</v>
      </c>
      <c r="B927" s="10" t="s">
        <v>76</v>
      </c>
      <c r="C927" s="37">
        <v>13797457</v>
      </c>
      <c r="D927" s="11">
        <v>2015</v>
      </c>
      <c r="E927" s="10" t="s">
        <v>17</v>
      </c>
      <c r="F927" s="41">
        <f t="shared" si="85"/>
        <v>1.3045882295556349E-3</v>
      </c>
      <c r="G927" s="8">
        <v>7</v>
      </c>
      <c r="H927" s="36">
        <f t="shared" si="86"/>
        <v>3686.0491321176064</v>
      </c>
      <c r="I927" s="37">
        <v>180</v>
      </c>
      <c r="J927" s="12">
        <v>0.13300000000000001</v>
      </c>
      <c r="K927" s="12">
        <v>6</v>
      </c>
      <c r="L927" s="40">
        <f t="shared" si="87"/>
        <v>143.64000000000001</v>
      </c>
      <c r="M927" s="11">
        <v>48</v>
      </c>
      <c r="N927" s="12">
        <v>73.8</v>
      </c>
      <c r="O927" s="9">
        <f t="shared" si="88"/>
        <v>3542.3999999999996</v>
      </c>
      <c r="P927" s="75">
        <f t="shared" si="90"/>
        <v>26.71542395180218</v>
      </c>
      <c r="Q927" s="78">
        <f t="shared" si="89"/>
        <v>23.444501647298367</v>
      </c>
      <c r="R927" s="10" t="s">
        <v>281</v>
      </c>
      <c r="S927" s="81" t="s">
        <v>19</v>
      </c>
      <c r="T927" s="10" t="s">
        <v>99</v>
      </c>
      <c r="U927" s="10"/>
    </row>
    <row r="928" spans="1:21" ht="22.8" x14ac:dyDescent="0.3">
      <c r="A928" s="7" t="s">
        <v>279</v>
      </c>
      <c r="B928" s="7" t="s">
        <v>76</v>
      </c>
      <c r="C928" s="36">
        <v>13797457</v>
      </c>
      <c r="D928" s="8">
        <v>2015</v>
      </c>
      <c r="E928" s="7" t="s">
        <v>20</v>
      </c>
      <c r="F928" s="41">
        <f t="shared" si="85"/>
        <v>6.0880784045929627E-3</v>
      </c>
      <c r="G928" s="11">
        <v>7</v>
      </c>
      <c r="H928" s="36">
        <f t="shared" si="86"/>
        <v>92182.362616548839</v>
      </c>
      <c r="I928" s="36">
        <v>840</v>
      </c>
      <c r="J928" s="9">
        <v>0.13300000000000001</v>
      </c>
      <c r="K928" s="9">
        <v>6</v>
      </c>
      <c r="L928" s="40">
        <f t="shared" si="87"/>
        <v>670.31999999999994</v>
      </c>
      <c r="M928" s="8">
        <v>1240</v>
      </c>
      <c r="N928" s="9">
        <v>73.8</v>
      </c>
      <c r="O928" s="9">
        <f t="shared" si="88"/>
        <v>91512</v>
      </c>
      <c r="P928" s="75">
        <f t="shared" si="90"/>
        <v>668.11125134543875</v>
      </c>
      <c r="Q928" s="78">
        <f t="shared" si="89"/>
        <v>99.874561832048641</v>
      </c>
      <c r="R928" s="7" t="s">
        <v>282</v>
      </c>
      <c r="S928" s="80" t="s">
        <v>19</v>
      </c>
      <c r="T928" s="7"/>
      <c r="U928" s="7"/>
    </row>
    <row r="929" spans="1:21" ht="22.8" x14ac:dyDescent="0.3">
      <c r="A929" s="10" t="s">
        <v>279</v>
      </c>
      <c r="B929" s="10" t="s">
        <v>76</v>
      </c>
      <c r="C929" s="37">
        <v>13797457</v>
      </c>
      <c r="D929" s="11">
        <v>2015</v>
      </c>
      <c r="E929" s="10" t="s">
        <v>23</v>
      </c>
      <c r="F929" s="41">
        <f t="shared" si="85"/>
        <v>8.9871633591610389E-3</v>
      </c>
      <c r="G929" s="8">
        <v>8</v>
      </c>
      <c r="H929" s="36">
        <f t="shared" si="86"/>
        <v>136946.51189730689</v>
      </c>
      <c r="I929" s="37">
        <v>1240</v>
      </c>
      <c r="J929" s="12">
        <v>0.13300000000000001</v>
      </c>
      <c r="K929" s="12">
        <v>7</v>
      </c>
      <c r="L929" s="40">
        <f t="shared" si="87"/>
        <v>1154.44</v>
      </c>
      <c r="M929" s="11">
        <v>1840</v>
      </c>
      <c r="N929" s="12">
        <v>73.8</v>
      </c>
      <c r="O929" s="9">
        <f t="shared" si="88"/>
        <v>135792</v>
      </c>
      <c r="P929" s="75">
        <f t="shared" si="90"/>
        <v>992.54893055515151</v>
      </c>
      <c r="Q929" s="78">
        <f t="shared" si="89"/>
        <v>99.995108807399092</v>
      </c>
      <c r="R929" s="10" t="s">
        <v>283</v>
      </c>
      <c r="S929" s="81" t="s">
        <v>25</v>
      </c>
      <c r="T929" s="10" t="s">
        <v>15</v>
      </c>
      <c r="U929" s="10"/>
    </row>
    <row r="930" spans="1:21" x14ac:dyDescent="0.3">
      <c r="A930" s="7" t="s">
        <v>279</v>
      </c>
      <c r="B930" s="7" t="s">
        <v>76</v>
      </c>
      <c r="C930" s="36">
        <v>13797457</v>
      </c>
      <c r="D930" s="8">
        <v>2015</v>
      </c>
      <c r="E930" s="7" t="s">
        <v>26</v>
      </c>
      <c r="F930" s="41">
        <f t="shared" si="85"/>
        <v>20.29359468197654</v>
      </c>
      <c r="G930" s="11">
        <v>6</v>
      </c>
      <c r="H930" s="36">
        <f t="shared" si="86"/>
        <v>1792121.7615680918</v>
      </c>
      <c r="I930" s="36">
        <v>2800000</v>
      </c>
      <c r="J930" s="9">
        <v>0.128</v>
      </c>
      <c r="K930" s="9">
        <v>5</v>
      </c>
      <c r="L930" s="40">
        <f t="shared" si="87"/>
        <v>1792000</v>
      </c>
      <c r="M930" s="8">
        <v>0</v>
      </c>
      <c r="N930" s="9">
        <v>73.8</v>
      </c>
      <c r="O930" s="9">
        <f t="shared" si="88"/>
        <v>0</v>
      </c>
      <c r="P930" s="75">
        <f t="shared" si="90"/>
        <v>12988.783089290235</v>
      </c>
      <c r="Q930" s="78">
        <f t="shared" si="89"/>
        <v>100</v>
      </c>
      <c r="R930" s="7" t="s">
        <v>284</v>
      </c>
      <c r="S930" s="80" t="s">
        <v>28</v>
      </c>
      <c r="T930" s="7" t="s">
        <v>83</v>
      </c>
      <c r="U930" s="7"/>
    </row>
    <row r="931" spans="1:21" ht="22.8" x14ac:dyDescent="0.3">
      <c r="A931" s="10" t="s">
        <v>279</v>
      </c>
      <c r="B931" s="10" t="s">
        <v>76</v>
      </c>
      <c r="C931" s="37">
        <v>13797457</v>
      </c>
      <c r="D931" s="11">
        <v>2015</v>
      </c>
      <c r="E931" s="10" t="s">
        <v>30</v>
      </c>
      <c r="F931" s="41">
        <f t="shared" si="85"/>
        <v>4.49358167958052E-4</v>
      </c>
      <c r="G931" s="8">
        <v>6</v>
      </c>
      <c r="H931" s="36">
        <f t="shared" si="86"/>
        <v>91541.762696149002</v>
      </c>
      <c r="I931" s="37">
        <v>62</v>
      </c>
      <c r="J931" s="12">
        <v>0.12</v>
      </c>
      <c r="K931" s="12">
        <v>4</v>
      </c>
      <c r="L931" s="40">
        <f t="shared" si="87"/>
        <v>29.759999999999998</v>
      </c>
      <c r="M931" s="11">
        <v>1240</v>
      </c>
      <c r="N931" s="12">
        <v>73.8</v>
      </c>
      <c r="O931" s="9">
        <f t="shared" si="88"/>
        <v>91512</v>
      </c>
      <c r="P931" s="75">
        <f t="shared" si="90"/>
        <v>663.46836736761713</v>
      </c>
      <c r="Q931" s="78">
        <f t="shared" si="89"/>
        <v>99.868600566957781</v>
      </c>
      <c r="R931" s="10" t="s">
        <v>285</v>
      </c>
      <c r="S931" s="81" t="s">
        <v>29</v>
      </c>
      <c r="T931" s="10" t="s">
        <v>33</v>
      </c>
      <c r="U931" s="10"/>
    </row>
    <row r="932" spans="1:21" ht="22.8" x14ac:dyDescent="0.3">
      <c r="A932" s="7" t="s">
        <v>279</v>
      </c>
      <c r="B932" s="7" t="s">
        <v>76</v>
      </c>
      <c r="C932" s="36">
        <v>14317996</v>
      </c>
      <c r="D932" s="8">
        <v>2016</v>
      </c>
      <c r="E932" s="7" t="s">
        <v>11</v>
      </c>
      <c r="F932" s="41">
        <f t="shared" si="85"/>
        <v>3.3663928946481056E-2</v>
      </c>
      <c r="G932" s="11">
        <v>9</v>
      </c>
      <c r="H932" s="36">
        <f t="shared" si="86"/>
        <v>391840.78297536052</v>
      </c>
      <c r="I932" s="36">
        <v>4820</v>
      </c>
      <c r="J932" s="9">
        <v>0.13300000000000001</v>
      </c>
      <c r="K932" s="9">
        <v>8</v>
      </c>
      <c r="L932" s="40">
        <f t="shared" si="87"/>
        <v>5128.4800000000005</v>
      </c>
      <c r="M932" s="8">
        <v>5240</v>
      </c>
      <c r="N932" s="9">
        <v>73.8</v>
      </c>
      <c r="O932" s="9">
        <f t="shared" si="88"/>
        <v>386712</v>
      </c>
      <c r="P932" s="75">
        <f t="shared" si="90"/>
        <v>2736.7013021610042</v>
      </c>
      <c r="Q932" s="78">
        <f t="shared" si="89"/>
        <v>99.999999999869786</v>
      </c>
      <c r="R932" s="7" t="s">
        <v>280</v>
      </c>
      <c r="S932" s="80" t="s">
        <v>19</v>
      </c>
      <c r="T932" s="7" t="s">
        <v>78</v>
      </c>
      <c r="U932" s="7"/>
    </row>
    <row r="933" spans="1:21" ht="22.8" x14ac:dyDescent="0.3">
      <c r="A933" s="10" t="s">
        <v>279</v>
      </c>
      <c r="B933" s="10" t="s">
        <v>76</v>
      </c>
      <c r="C933" s="37">
        <v>14317996</v>
      </c>
      <c r="D933" s="11">
        <v>2016</v>
      </c>
      <c r="E933" s="10" t="s">
        <v>17</v>
      </c>
      <c r="F933" s="41">
        <f t="shared" si="85"/>
        <v>1.2571591722752263E-3</v>
      </c>
      <c r="G933" s="8">
        <v>7</v>
      </c>
      <c r="H933" s="36">
        <f t="shared" si="86"/>
        <v>3686.0488001142053</v>
      </c>
      <c r="I933" s="37">
        <v>180</v>
      </c>
      <c r="J933" s="12">
        <v>0.13300000000000001</v>
      </c>
      <c r="K933" s="12">
        <v>6</v>
      </c>
      <c r="L933" s="40">
        <f t="shared" si="87"/>
        <v>143.64000000000001</v>
      </c>
      <c r="M933" s="11">
        <v>48</v>
      </c>
      <c r="N933" s="12">
        <v>73.8</v>
      </c>
      <c r="O933" s="9">
        <f t="shared" si="88"/>
        <v>3542.3999999999996</v>
      </c>
      <c r="P933" s="75">
        <f t="shared" si="90"/>
        <v>25.744166991764807</v>
      </c>
      <c r="Q933" s="78">
        <f t="shared" si="89"/>
        <v>22.697328428957597</v>
      </c>
      <c r="R933" s="10" t="s">
        <v>281</v>
      </c>
      <c r="S933" s="81" t="s">
        <v>19</v>
      </c>
      <c r="T933" s="10" t="s">
        <v>99</v>
      </c>
      <c r="U933" s="10"/>
    </row>
    <row r="934" spans="1:21" ht="22.8" x14ac:dyDescent="0.3">
      <c r="A934" s="7" t="s">
        <v>279</v>
      </c>
      <c r="B934" s="7" t="s">
        <v>76</v>
      </c>
      <c r="C934" s="36">
        <v>14317996</v>
      </c>
      <c r="D934" s="8">
        <v>2016</v>
      </c>
      <c r="E934" s="7" t="s">
        <v>20</v>
      </c>
      <c r="F934" s="41">
        <f t="shared" si="85"/>
        <v>5.8667428039510553E-3</v>
      </c>
      <c r="G934" s="11">
        <v>7</v>
      </c>
      <c r="H934" s="36">
        <f t="shared" si="86"/>
        <v>92182.361067199628</v>
      </c>
      <c r="I934" s="36">
        <v>840</v>
      </c>
      <c r="J934" s="9">
        <v>0.13300000000000001</v>
      </c>
      <c r="K934" s="9">
        <v>6</v>
      </c>
      <c r="L934" s="40">
        <f t="shared" si="87"/>
        <v>670.31999999999994</v>
      </c>
      <c r="M934" s="8">
        <v>1240</v>
      </c>
      <c r="N934" s="9">
        <v>73.8</v>
      </c>
      <c r="O934" s="9">
        <f t="shared" si="88"/>
        <v>91512</v>
      </c>
      <c r="P934" s="75">
        <f t="shared" si="90"/>
        <v>643.82167076453743</v>
      </c>
      <c r="Q934" s="78">
        <f t="shared" si="89"/>
        <v>99.8400743919658</v>
      </c>
      <c r="R934" s="7" t="s">
        <v>282</v>
      </c>
      <c r="S934" s="80" t="s">
        <v>19</v>
      </c>
      <c r="T934" s="7"/>
      <c r="U934" s="7"/>
    </row>
    <row r="935" spans="1:21" ht="22.8" x14ac:dyDescent="0.3">
      <c r="A935" s="10" t="s">
        <v>279</v>
      </c>
      <c r="B935" s="10" t="s">
        <v>76</v>
      </c>
      <c r="C935" s="37">
        <v>14317996</v>
      </c>
      <c r="D935" s="11">
        <v>2016</v>
      </c>
      <c r="E935" s="10" t="s">
        <v>23</v>
      </c>
      <c r="F935" s="41">
        <f t="shared" si="85"/>
        <v>8.6604298534515584E-3</v>
      </c>
      <c r="G935" s="8">
        <v>8</v>
      </c>
      <c r="H935" s="36">
        <f t="shared" si="86"/>
        <v>136946.50928343882</v>
      </c>
      <c r="I935" s="37">
        <v>1240</v>
      </c>
      <c r="J935" s="12">
        <v>0.13300000000000001</v>
      </c>
      <c r="K935" s="12">
        <v>7</v>
      </c>
      <c r="L935" s="40">
        <f t="shared" si="87"/>
        <v>1154.44</v>
      </c>
      <c r="M935" s="11">
        <v>1840</v>
      </c>
      <c r="N935" s="12">
        <v>73.8</v>
      </c>
      <c r="O935" s="9">
        <f t="shared" si="88"/>
        <v>135792</v>
      </c>
      <c r="P935" s="75">
        <f t="shared" si="90"/>
        <v>956.46422364860859</v>
      </c>
      <c r="Q935" s="78">
        <f t="shared" si="89"/>
        <v>99.992983368718129</v>
      </c>
      <c r="R935" s="10" t="s">
        <v>283</v>
      </c>
      <c r="S935" s="81" t="s">
        <v>25</v>
      </c>
      <c r="T935" s="10" t="s">
        <v>15</v>
      </c>
      <c r="U935" s="10"/>
    </row>
    <row r="936" spans="1:21" x14ac:dyDescent="0.3">
      <c r="A936" s="7" t="s">
        <v>279</v>
      </c>
      <c r="B936" s="7" t="s">
        <v>76</v>
      </c>
      <c r="C936" s="36">
        <v>14317996</v>
      </c>
      <c r="D936" s="8">
        <v>2016</v>
      </c>
      <c r="E936" s="7" t="s">
        <v>26</v>
      </c>
      <c r="F936" s="41">
        <f t="shared" si="85"/>
        <v>19.555809346503519</v>
      </c>
      <c r="G936" s="11">
        <v>6</v>
      </c>
      <c r="H936" s="36">
        <f t="shared" si="86"/>
        <v>1792117.334856079</v>
      </c>
      <c r="I936" s="36">
        <v>2800000</v>
      </c>
      <c r="J936" s="9">
        <v>0.128</v>
      </c>
      <c r="K936" s="9">
        <v>5</v>
      </c>
      <c r="L936" s="40">
        <f t="shared" si="87"/>
        <v>1792000</v>
      </c>
      <c r="M936" s="8">
        <v>0</v>
      </c>
      <c r="N936" s="9">
        <v>73.8</v>
      </c>
      <c r="O936" s="9">
        <f t="shared" si="88"/>
        <v>0</v>
      </c>
      <c r="P936" s="75">
        <f t="shared" si="90"/>
        <v>12516.53747393196</v>
      </c>
      <c r="Q936" s="78">
        <f t="shared" si="89"/>
        <v>100</v>
      </c>
      <c r="R936" s="7" t="s">
        <v>284</v>
      </c>
      <c r="S936" s="80" t="s">
        <v>28</v>
      </c>
      <c r="T936" s="7" t="s">
        <v>83</v>
      </c>
      <c r="U936" s="7"/>
    </row>
    <row r="937" spans="1:21" ht="22.8" x14ac:dyDescent="0.3">
      <c r="A937" s="10" t="s">
        <v>279</v>
      </c>
      <c r="B937" s="10" t="s">
        <v>76</v>
      </c>
      <c r="C937" s="37">
        <v>14317996</v>
      </c>
      <c r="D937" s="11">
        <v>2016</v>
      </c>
      <c r="E937" s="10" t="s">
        <v>30</v>
      </c>
      <c r="F937" s="41">
        <f t="shared" si="85"/>
        <v>4.3302149267257793E-4</v>
      </c>
      <c r="G937" s="8">
        <v>6</v>
      </c>
      <c r="H937" s="36">
        <f t="shared" si="86"/>
        <v>91541.762598128946</v>
      </c>
      <c r="I937" s="37">
        <v>62</v>
      </c>
      <c r="J937" s="12">
        <v>0.12</v>
      </c>
      <c r="K937" s="12">
        <v>4</v>
      </c>
      <c r="L937" s="40">
        <f t="shared" si="87"/>
        <v>29.759999999999998</v>
      </c>
      <c r="M937" s="11">
        <v>1240</v>
      </c>
      <c r="N937" s="12">
        <v>73.8</v>
      </c>
      <c r="O937" s="9">
        <f t="shared" si="88"/>
        <v>91512</v>
      </c>
      <c r="P937" s="75">
        <f t="shared" si="90"/>
        <v>639.34759164710579</v>
      </c>
      <c r="Q937" s="78">
        <f t="shared" si="89"/>
        <v>99.832756715037846</v>
      </c>
      <c r="R937" s="10" t="s">
        <v>285</v>
      </c>
      <c r="S937" s="81" t="s">
        <v>29</v>
      </c>
      <c r="T937" s="10" t="s">
        <v>33</v>
      </c>
      <c r="U937" s="10"/>
    </row>
    <row r="938" spans="1:21" ht="22.8" x14ac:dyDescent="0.3">
      <c r="A938" s="7" t="s">
        <v>279</v>
      </c>
      <c r="B938" s="7" t="s">
        <v>76</v>
      </c>
      <c r="C938" s="36">
        <v>14742523</v>
      </c>
      <c r="D938" s="8">
        <v>2017</v>
      </c>
      <c r="E938" s="7" t="s">
        <v>11</v>
      </c>
      <c r="F938" s="41">
        <f t="shared" si="85"/>
        <v>3.269453946247871E-2</v>
      </c>
      <c r="G938" s="11">
        <v>9</v>
      </c>
      <c r="H938" s="36">
        <f t="shared" si="86"/>
        <v>391840.77425085515</v>
      </c>
      <c r="I938" s="36">
        <v>4820</v>
      </c>
      <c r="J938" s="9">
        <v>0.13300000000000001</v>
      </c>
      <c r="K938" s="9">
        <v>8</v>
      </c>
      <c r="L938" s="40">
        <f t="shared" si="87"/>
        <v>5128.4800000000005</v>
      </c>
      <c r="M938" s="8">
        <v>5240</v>
      </c>
      <c r="N938" s="9">
        <v>73.8</v>
      </c>
      <c r="O938" s="9">
        <f t="shared" si="88"/>
        <v>386712</v>
      </c>
      <c r="P938" s="75">
        <f t="shared" si="90"/>
        <v>2657.8949495337747</v>
      </c>
      <c r="Q938" s="78">
        <f t="shared" si="89"/>
        <v>99.999999999713637</v>
      </c>
      <c r="R938" s="7" t="s">
        <v>280</v>
      </c>
      <c r="S938" s="80" t="s">
        <v>19</v>
      </c>
      <c r="T938" s="7" t="s">
        <v>78</v>
      </c>
      <c r="U938" s="7"/>
    </row>
    <row r="939" spans="1:21" ht="22.8" x14ac:dyDescent="0.3">
      <c r="A939" s="10" t="s">
        <v>279</v>
      </c>
      <c r="B939" s="10" t="s">
        <v>76</v>
      </c>
      <c r="C939" s="37">
        <v>14742523</v>
      </c>
      <c r="D939" s="11">
        <v>2017</v>
      </c>
      <c r="E939" s="10" t="s">
        <v>17</v>
      </c>
      <c r="F939" s="41">
        <f t="shared" si="85"/>
        <v>1.2209579052377942E-3</v>
      </c>
      <c r="G939" s="8">
        <v>7</v>
      </c>
      <c r="H939" s="36">
        <f t="shared" si="86"/>
        <v>3686.0485467053363</v>
      </c>
      <c r="I939" s="37">
        <v>180</v>
      </c>
      <c r="J939" s="12">
        <v>0.13300000000000001</v>
      </c>
      <c r="K939" s="12">
        <v>6</v>
      </c>
      <c r="L939" s="40">
        <f t="shared" si="87"/>
        <v>143.64000000000001</v>
      </c>
      <c r="M939" s="11">
        <v>48</v>
      </c>
      <c r="N939" s="12">
        <v>73.8</v>
      </c>
      <c r="O939" s="9">
        <f t="shared" si="88"/>
        <v>3542.3999999999996</v>
      </c>
      <c r="P939" s="75">
        <f t="shared" si="90"/>
        <v>25.002833956612015</v>
      </c>
      <c r="Q939" s="78">
        <f t="shared" si="89"/>
        <v>22.122128749214486</v>
      </c>
      <c r="R939" s="10" t="s">
        <v>281</v>
      </c>
      <c r="S939" s="81" t="s">
        <v>19</v>
      </c>
      <c r="T939" s="10" t="s">
        <v>99</v>
      </c>
      <c r="U939" s="10"/>
    </row>
    <row r="940" spans="1:21" ht="22.8" x14ac:dyDescent="0.3">
      <c r="A940" s="7" t="s">
        <v>279</v>
      </c>
      <c r="B940" s="7" t="s">
        <v>76</v>
      </c>
      <c r="C940" s="36">
        <v>14742523</v>
      </c>
      <c r="D940" s="8">
        <v>2017</v>
      </c>
      <c r="E940" s="7" t="s">
        <v>20</v>
      </c>
      <c r="F940" s="41">
        <f t="shared" si="85"/>
        <v>5.6978035577763724E-3</v>
      </c>
      <c r="G940" s="11">
        <v>7</v>
      </c>
      <c r="H940" s="36">
        <f t="shared" si="86"/>
        <v>92182.359884624908</v>
      </c>
      <c r="I940" s="36">
        <v>840</v>
      </c>
      <c r="J940" s="9">
        <v>0.13300000000000001</v>
      </c>
      <c r="K940" s="9">
        <v>6</v>
      </c>
      <c r="L940" s="40">
        <f t="shared" si="87"/>
        <v>670.31999999999994</v>
      </c>
      <c r="M940" s="8">
        <v>1240</v>
      </c>
      <c r="N940" s="9">
        <v>73.8</v>
      </c>
      <c r="O940" s="9">
        <f t="shared" si="88"/>
        <v>91512</v>
      </c>
      <c r="P940" s="75">
        <f t="shared" si="90"/>
        <v>625.28211680337824</v>
      </c>
      <c r="Q940" s="78">
        <f t="shared" si="89"/>
        <v>99.807498432425959</v>
      </c>
      <c r="R940" s="7" t="s">
        <v>282</v>
      </c>
      <c r="S940" s="80" t="s">
        <v>19</v>
      </c>
      <c r="T940" s="7"/>
      <c r="U940" s="7"/>
    </row>
    <row r="941" spans="1:21" ht="22.8" x14ac:dyDescent="0.3">
      <c r="A941" s="10" t="s">
        <v>279</v>
      </c>
      <c r="B941" s="10" t="s">
        <v>76</v>
      </c>
      <c r="C941" s="37">
        <v>14742523</v>
      </c>
      <c r="D941" s="11">
        <v>2017</v>
      </c>
      <c r="E941" s="10" t="s">
        <v>23</v>
      </c>
      <c r="F941" s="41">
        <f t="shared" si="85"/>
        <v>8.4110433471936922E-3</v>
      </c>
      <c r="G941" s="8">
        <v>8</v>
      </c>
      <c r="H941" s="36">
        <f t="shared" si="86"/>
        <v>136946.50728834677</v>
      </c>
      <c r="I941" s="37">
        <v>1240</v>
      </c>
      <c r="J941" s="12">
        <v>0.13300000000000001</v>
      </c>
      <c r="K941" s="12">
        <v>7</v>
      </c>
      <c r="L941" s="40">
        <f t="shared" si="87"/>
        <v>1154.44</v>
      </c>
      <c r="M941" s="11">
        <v>1840</v>
      </c>
      <c r="N941" s="12">
        <v>73.8</v>
      </c>
      <c r="O941" s="9">
        <f t="shared" si="88"/>
        <v>135792</v>
      </c>
      <c r="P941" s="75">
        <f t="shared" si="90"/>
        <v>928.92178149117876</v>
      </c>
      <c r="Q941" s="78">
        <f t="shared" si="89"/>
        <v>99.990758468209933</v>
      </c>
      <c r="R941" s="10" t="s">
        <v>283</v>
      </c>
      <c r="S941" s="81" t="s">
        <v>25</v>
      </c>
      <c r="T941" s="10" t="s">
        <v>15</v>
      </c>
      <c r="U941" s="10"/>
    </row>
    <row r="942" spans="1:21" x14ac:dyDescent="0.3">
      <c r="A942" s="7" t="s">
        <v>279</v>
      </c>
      <c r="B942" s="7" t="s">
        <v>76</v>
      </c>
      <c r="C942" s="36">
        <v>14742523</v>
      </c>
      <c r="D942" s="8">
        <v>2017</v>
      </c>
      <c r="E942" s="7" t="s">
        <v>26</v>
      </c>
      <c r="F942" s="41">
        <f t="shared" si="85"/>
        <v>18.992678525921242</v>
      </c>
      <c r="G942" s="11">
        <v>6</v>
      </c>
      <c r="H942" s="36">
        <f t="shared" si="86"/>
        <v>1792113.9560711556</v>
      </c>
      <c r="I942" s="36">
        <v>2800000</v>
      </c>
      <c r="J942" s="9">
        <v>0.128</v>
      </c>
      <c r="K942" s="9">
        <v>5</v>
      </c>
      <c r="L942" s="40">
        <f t="shared" si="87"/>
        <v>1792000</v>
      </c>
      <c r="M942" s="8">
        <v>0</v>
      </c>
      <c r="N942" s="9">
        <v>73.8</v>
      </c>
      <c r="O942" s="9">
        <f t="shared" si="88"/>
        <v>0</v>
      </c>
      <c r="P942" s="75">
        <f t="shared" si="90"/>
        <v>12156.087231955857</v>
      </c>
      <c r="Q942" s="78">
        <f t="shared" si="89"/>
        <v>100</v>
      </c>
      <c r="R942" s="7" t="s">
        <v>284</v>
      </c>
      <c r="S942" s="80" t="s">
        <v>28</v>
      </c>
      <c r="T942" s="7" t="s">
        <v>83</v>
      </c>
      <c r="U942" s="7"/>
    </row>
    <row r="943" spans="1:21" ht="22.8" x14ac:dyDescent="0.3">
      <c r="A943" s="10" t="s">
        <v>279</v>
      </c>
      <c r="B943" s="10" t="s">
        <v>76</v>
      </c>
      <c r="C943" s="37">
        <v>14742523</v>
      </c>
      <c r="D943" s="11">
        <v>2017</v>
      </c>
      <c r="E943" s="10" t="s">
        <v>30</v>
      </c>
      <c r="F943" s="41">
        <f t="shared" si="85"/>
        <v>4.2055216735968463E-4</v>
      </c>
      <c r="G943" s="8">
        <v>6</v>
      </c>
      <c r="H943" s="36">
        <f t="shared" si="86"/>
        <v>91541.762523312995</v>
      </c>
      <c r="I943" s="37">
        <v>62</v>
      </c>
      <c r="J943" s="12">
        <v>0.12</v>
      </c>
      <c r="K943" s="12">
        <v>4</v>
      </c>
      <c r="L943" s="40">
        <f t="shared" si="87"/>
        <v>29.759999999999998</v>
      </c>
      <c r="M943" s="11">
        <v>1240</v>
      </c>
      <c r="N943" s="12">
        <v>73.8</v>
      </c>
      <c r="O943" s="9">
        <f t="shared" si="88"/>
        <v>91512</v>
      </c>
      <c r="P943" s="75">
        <f t="shared" si="90"/>
        <v>620.93688117911017</v>
      </c>
      <c r="Q943" s="78">
        <f t="shared" si="89"/>
        <v>99.79894939286109</v>
      </c>
      <c r="R943" s="10" t="s">
        <v>285</v>
      </c>
      <c r="S943" s="81" t="s">
        <v>29</v>
      </c>
      <c r="T943" s="10" t="s">
        <v>33</v>
      </c>
      <c r="U943" s="10"/>
    </row>
    <row r="944" spans="1:21" ht="22.8" x14ac:dyDescent="0.3">
      <c r="A944" s="7" t="s">
        <v>279</v>
      </c>
      <c r="B944" s="7" t="s">
        <v>76</v>
      </c>
      <c r="C944" s="36">
        <v>15181925</v>
      </c>
      <c r="D944" s="8">
        <v>2018</v>
      </c>
      <c r="E944" s="7" t="s">
        <v>11</v>
      </c>
      <c r="F944" s="41">
        <f t="shared" si="85"/>
        <v>3.1748279615397917E-2</v>
      </c>
      <c r="G944" s="11">
        <v>9</v>
      </c>
      <c r="H944" s="36">
        <f t="shared" si="86"/>
        <v>391840.76573451649</v>
      </c>
      <c r="I944" s="36">
        <v>4820</v>
      </c>
      <c r="J944" s="9">
        <v>0.13300000000000001</v>
      </c>
      <c r="K944" s="9">
        <v>8</v>
      </c>
      <c r="L944" s="40">
        <f t="shared" si="87"/>
        <v>5128.4800000000005</v>
      </c>
      <c r="M944" s="8">
        <v>5240</v>
      </c>
      <c r="N944" s="9">
        <v>73.8</v>
      </c>
      <c r="O944" s="9">
        <f t="shared" si="88"/>
        <v>386712</v>
      </c>
      <c r="P944" s="75">
        <f t="shared" si="90"/>
        <v>2580.9689201765686</v>
      </c>
      <c r="Q944" s="78">
        <f t="shared" si="89"/>
        <v>99.999999999381998</v>
      </c>
      <c r="R944" s="7" t="s">
        <v>280</v>
      </c>
      <c r="S944" s="80" t="s">
        <v>19</v>
      </c>
      <c r="T944" s="7" t="s">
        <v>78</v>
      </c>
      <c r="U944" s="7"/>
    </row>
    <row r="945" spans="1:21" ht="22.8" x14ac:dyDescent="0.3">
      <c r="A945" s="10" t="s">
        <v>279</v>
      </c>
      <c r="B945" s="10" t="s">
        <v>76</v>
      </c>
      <c r="C945" s="37">
        <v>15181925</v>
      </c>
      <c r="D945" s="11">
        <v>2018</v>
      </c>
      <c r="E945" s="10" t="s">
        <v>17</v>
      </c>
      <c r="F945" s="41">
        <f t="shared" si="85"/>
        <v>1.1856204005750259E-3</v>
      </c>
      <c r="G945" s="8">
        <v>7</v>
      </c>
      <c r="H945" s="36">
        <f t="shared" si="86"/>
        <v>3686.0482993428036</v>
      </c>
      <c r="I945" s="37">
        <v>180</v>
      </c>
      <c r="J945" s="12">
        <v>0.13300000000000001</v>
      </c>
      <c r="K945" s="12">
        <v>6</v>
      </c>
      <c r="L945" s="40">
        <f t="shared" si="87"/>
        <v>143.64000000000001</v>
      </c>
      <c r="M945" s="11">
        <v>48</v>
      </c>
      <c r="N945" s="12">
        <v>73.8</v>
      </c>
      <c r="O945" s="9">
        <f t="shared" si="88"/>
        <v>3542.3999999999996</v>
      </c>
      <c r="P945" s="75">
        <f t="shared" si="90"/>
        <v>24.2791892289206</v>
      </c>
      <c r="Q945" s="78">
        <f t="shared" si="89"/>
        <v>21.556525629495681</v>
      </c>
      <c r="R945" s="10" t="s">
        <v>281</v>
      </c>
      <c r="S945" s="81" t="s">
        <v>19</v>
      </c>
      <c r="T945" s="10" t="s">
        <v>99</v>
      </c>
      <c r="U945" s="10"/>
    </row>
    <row r="946" spans="1:21" ht="22.8" x14ac:dyDescent="0.3">
      <c r="A946" s="7" t="s">
        <v>279</v>
      </c>
      <c r="B946" s="7" t="s">
        <v>76</v>
      </c>
      <c r="C946" s="36">
        <v>15181925</v>
      </c>
      <c r="D946" s="8">
        <v>2018</v>
      </c>
      <c r="E946" s="7" t="s">
        <v>20</v>
      </c>
      <c r="F946" s="41">
        <f t="shared" si="85"/>
        <v>5.5328952026834546E-3</v>
      </c>
      <c r="G946" s="11">
        <v>7</v>
      </c>
      <c r="H946" s="36">
        <f t="shared" si="86"/>
        <v>92182.358730266424</v>
      </c>
      <c r="I946" s="36">
        <v>840</v>
      </c>
      <c r="J946" s="9">
        <v>0.13300000000000001</v>
      </c>
      <c r="K946" s="9">
        <v>6</v>
      </c>
      <c r="L946" s="40">
        <f t="shared" si="87"/>
        <v>670.31999999999994</v>
      </c>
      <c r="M946" s="8">
        <v>1240</v>
      </c>
      <c r="N946" s="9">
        <v>73.8</v>
      </c>
      <c r="O946" s="9">
        <f t="shared" si="88"/>
        <v>91512</v>
      </c>
      <c r="P946" s="75">
        <f t="shared" si="90"/>
        <v>607.18491713182891</v>
      </c>
      <c r="Q946" s="78">
        <f t="shared" si="89"/>
        <v>99.769309659559227</v>
      </c>
      <c r="R946" s="7" t="s">
        <v>282</v>
      </c>
      <c r="S946" s="80" t="s">
        <v>19</v>
      </c>
      <c r="T946" s="7"/>
      <c r="U946" s="7"/>
    </row>
    <row r="947" spans="1:21" ht="22.8" x14ac:dyDescent="0.3">
      <c r="A947" s="10" t="s">
        <v>279</v>
      </c>
      <c r="B947" s="10" t="s">
        <v>76</v>
      </c>
      <c r="C947" s="37">
        <v>15181925</v>
      </c>
      <c r="D947" s="11">
        <v>2018</v>
      </c>
      <c r="E947" s="10" t="s">
        <v>23</v>
      </c>
      <c r="F947" s="41">
        <f t="shared" si="85"/>
        <v>8.1676072039612892E-3</v>
      </c>
      <c r="G947" s="8">
        <v>8</v>
      </c>
      <c r="H947" s="36">
        <f t="shared" si="86"/>
        <v>136946.50534085764</v>
      </c>
      <c r="I947" s="37">
        <v>1240</v>
      </c>
      <c r="J947" s="12">
        <v>0.13300000000000001</v>
      </c>
      <c r="K947" s="12">
        <v>7</v>
      </c>
      <c r="L947" s="40">
        <f t="shared" si="87"/>
        <v>1154.44</v>
      </c>
      <c r="M947" s="11">
        <v>1840</v>
      </c>
      <c r="N947" s="12">
        <v>73.8</v>
      </c>
      <c r="O947" s="9">
        <f t="shared" si="88"/>
        <v>135792</v>
      </c>
      <c r="P947" s="75">
        <f t="shared" si="90"/>
        <v>902.03650288654194</v>
      </c>
      <c r="Q947" s="78">
        <f t="shared" si="89"/>
        <v>99.987907802183088</v>
      </c>
      <c r="R947" s="10" t="s">
        <v>283</v>
      </c>
      <c r="S947" s="81" t="s">
        <v>25</v>
      </c>
      <c r="T947" s="10" t="s">
        <v>15</v>
      </c>
      <c r="U947" s="10"/>
    </row>
    <row r="948" spans="1:21" x14ac:dyDescent="0.3">
      <c r="A948" s="7" t="s">
        <v>279</v>
      </c>
      <c r="B948" s="7" t="s">
        <v>76</v>
      </c>
      <c r="C948" s="36">
        <v>15181925</v>
      </c>
      <c r="D948" s="8">
        <v>2018</v>
      </c>
      <c r="E948" s="7" t="s">
        <v>26</v>
      </c>
      <c r="F948" s="41">
        <f t="shared" si="85"/>
        <v>18.442984008944848</v>
      </c>
      <c r="G948" s="11">
        <v>6</v>
      </c>
      <c r="H948" s="36">
        <f t="shared" si="86"/>
        <v>1792110.6579040536</v>
      </c>
      <c r="I948" s="36">
        <v>2800000</v>
      </c>
      <c r="J948" s="9">
        <v>0.128</v>
      </c>
      <c r="K948" s="9">
        <v>5</v>
      </c>
      <c r="L948" s="40">
        <f t="shared" si="87"/>
        <v>1792000</v>
      </c>
      <c r="M948" s="8">
        <v>0</v>
      </c>
      <c r="N948" s="9">
        <v>73.8</v>
      </c>
      <c r="O948" s="9">
        <f t="shared" si="88"/>
        <v>0</v>
      </c>
      <c r="P948" s="75">
        <f t="shared" si="90"/>
        <v>11804.238644994319</v>
      </c>
      <c r="Q948" s="78">
        <f t="shared" si="89"/>
        <v>100</v>
      </c>
      <c r="R948" s="7" t="s">
        <v>284</v>
      </c>
      <c r="S948" s="80" t="s">
        <v>28</v>
      </c>
      <c r="T948" s="7" t="s">
        <v>83</v>
      </c>
      <c r="U948" s="7"/>
    </row>
    <row r="949" spans="1:21" ht="22.8" x14ac:dyDescent="0.3">
      <c r="A949" s="10" t="s">
        <v>279</v>
      </c>
      <c r="B949" s="10" t="s">
        <v>76</v>
      </c>
      <c r="C949" s="37">
        <v>15181925</v>
      </c>
      <c r="D949" s="11">
        <v>2018</v>
      </c>
      <c r="E949" s="10" t="s">
        <v>30</v>
      </c>
      <c r="F949" s="41">
        <f t="shared" si="85"/>
        <v>4.0838036019806448E-4</v>
      </c>
      <c r="G949" s="8">
        <v>6</v>
      </c>
      <c r="H949" s="36">
        <f t="shared" si="86"/>
        <v>91541.762450282156</v>
      </c>
      <c r="I949" s="37">
        <v>62</v>
      </c>
      <c r="J949" s="12">
        <v>0.12</v>
      </c>
      <c r="K949" s="12">
        <v>4</v>
      </c>
      <c r="L949" s="40">
        <f t="shared" si="87"/>
        <v>29.759999999999998</v>
      </c>
      <c r="M949" s="11">
        <v>1240</v>
      </c>
      <c r="N949" s="12">
        <v>73.8</v>
      </c>
      <c r="O949" s="9">
        <f t="shared" si="88"/>
        <v>91512</v>
      </c>
      <c r="P949" s="75">
        <f t="shared" si="90"/>
        <v>602.96545036470775</v>
      </c>
      <c r="Q949" s="78">
        <f t="shared" si="89"/>
        <v>99.75936747883982</v>
      </c>
      <c r="R949" s="10" t="s">
        <v>285</v>
      </c>
      <c r="S949" s="81" t="s">
        <v>29</v>
      </c>
      <c r="T949" s="10" t="s">
        <v>33</v>
      </c>
      <c r="U949" s="10"/>
    </row>
    <row r="950" spans="1:21" ht="22.8" x14ac:dyDescent="0.3">
      <c r="A950" s="7" t="s">
        <v>279</v>
      </c>
      <c r="B950" s="7" t="s">
        <v>76</v>
      </c>
      <c r="C950" s="36">
        <v>15636171</v>
      </c>
      <c r="D950" s="8">
        <v>2019</v>
      </c>
      <c r="E950" s="7" t="s">
        <v>11</v>
      </c>
      <c r="F950" s="41">
        <f t="shared" si="85"/>
        <v>3.0825961164021549E-2</v>
      </c>
      <c r="G950" s="11">
        <v>9</v>
      </c>
      <c r="H950" s="36">
        <f t="shared" si="86"/>
        <v>391840.75743365043</v>
      </c>
      <c r="I950" s="36">
        <v>4820</v>
      </c>
      <c r="J950" s="9">
        <v>0.13300000000000001</v>
      </c>
      <c r="K950" s="9">
        <v>8</v>
      </c>
      <c r="L950" s="40">
        <f t="shared" si="87"/>
        <v>5128.4800000000005</v>
      </c>
      <c r="M950" s="8">
        <v>5240</v>
      </c>
      <c r="N950" s="9">
        <v>73.8</v>
      </c>
      <c r="O950" s="9">
        <f t="shared" si="88"/>
        <v>386712</v>
      </c>
      <c r="P950" s="75">
        <f t="shared" si="90"/>
        <v>2505.9892056287335</v>
      </c>
      <c r="Q950" s="78">
        <f t="shared" si="89"/>
        <v>99.999999998691948</v>
      </c>
      <c r="R950" s="7" t="s">
        <v>280</v>
      </c>
      <c r="S950" s="80" t="s">
        <v>19</v>
      </c>
      <c r="T950" s="7" t="s">
        <v>78</v>
      </c>
      <c r="U950" s="7"/>
    </row>
    <row r="951" spans="1:21" ht="22.8" x14ac:dyDescent="0.3">
      <c r="A951" s="10" t="s">
        <v>279</v>
      </c>
      <c r="B951" s="10" t="s">
        <v>76</v>
      </c>
      <c r="C951" s="37">
        <v>15636171</v>
      </c>
      <c r="D951" s="11">
        <v>2019</v>
      </c>
      <c r="E951" s="10" t="s">
        <v>17</v>
      </c>
      <c r="F951" s="41">
        <f t="shared" si="85"/>
        <v>1.1511769729302653E-3</v>
      </c>
      <c r="G951" s="8">
        <v>7</v>
      </c>
      <c r="H951" s="36">
        <f t="shared" si="86"/>
        <v>3686.04805823881</v>
      </c>
      <c r="I951" s="37">
        <v>180</v>
      </c>
      <c r="J951" s="12">
        <v>0.13300000000000001</v>
      </c>
      <c r="K951" s="12">
        <v>6</v>
      </c>
      <c r="L951" s="40">
        <f t="shared" si="87"/>
        <v>143.64000000000001</v>
      </c>
      <c r="M951" s="11">
        <v>48</v>
      </c>
      <c r="N951" s="12">
        <v>73.8</v>
      </c>
      <c r="O951" s="9">
        <f t="shared" si="88"/>
        <v>3542.3999999999996</v>
      </c>
      <c r="P951" s="75">
        <f t="shared" si="90"/>
        <v>23.573853587549088</v>
      </c>
      <c r="Q951" s="78">
        <f t="shared" si="89"/>
        <v>21.001279975629917</v>
      </c>
      <c r="R951" s="10" t="s">
        <v>281</v>
      </c>
      <c r="S951" s="81" t="s">
        <v>19</v>
      </c>
      <c r="T951" s="10" t="s">
        <v>99</v>
      </c>
      <c r="U951" s="10"/>
    </row>
    <row r="952" spans="1:21" ht="22.8" x14ac:dyDescent="0.3">
      <c r="A952" s="7" t="s">
        <v>279</v>
      </c>
      <c r="B952" s="7" t="s">
        <v>76</v>
      </c>
      <c r="C952" s="36">
        <v>15636171</v>
      </c>
      <c r="D952" s="8">
        <v>2019</v>
      </c>
      <c r="E952" s="7" t="s">
        <v>20</v>
      </c>
      <c r="F952" s="41">
        <f t="shared" si="85"/>
        <v>5.3721592070079052E-3</v>
      </c>
      <c r="G952" s="11">
        <v>7</v>
      </c>
      <c r="H952" s="36">
        <f t="shared" si="86"/>
        <v>92182.357605114463</v>
      </c>
      <c r="I952" s="36">
        <v>840</v>
      </c>
      <c r="J952" s="9">
        <v>0.13300000000000001</v>
      </c>
      <c r="K952" s="9">
        <v>6</v>
      </c>
      <c r="L952" s="40">
        <f t="shared" si="87"/>
        <v>670.31999999999994</v>
      </c>
      <c r="M952" s="8">
        <v>1240</v>
      </c>
      <c r="N952" s="9">
        <v>73.8</v>
      </c>
      <c r="O952" s="9">
        <f t="shared" si="88"/>
        <v>91512</v>
      </c>
      <c r="P952" s="75">
        <f t="shared" si="90"/>
        <v>589.54559658572714</v>
      </c>
      <c r="Q952" s="78">
        <f t="shared" si="89"/>
        <v>99.724807872518994</v>
      </c>
      <c r="R952" s="7" t="s">
        <v>282</v>
      </c>
      <c r="S952" s="80" t="s">
        <v>19</v>
      </c>
      <c r="T952" s="7"/>
      <c r="U952" s="7"/>
    </row>
    <row r="953" spans="1:21" ht="22.8" x14ac:dyDescent="0.3">
      <c r="A953" s="10" t="s">
        <v>279</v>
      </c>
      <c r="B953" s="10" t="s">
        <v>76</v>
      </c>
      <c r="C953" s="37">
        <v>15636171</v>
      </c>
      <c r="D953" s="11">
        <v>2019</v>
      </c>
      <c r="E953" s="10" t="s">
        <v>23</v>
      </c>
      <c r="F953" s="41">
        <f t="shared" si="85"/>
        <v>7.9303302579640505E-3</v>
      </c>
      <c r="G953" s="8">
        <v>8</v>
      </c>
      <c r="H953" s="36">
        <f t="shared" si="86"/>
        <v>136946.50344264208</v>
      </c>
      <c r="I953" s="37">
        <v>1240</v>
      </c>
      <c r="J953" s="12">
        <v>0.13300000000000001</v>
      </c>
      <c r="K953" s="12">
        <v>7</v>
      </c>
      <c r="L953" s="40">
        <f t="shared" si="87"/>
        <v>1154.44</v>
      </c>
      <c r="M953" s="11">
        <v>1840</v>
      </c>
      <c r="N953" s="12">
        <v>73.8</v>
      </c>
      <c r="O953" s="9">
        <f t="shared" si="88"/>
        <v>135792</v>
      </c>
      <c r="P953" s="75">
        <f t="shared" si="90"/>
        <v>875.83145159158255</v>
      </c>
      <c r="Q953" s="78">
        <f t="shared" si="89"/>
        <v>99.984285074193409</v>
      </c>
      <c r="R953" s="10" t="s">
        <v>283</v>
      </c>
      <c r="S953" s="81" t="s">
        <v>25</v>
      </c>
      <c r="T953" s="10" t="s">
        <v>15</v>
      </c>
      <c r="U953" s="10"/>
    </row>
    <row r="954" spans="1:21" x14ac:dyDescent="0.3">
      <c r="A954" s="7" t="s">
        <v>279</v>
      </c>
      <c r="B954" s="7" t="s">
        <v>76</v>
      </c>
      <c r="C954" s="36">
        <v>15636171</v>
      </c>
      <c r="D954" s="8">
        <v>2019</v>
      </c>
      <c r="E954" s="7" t="s">
        <v>26</v>
      </c>
      <c r="F954" s="41">
        <f t="shared" si="85"/>
        <v>17.907197356693015</v>
      </c>
      <c r="G954" s="11">
        <v>6</v>
      </c>
      <c r="H954" s="36">
        <f t="shared" si="86"/>
        <v>1792107.4431841401</v>
      </c>
      <c r="I954" s="36">
        <v>2800000</v>
      </c>
      <c r="J954" s="9">
        <v>0.128</v>
      </c>
      <c r="K954" s="9">
        <v>5</v>
      </c>
      <c r="L954" s="40">
        <f t="shared" si="87"/>
        <v>1792000</v>
      </c>
      <c r="M954" s="8">
        <v>0</v>
      </c>
      <c r="N954" s="9">
        <v>73.8</v>
      </c>
      <c r="O954" s="9">
        <f t="shared" si="88"/>
        <v>0</v>
      </c>
      <c r="P954" s="75">
        <f t="shared" si="90"/>
        <v>11461.293453391754</v>
      </c>
      <c r="Q954" s="78">
        <f t="shared" si="89"/>
        <v>100</v>
      </c>
      <c r="R954" s="7" t="s">
        <v>284</v>
      </c>
      <c r="S954" s="80" t="s">
        <v>28</v>
      </c>
      <c r="T954" s="7" t="s">
        <v>83</v>
      </c>
      <c r="U954" s="7"/>
    </row>
    <row r="955" spans="1:21" ht="22.8" x14ac:dyDescent="0.3">
      <c r="A955" s="10" t="s">
        <v>279</v>
      </c>
      <c r="B955" s="10" t="s">
        <v>76</v>
      </c>
      <c r="C955" s="37">
        <v>15636171</v>
      </c>
      <c r="D955" s="11">
        <v>2019</v>
      </c>
      <c r="E955" s="10" t="s">
        <v>30</v>
      </c>
      <c r="F955" s="41">
        <f t="shared" si="85"/>
        <v>3.965165128982025E-4</v>
      </c>
      <c r="G955" s="8">
        <v>6</v>
      </c>
      <c r="H955" s="36">
        <f t="shared" si="86"/>
        <v>91541.762379099076</v>
      </c>
      <c r="I955" s="37">
        <v>62</v>
      </c>
      <c r="J955" s="12">
        <v>0.12</v>
      </c>
      <c r="K955" s="12">
        <v>4</v>
      </c>
      <c r="L955" s="40">
        <f t="shared" si="87"/>
        <v>29.759999999999998</v>
      </c>
      <c r="M955" s="11">
        <v>1240</v>
      </c>
      <c r="N955" s="12">
        <v>73.8</v>
      </c>
      <c r="O955" s="9">
        <f t="shared" si="88"/>
        <v>91512</v>
      </c>
      <c r="P955" s="75">
        <f t="shared" si="90"/>
        <v>585.44871617929402</v>
      </c>
      <c r="Q955" s="78">
        <f t="shared" si="89"/>
        <v>99.713299446585907</v>
      </c>
      <c r="R955" s="10" t="s">
        <v>285</v>
      </c>
      <c r="S955" s="81" t="s">
        <v>29</v>
      </c>
      <c r="T955" s="10" t="s">
        <v>33</v>
      </c>
      <c r="U955" s="10"/>
    </row>
    <row r="956" spans="1:21" ht="22.8" x14ac:dyDescent="0.3">
      <c r="A956" s="7" t="s">
        <v>279</v>
      </c>
      <c r="B956" s="7" t="s">
        <v>76</v>
      </c>
      <c r="C956" s="36">
        <v>16326839</v>
      </c>
      <c r="D956" s="8">
        <v>2020</v>
      </c>
      <c r="E956" s="7" t="s">
        <v>11</v>
      </c>
      <c r="F956" s="41">
        <f t="shared" si="85"/>
        <v>2.9521942367411107E-2</v>
      </c>
      <c r="G956" s="11">
        <v>9</v>
      </c>
      <c r="H956" s="36">
        <f t="shared" si="86"/>
        <v>391840.74569748127</v>
      </c>
      <c r="I956" s="36">
        <v>4820</v>
      </c>
      <c r="J956" s="9">
        <v>0.13300000000000001</v>
      </c>
      <c r="K956" s="9">
        <v>8</v>
      </c>
      <c r="L956" s="40">
        <f t="shared" si="87"/>
        <v>5128.4800000000005</v>
      </c>
      <c r="M956" s="8">
        <v>5240</v>
      </c>
      <c r="N956" s="9">
        <v>73.8</v>
      </c>
      <c r="O956" s="9">
        <f t="shared" si="88"/>
        <v>386712</v>
      </c>
      <c r="P956" s="75">
        <f t="shared" si="90"/>
        <v>2399.9792347893017</v>
      </c>
      <c r="Q956" s="78">
        <f t="shared" si="89"/>
        <v>99.999999996224076</v>
      </c>
      <c r="R956" s="7" t="s">
        <v>280</v>
      </c>
      <c r="S956" s="80" t="s">
        <v>19</v>
      </c>
      <c r="T956" s="7" t="s">
        <v>78</v>
      </c>
      <c r="U956" s="7"/>
    </row>
    <row r="957" spans="1:21" ht="22.8" x14ac:dyDescent="0.3">
      <c r="A957" s="10" t="s">
        <v>279</v>
      </c>
      <c r="B957" s="10" t="s">
        <v>76</v>
      </c>
      <c r="C957" s="37">
        <v>16326839</v>
      </c>
      <c r="D957" s="11">
        <v>2020</v>
      </c>
      <c r="E957" s="10" t="s">
        <v>17</v>
      </c>
      <c r="F957" s="41">
        <f t="shared" si="85"/>
        <v>1.1024791755464729E-3</v>
      </c>
      <c r="G957" s="8">
        <v>7</v>
      </c>
      <c r="H957" s="36">
        <f t="shared" si="86"/>
        <v>3686.0477173542286</v>
      </c>
      <c r="I957" s="37">
        <v>180</v>
      </c>
      <c r="J957" s="12">
        <v>0.13300000000000001</v>
      </c>
      <c r="K957" s="12">
        <v>6</v>
      </c>
      <c r="L957" s="40">
        <f t="shared" si="87"/>
        <v>143.64000000000001</v>
      </c>
      <c r="M957" s="11">
        <v>48</v>
      </c>
      <c r="N957" s="12">
        <v>73.8</v>
      </c>
      <c r="O957" s="9">
        <f t="shared" si="88"/>
        <v>3542.3999999999996</v>
      </c>
      <c r="P957" s="75">
        <f t="shared" si="90"/>
        <v>22.57661582474249</v>
      </c>
      <c r="Q957" s="78">
        <f t="shared" si="89"/>
        <v>20.209533672327439</v>
      </c>
      <c r="R957" s="10" t="s">
        <v>281</v>
      </c>
      <c r="S957" s="81" t="s">
        <v>19</v>
      </c>
      <c r="T957" s="10" t="s">
        <v>99</v>
      </c>
      <c r="U957" s="10"/>
    </row>
    <row r="958" spans="1:21" ht="22.8" x14ac:dyDescent="0.3">
      <c r="A958" s="7" t="s">
        <v>279</v>
      </c>
      <c r="B958" s="7" t="s">
        <v>76</v>
      </c>
      <c r="C958" s="36">
        <v>16326839</v>
      </c>
      <c r="D958" s="8">
        <v>2020</v>
      </c>
      <c r="E958" s="7" t="s">
        <v>20</v>
      </c>
      <c r="F958" s="41">
        <f t="shared" si="85"/>
        <v>5.1449028192168738E-3</v>
      </c>
      <c r="G958" s="11">
        <v>7</v>
      </c>
      <c r="H958" s="36">
        <f t="shared" si="86"/>
        <v>92182.356014319739</v>
      </c>
      <c r="I958" s="36">
        <v>840</v>
      </c>
      <c r="J958" s="9">
        <v>0.13300000000000001</v>
      </c>
      <c r="K958" s="9">
        <v>6</v>
      </c>
      <c r="L958" s="40">
        <f t="shared" si="87"/>
        <v>670.31999999999994</v>
      </c>
      <c r="M958" s="8">
        <v>1240</v>
      </c>
      <c r="N958" s="9">
        <v>73.8</v>
      </c>
      <c r="O958" s="9">
        <f t="shared" si="88"/>
        <v>91512</v>
      </c>
      <c r="P958" s="75">
        <f t="shared" si="90"/>
        <v>564.6062658811037</v>
      </c>
      <c r="Q958" s="78">
        <f t="shared" si="89"/>
        <v>99.646860626016192</v>
      </c>
      <c r="R958" s="7" t="s">
        <v>282</v>
      </c>
      <c r="S958" s="80" t="s">
        <v>19</v>
      </c>
      <c r="T958" s="7"/>
      <c r="U958" s="7"/>
    </row>
    <row r="959" spans="1:21" ht="22.8" x14ac:dyDescent="0.3">
      <c r="A959" s="10" t="s">
        <v>279</v>
      </c>
      <c r="B959" s="10" t="s">
        <v>76</v>
      </c>
      <c r="C959" s="37">
        <v>16326839</v>
      </c>
      <c r="D959" s="11">
        <v>2020</v>
      </c>
      <c r="E959" s="10" t="s">
        <v>23</v>
      </c>
      <c r="F959" s="41">
        <f t="shared" si="85"/>
        <v>7.59485654265348E-3</v>
      </c>
      <c r="G959" s="8">
        <v>8</v>
      </c>
      <c r="H959" s="36">
        <f t="shared" si="86"/>
        <v>136946.50075885234</v>
      </c>
      <c r="I959" s="37">
        <v>1240</v>
      </c>
      <c r="J959" s="12">
        <v>0.13300000000000001</v>
      </c>
      <c r="K959" s="12">
        <v>7</v>
      </c>
      <c r="L959" s="40">
        <f t="shared" si="87"/>
        <v>1154.44</v>
      </c>
      <c r="M959" s="11">
        <v>1840</v>
      </c>
      <c r="N959" s="12">
        <v>73.8</v>
      </c>
      <c r="O959" s="9">
        <f t="shared" si="88"/>
        <v>135792</v>
      </c>
      <c r="P959" s="75">
        <f t="shared" si="90"/>
        <v>838.78147361441097</v>
      </c>
      <c r="Q959" s="78">
        <f t="shared" si="89"/>
        <v>99.977237584590469</v>
      </c>
      <c r="R959" s="10" t="s">
        <v>283</v>
      </c>
      <c r="S959" s="81" t="s">
        <v>25</v>
      </c>
      <c r="T959" s="10" t="s">
        <v>15</v>
      </c>
      <c r="U959" s="10"/>
    </row>
    <row r="960" spans="1:21" x14ac:dyDescent="0.3">
      <c r="A960" s="7" t="s">
        <v>279</v>
      </c>
      <c r="B960" s="7" t="s">
        <v>76</v>
      </c>
      <c r="C960" s="36">
        <v>16326839</v>
      </c>
      <c r="D960" s="8">
        <v>2020</v>
      </c>
      <c r="E960" s="7" t="s">
        <v>26</v>
      </c>
      <c r="F960" s="41">
        <f t="shared" si="85"/>
        <v>17.149676064056244</v>
      </c>
      <c r="G960" s="11">
        <v>6</v>
      </c>
      <c r="H960" s="36">
        <f t="shared" si="86"/>
        <v>1792102.8980563844</v>
      </c>
      <c r="I960" s="36">
        <v>2800000</v>
      </c>
      <c r="J960" s="9">
        <v>0.128</v>
      </c>
      <c r="K960" s="9">
        <v>5</v>
      </c>
      <c r="L960" s="40">
        <f t="shared" si="87"/>
        <v>1792000</v>
      </c>
      <c r="M960" s="8">
        <v>0</v>
      </c>
      <c r="N960" s="9">
        <v>73.8</v>
      </c>
      <c r="O960" s="9">
        <f t="shared" si="88"/>
        <v>0</v>
      </c>
      <c r="P960" s="75">
        <f t="shared" si="90"/>
        <v>10976.422919686931</v>
      </c>
      <c r="Q960" s="78">
        <f t="shared" si="89"/>
        <v>100</v>
      </c>
      <c r="R960" s="7" t="s">
        <v>284</v>
      </c>
      <c r="S960" s="80" t="s">
        <v>28</v>
      </c>
      <c r="T960" s="7" t="s">
        <v>83</v>
      </c>
      <c r="U960" s="7"/>
    </row>
    <row r="961" spans="1:21" ht="22.8" x14ac:dyDescent="0.3">
      <c r="A961" s="10" t="s">
        <v>279</v>
      </c>
      <c r="B961" s="10" t="s">
        <v>76</v>
      </c>
      <c r="C961" s="37">
        <v>16326839</v>
      </c>
      <c r="D961" s="11">
        <v>2020</v>
      </c>
      <c r="E961" s="10" t="s">
        <v>30</v>
      </c>
      <c r="F961" s="41">
        <f t="shared" si="85"/>
        <v>3.7974282713267401E-4</v>
      </c>
      <c r="G961" s="8">
        <v>6</v>
      </c>
      <c r="H961" s="36">
        <f t="shared" si="86"/>
        <v>91541.762278456954</v>
      </c>
      <c r="I961" s="37">
        <v>62</v>
      </c>
      <c r="J961" s="12">
        <v>0.12</v>
      </c>
      <c r="K961" s="12">
        <v>4</v>
      </c>
      <c r="L961" s="40">
        <f t="shared" si="87"/>
        <v>29.759999999999998</v>
      </c>
      <c r="M961" s="11">
        <v>1240</v>
      </c>
      <c r="N961" s="12">
        <v>73.8</v>
      </c>
      <c r="O961" s="9">
        <f t="shared" si="88"/>
        <v>91512</v>
      </c>
      <c r="P961" s="75">
        <f t="shared" si="90"/>
        <v>560.68270336013575</v>
      </c>
      <c r="Q961" s="78">
        <f t="shared" si="89"/>
        <v>99.63272957434036</v>
      </c>
      <c r="R961" s="10" t="s">
        <v>285</v>
      </c>
      <c r="S961" s="81" t="s">
        <v>29</v>
      </c>
      <c r="T961" s="10" t="s">
        <v>33</v>
      </c>
      <c r="U961" s="10"/>
    </row>
    <row r="962" spans="1:21" ht="22.8" x14ac:dyDescent="0.3">
      <c r="A962" s="7" t="s">
        <v>279</v>
      </c>
      <c r="B962" s="7" t="s">
        <v>76</v>
      </c>
      <c r="C962" s="36">
        <v>17065581</v>
      </c>
      <c r="D962" s="8">
        <v>2021</v>
      </c>
      <c r="E962" s="7" t="s">
        <v>11</v>
      </c>
      <c r="F962" s="41">
        <f t="shared" ref="F962:F991" si="91">I962*100/C962</f>
        <v>2.824398419251006E-2</v>
      </c>
      <c r="G962" s="11">
        <v>9</v>
      </c>
      <c r="H962" s="36">
        <f t="shared" ref="H962:H991" si="92">O962+L962+(G962*F962)</f>
        <v>391840.73419585772</v>
      </c>
      <c r="I962" s="36">
        <v>4820</v>
      </c>
      <c r="J962" s="9">
        <v>0.13300000000000001</v>
      </c>
      <c r="K962" s="9">
        <v>8</v>
      </c>
      <c r="L962" s="40">
        <f t="shared" si="87"/>
        <v>5128.4800000000005</v>
      </c>
      <c r="M962" s="8">
        <v>5240</v>
      </c>
      <c r="N962" s="9">
        <v>73.8</v>
      </c>
      <c r="O962" s="9">
        <f t="shared" si="88"/>
        <v>386712</v>
      </c>
      <c r="P962" s="75">
        <f t="shared" si="90"/>
        <v>2296.0878636118964</v>
      </c>
      <c r="Q962" s="78">
        <f t="shared" si="89"/>
        <v>99.9999999893287</v>
      </c>
      <c r="R962" s="7" t="s">
        <v>280</v>
      </c>
      <c r="S962" s="80" t="s">
        <v>19</v>
      </c>
      <c r="T962" s="7" t="s">
        <v>78</v>
      </c>
      <c r="U962" s="7"/>
    </row>
    <row r="963" spans="1:21" ht="22.8" x14ac:dyDescent="0.3">
      <c r="A963" s="10" t="s">
        <v>279</v>
      </c>
      <c r="B963" s="10" t="s">
        <v>76</v>
      </c>
      <c r="C963" s="37">
        <v>17065581</v>
      </c>
      <c r="D963" s="11">
        <v>2021</v>
      </c>
      <c r="E963" s="10" t="s">
        <v>17</v>
      </c>
      <c r="F963" s="41">
        <f t="shared" si="91"/>
        <v>1.0547545964007905E-3</v>
      </c>
      <c r="G963" s="8">
        <v>7</v>
      </c>
      <c r="H963" s="36">
        <f t="shared" si="92"/>
        <v>3686.0473832821745</v>
      </c>
      <c r="I963" s="37">
        <v>180</v>
      </c>
      <c r="J963" s="12">
        <v>0.13300000000000001</v>
      </c>
      <c r="K963" s="12">
        <v>6</v>
      </c>
      <c r="L963" s="40">
        <f t="shared" ref="L963:L991" si="93">I963*J963*K963</f>
        <v>143.64000000000001</v>
      </c>
      <c r="M963" s="11">
        <v>48</v>
      </c>
      <c r="N963" s="12">
        <v>73.8</v>
      </c>
      <c r="O963" s="9">
        <f t="shared" ref="O963:O991" si="94">M963*N963</f>
        <v>3542.3999999999996</v>
      </c>
      <c r="P963" s="75">
        <f t="shared" si="90"/>
        <v>21.599307889266555</v>
      </c>
      <c r="Q963" s="78">
        <f t="shared" ref="Q963:Q991" si="95">100*(1-EXP(-P963/100))</f>
        <v>19.425912152671486</v>
      </c>
      <c r="R963" s="10" t="s">
        <v>281</v>
      </c>
      <c r="S963" s="81" t="s">
        <v>19</v>
      </c>
      <c r="T963" s="10" t="s">
        <v>99</v>
      </c>
      <c r="U963" s="10"/>
    </row>
    <row r="964" spans="1:21" ht="22.8" x14ac:dyDescent="0.3">
      <c r="A964" s="7" t="s">
        <v>279</v>
      </c>
      <c r="B964" s="7" t="s">
        <v>76</v>
      </c>
      <c r="C964" s="36">
        <v>17065581</v>
      </c>
      <c r="D964" s="8">
        <v>2021</v>
      </c>
      <c r="E964" s="7" t="s">
        <v>20</v>
      </c>
      <c r="F964" s="41">
        <f t="shared" si="91"/>
        <v>4.9221881165370223E-3</v>
      </c>
      <c r="G964" s="11">
        <v>7</v>
      </c>
      <c r="H964" s="36">
        <f t="shared" si="92"/>
        <v>92182.354455316818</v>
      </c>
      <c r="I964" s="36">
        <v>840</v>
      </c>
      <c r="J964" s="9">
        <v>0.13300000000000001</v>
      </c>
      <c r="K964" s="9">
        <v>6</v>
      </c>
      <c r="L964" s="40">
        <f t="shared" si="93"/>
        <v>670.31999999999994</v>
      </c>
      <c r="M964" s="8">
        <v>1240</v>
      </c>
      <c r="N964" s="9">
        <v>73.8</v>
      </c>
      <c r="O964" s="9">
        <f t="shared" si="94"/>
        <v>91512</v>
      </c>
      <c r="P964" s="75">
        <f t="shared" si="90"/>
        <v>540.16534482662394</v>
      </c>
      <c r="Q964" s="78">
        <f t="shared" si="95"/>
        <v>99.549088081979718</v>
      </c>
      <c r="R964" s="7" t="s">
        <v>282</v>
      </c>
      <c r="S964" s="80" t="s">
        <v>19</v>
      </c>
      <c r="T964" s="7"/>
      <c r="U964" s="7"/>
    </row>
    <row r="965" spans="1:21" ht="22.8" x14ac:dyDescent="0.3">
      <c r="A965" s="10" t="s">
        <v>279</v>
      </c>
      <c r="B965" s="10" t="s">
        <v>76</v>
      </c>
      <c r="C965" s="37">
        <v>17065581</v>
      </c>
      <c r="D965" s="11">
        <v>2021</v>
      </c>
      <c r="E965" s="10" t="s">
        <v>23</v>
      </c>
      <c r="F965" s="41">
        <f t="shared" si="91"/>
        <v>7.2660872196498904E-3</v>
      </c>
      <c r="G965" s="8">
        <v>8</v>
      </c>
      <c r="H965" s="36">
        <f t="shared" si="92"/>
        <v>136946.49812869777</v>
      </c>
      <c r="I965" s="37">
        <v>1240</v>
      </c>
      <c r="J965" s="12">
        <v>0.13300000000000001</v>
      </c>
      <c r="K965" s="12">
        <v>7</v>
      </c>
      <c r="L965" s="40">
        <f t="shared" si="93"/>
        <v>1154.44</v>
      </c>
      <c r="M965" s="11">
        <v>1840</v>
      </c>
      <c r="N965" s="12">
        <v>73.8</v>
      </c>
      <c r="O965" s="9">
        <f t="shared" si="94"/>
        <v>135792</v>
      </c>
      <c r="P965" s="75">
        <f t="shared" si="90"/>
        <v>802.47193534575683</v>
      </c>
      <c r="Q965" s="78">
        <f t="shared" si="95"/>
        <v>99.967272813906263</v>
      </c>
      <c r="R965" s="10" t="s">
        <v>283</v>
      </c>
      <c r="S965" s="81" t="s">
        <v>25</v>
      </c>
      <c r="T965" s="10" t="s">
        <v>15</v>
      </c>
      <c r="U965" s="10"/>
    </row>
    <row r="966" spans="1:21" x14ac:dyDescent="0.3">
      <c r="A966" s="7" t="s">
        <v>279</v>
      </c>
      <c r="B966" s="7" t="s">
        <v>76</v>
      </c>
      <c r="C966" s="36">
        <v>17065581</v>
      </c>
      <c r="D966" s="8">
        <v>2021</v>
      </c>
      <c r="E966" s="7" t="s">
        <v>26</v>
      </c>
      <c r="F966" s="41">
        <f t="shared" si="91"/>
        <v>16.407293721790076</v>
      </c>
      <c r="G966" s="11">
        <v>6</v>
      </c>
      <c r="H966" s="36">
        <f t="shared" si="92"/>
        <v>1792098.4437623308</v>
      </c>
      <c r="I966" s="36">
        <v>2800000</v>
      </c>
      <c r="J966" s="9">
        <v>0.128</v>
      </c>
      <c r="K966" s="9">
        <v>5</v>
      </c>
      <c r="L966" s="40">
        <f t="shared" si="93"/>
        <v>1792000</v>
      </c>
      <c r="M966" s="8">
        <v>0</v>
      </c>
      <c r="N966" s="9">
        <v>73.8</v>
      </c>
      <c r="O966" s="9">
        <f t="shared" si="94"/>
        <v>0</v>
      </c>
      <c r="P966" s="75">
        <f t="shared" si="90"/>
        <v>10501.244837561235</v>
      </c>
      <c r="Q966" s="78">
        <f t="shared" si="95"/>
        <v>100</v>
      </c>
      <c r="R966" s="7" t="s">
        <v>284</v>
      </c>
      <c r="S966" s="80" t="s">
        <v>28</v>
      </c>
      <c r="T966" s="7" t="s">
        <v>83</v>
      </c>
      <c r="U966" s="7"/>
    </row>
    <row r="967" spans="1:21" ht="22.8" x14ac:dyDescent="0.3">
      <c r="A967" s="10" t="s">
        <v>279</v>
      </c>
      <c r="B967" s="10" t="s">
        <v>76</v>
      </c>
      <c r="C967" s="37">
        <v>17065581</v>
      </c>
      <c r="D967" s="11">
        <v>2021</v>
      </c>
      <c r="E967" s="10" t="s">
        <v>30</v>
      </c>
      <c r="F967" s="41">
        <f t="shared" si="91"/>
        <v>3.6330436098249455E-4</v>
      </c>
      <c r="G967" s="8">
        <v>6</v>
      </c>
      <c r="H967" s="36">
        <f t="shared" si="92"/>
        <v>91541.762179826153</v>
      </c>
      <c r="I967" s="37">
        <v>62</v>
      </c>
      <c r="J967" s="12">
        <v>0.12</v>
      </c>
      <c r="K967" s="12">
        <v>4</v>
      </c>
      <c r="L967" s="40">
        <f t="shared" si="93"/>
        <v>29.759999999999998</v>
      </c>
      <c r="M967" s="11">
        <v>1240</v>
      </c>
      <c r="N967" s="12">
        <v>73.8</v>
      </c>
      <c r="O967" s="9">
        <f t="shared" si="94"/>
        <v>91512</v>
      </c>
      <c r="P967" s="75">
        <f t="shared" si="90"/>
        <v>536.41163567666501</v>
      </c>
      <c r="Q967" s="78">
        <f t="shared" si="95"/>
        <v>99.531840472667284</v>
      </c>
      <c r="R967" s="10" t="s">
        <v>285</v>
      </c>
      <c r="S967" s="81" t="s">
        <v>29</v>
      </c>
      <c r="T967" s="10" t="s">
        <v>33</v>
      </c>
      <c r="U967" s="10"/>
    </row>
    <row r="968" spans="1:21" ht="22.8" x14ac:dyDescent="0.3">
      <c r="A968" s="7" t="s">
        <v>279</v>
      </c>
      <c r="B968" s="7" t="s">
        <v>76</v>
      </c>
      <c r="C968" s="36">
        <v>17065581</v>
      </c>
      <c r="D968" s="8">
        <v>2022</v>
      </c>
      <c r="E968" s="7" t="s">
        <v>11</v>
      </c>
      <c r="F968" s="41">
        <f t="shared" si="91"/>
        <v>2.824398419251006E-2</v>
      </c>
      <c r="G968" s="11">
        <v>9</v>
      </c>
      <c r="H968" s="36">
        <f t="shared" si="92"/>
        <v>391840.73419585772</v>
      </c>
      <c r="I968" s="36">
        <v>4820</v>
      </c>
      <c r="J968" s="9">
        <v>0.13300000000000001</v>
      </c>
      <c r="K968" s="9">
        <v>8</v>
      </c>
      <c r="L968" s="40">
        <f t="shared" si="93"/>
        <v>5128.4800000000005</v>
      </c>
      <c r="M968" s="8">
        <v>5240</v>
      </c>
      <c r="N968" s="9">
        <v>73.8</v>
      </c>
      <c r="O968" s="9">
        <f t="shared" si="94"/>
        <v>386712</v>
      </c>
      <c r="P968" s="75">
        <f t="shared" si="90"/>
        <v>2296.0878636118964</v>
      </c>
      <c r="Q968" s="78">
        <f t="shared" si="95"/>
        <v>99.9999999893287</v>
      </c>
      <c r="R968" s="7" t="s">
        <v>280</v>
      </c>
      <c r="S968" s="80" t="s">
        <v>19</v>
      </c>
      <c r="T968" s="7" t="s">
        <v>78</v>
      </c>
      <c r="U968" s="7"/>
    </row>
    <row r="969" spans="1:21" ht="22.8" x14ac:dyDescent="0.3">
      <c r="A969" s="10" t="s">
        <v>279</v>
      </c>
      <c r="B969" s="10" t="s">
        <v>76</v>
      </c>
      <c r="C969" s="37">
        <v>17065581</v>
      </c>
      <c r="D969" s="11">
        <v>2022</v>
      </c>
      <c r="E969" s="10" t="s">
        <v>17</v>
      </c>
      <c r="F969" s="41">
        <f t="shared" si="91"/>
        <v>1.0547545964007905E-3</v>
      </c>
      <c r="G969" s="8">
        <v>7</v>
      </c>
      <c r="H969" s="36">
        <f t="shared" si="92"/>
        <v>3686.0473832821745</v>
      </c>
      <c r="I969" s="37">
        <v>180</v>
      </c>
      <c r="J969" s="12">
        <v>0.13300000000000001</v>
      </c>
      <c r="K969" s="12">
        <v>6</v>
      </c>
      <c r="L969" s="40">
        <f t="shared" si="93"/>
        <v>143.64000000000001</v>
      </c>
      <c r="M969" s="11">
        <v>48</v>
      </c>
      <c r="N969" s="12">
        <v>73.8</v>
      </c>
      <c r="O969" s="9">
        <f t="shared" si="94"/>
        <v>3542.3999999999996</v>
      </c>
      <c r="P969" s="75">
        <f t="shared" si="90"/>
        <v>21.599307889266555</v>
      </c>
      <c r="Q969" s="78">
        <f t="shared" si="95"/>
        <v>19.425912152671486</v>
      </c>
      <c r="R969" s="10" t="s">
        <v>281</v>
      </c>
      <c r="S969" s="81" t="s">
        <v>19</v>
      </c>
      <c r="T969" s="10" t="s">
        <v>99</v>
      </c>
      <c r="U969" s="10"/>
    </row>
    <row r="970" spans="1:21" ht="22.8" x14ac:dyDescent="0.3">
      <c r="A970" s="7" t="s">
        <v>279</v>
      </c>
      <c r="B970" s="7" t="s">
        <v>76</v>
      </c>
      <c r="C970" s="36">
        <v>17065581</v>
      </c>
      <c r="D970" s="8">
        <v>2022</v>
      </c>
      <c r="E970" s="7" t="s">
        <v>20</v>
      </c>
      <c r="F970" s="41">
        <f t="shared" si="91"/>
        <v>4.9221881165370223E-3</v>
      </c>
      <c r="G970" s="11">
        <v>7</v>
      </c>
      <c r="H970" s="36">
        <f t="shared" si="92"/>
        <v>92182.354455316818</v>
      </c>
      <c r="I970" s="36">
        <v>840</v>
      </c>
      <c r="J970" s="9">
        <v>0.13300000000000001</v>
      </c>
      <c r="K970" s="9">
        <v>6</v>
      </c>
      <c r="L970" s="40">
        <f t="shared" si="93"/>
        <v>670.31999999999994</v>
      </c>
      <c r="M970" s="8">
        <v>1240</v>
      </c>
      <c r="N970" s="9">
        <v>73.8</v>
      </c>
      <c r="O970" s="9">
        <f t="shared" si="94"/>
        <v>91512</v>
      </c>
      <c r="P970" s="75">
        <f t="shared" si="90"/>
        <v>540.16534482662394</v>
      </c>
      <c r="Q970" s="78">
        <f t="shared" si="95"/>
        <v>99.549088081979718</v>
      </c>
      <c r="R970" s="7" t="s">
        <v>282</v>
      </c>
      <c r="S970" s="80" t="s">
        <v>19</v>
      </c>
      <c r="T970" s="7"/>
      <c r="U970" s="7"/>
    </row>
    <row r="971" spans="1:21" ht="22.8" x14ac:dyDescent="0.3">
      <c r="A971" s="10" t="s">
        <v>279</v>
      </c>
      <c r="B971" s="10" t="s">
        <v>76</v>
      </c>
      <c r="C971" s="37">
        <v>17065581</v>
      </c>
      <c r="D971" s="11">
        <v>2022</v>
      </c>
      <c r="E971" s="10" t="s">
        <v>23</v>
      </c>
      <c r="F971" s="41">
        <f t="shared" si="91"/>
        <v>7.2660872196498904E-3</v>
      </c>
      <c r="G971" s="8">
        <v>8</v>
      </c>
      <c r="H971" s="36">
        <f t="shared" si="92"/>
        <v>136946.49812869777</v>
      </c>
      <c r="I971" s="37">
        <v>1240</v>
      </c>
      <c r="J971" s="12">
        <v>0.13300000000000001</v>
      </c>
      <c r="K971" s="12">
        <v>7</v>
      </c>
      <c r="L971" s="40">
        <f t="shared" si="93"/>
        <v>1154.44</v>
      </c>
      <c r="M971" s="11">
        <v>1840</v>
      </c>
      <c r="N971" s="12">
        <v>73.8</v>
      </c>
      <c r="O971" s="9">
        <f t="shared" si="94"/>
        <v>135792</v>
      </c>
      <c r="P971" s="75">
        <f t="shared" si="90"/>
        <v>802.47193534575683</v>
      </c>
      <c r="Q971" s="78">
        <f t="shared" si="95"/>
        <v>99.967272813906263</v>
      </c>
      <c r="R971" s="10" t="s">
        <v>283</v>
      </c>
      <c r="S971" s="81" t="s">
        <v>25</v>
      </c>
      <c r="T971" s="10" t="s">
        <v>15</v>
      </c>
      <c r="U971" s="10"/>
    </row>
    <row r="972" spans="1:21" x14ac:dyDescent="0.3">
      <c r="A972" s="7" t="s">
        <v>279</v>
      </c>
      <c r="B972" s="7" t="s">
        <v>76</v>
      </c>
      <c r="C972" s="36">
        <v>17065581</v>
      </c>
      <c r="D972" s="8">
        <v>2022</v>
      </c>
      <c r="E972" s="7" t="s">
        <v>26</v>
      </c>
      <c r="F972" s="41">
        <f t="shared" si="91"/>
        <v>16.407293721790076</v>
      </c>
      <c r="G972" s="11">
        <v>6</v>
      </c>
      <c r="H972" s="36">
        <f t="shared" si="92"/>
        <v>1792098.4437623308</v>
      </c>
      <c r="I972" s="36">
        <v>2800000</v>
      </c>
      <c r="J972" s="9">
        <v>0.128</v>
      </c>
      <c r="K972" s="9">
        <v>5</v>
      </c>
      <c r="L972" s="40">
        <f t="shared" si="93"/>
        <v>1792000</v>
      </c>
      <c r="M972" s="8">
        <v>0</v>
      </c>
      <c r="N972" s="9">
        <v>73.8</v>
      </c>
      <c r="O972" s="9">
        <f t="shared" si="94"/>
        <v>0</v>
      </c>
      <c r="P972" s="75">
        <f t="shared" si="90"/>
        <v>10501.244837561235</v>
      </c>
      <c r="Q972" s="78">
        <f t="shared" si="95"/>
        <v>100</v>
      </c>
      <c r="R972" s="7" t="s">
        <v>284</v>
      </c>
      <c r="S972" s="80" t="s">
        <v>28</v>
      </c>
      <c r="T972" s="7" t="s">
        <v>83</v>
      </c>
      <c r="U972" s="7"/>
    </row>
    <row r="973" spans="1:21" ht="22.8" x14ac:dyDescent="0.3">
      <c r="A973" s="10" t="s">
        <v>279</v>
      </c>
      <c r="B973" s="10" t="s">
        <v>76</v>
      </c>
      <c r="C973" s="37">
        <v>17065581</v>
      </c>
      <c r="D973" s="11">
        <v>2022</v>
      </c>
      <c r="E973" s="10" t="s">
        <v>30</v>
      </c>
      <c r="F973" s="41">
        <f t="shared" si="91"/>
        <v>3.6330436098249455E-4</v>
      </c>
      <c r="G973" s="8">
        <v>6</v>
      </c>
      <c r="H973" s="36">
        <f t="shared" si="92"/>
        <v>91541.762179826153</v>
      </c>
      <c r="I973" s="37">
        <v>62</v>
      </c>
      <c r="J973" s="12">
        <v>0.12</v>
      </c>
      <c r="K973" s="12">
        <v>4</v>
      </c>
      <c r="L973" s="40">
        <f t="shared" si="93"/>
        <v>29.759999999999998</v>
      </c>
      <c r="M973" s="11">
        <v>1240</v>
      </c>
      <c r="N973" s="12">
        <v>73.8</v>
      </c>
      <c r="O973" s="9">
        <f t="shared" si="94"/>
        <v>91512</v>
      </c>
      <c r="P973" s="75">
        <f t="shared" si="90"/>
        <v>536.41163567666501</v>
      </c>
      <c r="Q973" s="78">
        <f t="shared" si="95"/>
        <v>99.531840472667284</v>
      </c>
      <c r="R973" s="10" t="s">
        <v>285</v>
      </c>
      <c r="S973" s="81" t="s">
        <v>29</v>
      </c>
      <c r="T973" s="10" t="s">
        <v>33</v>
      </c>
      <c r="U973" s="10"/>
    </row>
    <row r="974" spans="1:21" ht="22.8" x14ac:dyDescent="0.3">
      <c r="A974" s="7" t="s">
        <v>279</v>
      </c>
      <c r="B974" s="7" t="s">
        <v>76</v>
      </c>
      <c r="C974" s="36">
        <v>18143378</v>
      </c>
      <c r="D974" s="8">
        <v>2023</v>
      </c>
      <c r="E974" s="7" t="s">
        <v>11</v>
      </c>
      <c r="F974" s="41">
        <f t="shared" si="91"/>
        <v>2.6566166454780361E-2</v>
      </c>
      <c r="G974" s="11">
        <v>9</v>
      </c>
      <c r="H974" s="36">
        <f t="shared" si="92"/>
        <v>391840.71909549809</v>
      </c>
      <c r="I974" s="36">
        <v>4820</v>
      </c>
      <c r="J974" s="9">
        <v>0.13300000000000001</v>
      </c>
      <c r="K974" s="9">
        <v>8</v>
      </c>
      <c r="L974" s="40">
        <f t="shared" si="93"/>
        <v>5128.4800000000005</v>
      </c>
      <c r="M974" s="8">
        <v>5240</v>
      </c>
      <c r="N974" s="9">
        <v>73.8</v>
      </c>
      <c r="O974" s="9">
        <f t="shared" si="94"/>
        <v>386712</v>
      </c>
      <c r="P974" s="75">
        <f t="shared" si="90"/>
        <v>2159.689993205775</v>
      </c>
      <c r="Q974" s="78">
        <f t="shared" si="95"/>
        <v>99.999999958256822</v>
      </c>
      <c r="R974" s="7" t="s">
        <v>280</v>
      </c>
      <c r="S974" s="80" t="s">
        <v>19</v>
      </c>
      <c r="T974" s="7" t="s">
        <v>78</v>
      </c>
      <c r="U974" s="7"/>
    </row>
    <row r="975" spans="1:21" ht="22.8" x14ac:dyDescent="0.3">
      <c r="A975" s="10" t="s">
        <v>279</v>
      </c>
      <c r="B975" s="10" t="s">
        <v>76</v>
      </c>
      <c r="C975" s="37">
        <v>18143378</v>
      </c>
      <c r="D975" s="11">
        <v>2023</v>
      </c>
      <c r="E975" s="10" t="s">
        <v>17</v>
      </c>
      <c r="F975" s="41">
        <f t="shared" si="91"/>
        <v>9.9209750246067739E-4</v>
      </c>
      <c r="G975" s="8">
        <v>7</v>
      </c>
      <c r="H975" s="36">
        <f t="shared" si="92"/>
        <v>3686.0469446825168</v>
      </c>
      <c r="I975" s="37">
        <v>180</v>
      </c>
      <c r="J975" s="12">
        <v>0.13300000000000001</v>
      </c>
      <c r="K975" s="12">
        <v>6</v>
      </c>
      <c r="L975" s="40">
        <f t="shared" si="93"/>
        <v>143.64000000000001</v>
      </c>
      <c r="M975" s="11">
        <v>48</v>
      </c>
      <c r="N975" s="12">
        <v>73.8</v>
      </c>
      <c r="O975" s="9">
        <f t="shared" si="94"/>
        <v>3542.3999999999996</v>
      </c>
      <c r="P975" s="75">
        <f t="shared" si="90"/>
        <v>20.316210932068532</v>
      </c>
      <c r="Q975" s="78">
        <f t="shared" si="95"/>
        <v>18.385407416051315</v>
      </c>
      <c r="R975" s="10" t="s">
        <v>281</v>
      </c>
      <c r="S975" s="81" t="s">
        <v>19</v>
      </c>
      <c r="T975" s="10" t="s">
        <v>99</v>
      </c>
      <c r="U975" s="10"/>
    </row>
    <row r="976" spans="1:21" ht="22.8" x14ac:dyDescent="0.3">
      <c r="A976" s="7" t="s">
        <v>279</v>
      </c>
      <c r="B976" s="7" t="s">
        <v>76</v>
      </c>
      <c r="C976" s="36">
        <v>18143378</v>
      </c>
      <c r="D976" s="8">
        <v>2023</v>
      </c>
      <c r="E976" s="7" t="s">
        <v>20</v>
      </c>
      <c r="F976" s="41">
        <f t="shared" si="91"/>
        <v>4.6297883448164941E-3</v>
      </c>
      <c r="G976" s="11">
        <v>7</v>
      </c>
      <c r="H976" s="36">
        <f t="shared" si="92"/>
        <v>92182.352408518418</v>
      </c>
      <c r="I976" s="36">
        <v>840</v>
      </c>
      <c r="J976" s="9">
        <v>0.13300000000000001</v>
      </c>
      <c r="K976" s="9">
        <v>6</v>
      </c>
      <c r="L976" s="40">
        <f t="shared" si="93"/>
        <v>670.31999999999994</v>
      </c>
      <c r="M976" s="8">
        <v>1240</v>
      </c>
      <c r="N976" s="9">
        <v>73.8</v>
      </c>
      <c r="O976" s="9">
        <f t="shared" si="94"/>
        <v>91512</v>
      </c>
      <c r="P976" s="75">
        <f t="shared" si="90"/>
        <v>508.07711997467294</v>
      </c>
      <c r="Q976" s="78">
        <f t="shared" si="95"/>
        <v>99.378488592714803</v>
      </c>
      <c r="R976" s="7" t="s">
        <v>282</v>
      </c>
      <c r="S976" s="80" t="s">
        <v>19</v>
      </c>
      <c r="T976" s="7"/>
      <c r="U976" s="7"/>
    </row>
    <row r="977" spans="1:21" ht="22.8" x14ac:dyDescent="0.3">
      <c r="A977" s="10" t="s">
        <v>279</v>
      </c>
      <c r="B977" s="10" t="s">
        <v>76</v>
      </c>
      <c r="C977" s="37">
        <v>18143378</v>
      </c>
      <c r="D977" s="11">
        <v>2023</v>
      </c>
      <c r="E977" s="10" t="s">
        <v>23</v>
      </c>
      <c r="F977" s="41">
        <f t="shared" si="91"/>
        <v>6.8344494613957777E-3</v>
      </c>
      <c r="G977" s="8">
        <v>8</v>
      </c>
      <c r="H977" s="36">
        <f t="shared" si="92"/>
        <v>136946.49467559569</v>
      </c>
      <c r="I977" s="37">
        <v>1240</v>
      </c>
      <c r="J977" s="12">
        <v>0.13300000000000001</v>
      </c>
      <c r="K977" s="12">
        <v>7</v>
      </c>
      <c r="L977" s="40">
        <f t="shared" si="93"/>
        <v>1154.44</v>
      </c>
      <c r="M977" s="11">
        <v>1840</v>
      </c>
      <c r="N977" s="12">
        <v>73.8</v>
      </c>
      <c r="O977" s="9">
        <f t="shared" si="94"/>
        <v>135792</v>
      </c>
      <c r="P977" s="75">
        <f t="shared" si="90"/>
        <v>754.80152965779405</v>
      </c>
      <c r="Q977" s="78">
        <f t="shared" si="95"/>
        <v>99.9472844663442</v>
      </c>
      <c r="R977" s="10" t="s">
        <v>283</v>
      </c>
      <c r="S977" s="81" t="s">
        <v>25</v>
      </c>
      <c r="T977" s="10" t="s">
        <v>15</v>
      </c>
      <c r="U977" s="10"/>
    </row>
    <row r="978" spans="1:21" x14ac:dyDescent="0.3">
      <c r="A978" s="7" t="s">
        <v>279</v>
      </c>
      <c r="B978" s="7" t="s">
        <v>76</v>
      </c>
      <c r="C978" s="36">
        <v>18143378</v>
      </c>
      <c r="D978" s="8">
        <v>2023</v>
      </c>
      <c r="E978" s="7" t="s">
        <v>26</v>
      </c>
      <c r="F978" s="41">
        <f t="shared" si="91"/>
        <v>15.432627816054982</v>
      </c>
      <c r="G978" s="11">
        <v>6</v>
      </c>
      <c r="H978" s="36">
        <f t="shared" si="92"/>
        <v>1792092.5957668964</v>
      </c>
      <c r="I978" s="36">
        <v>2800000</v>
      </c>
      <c r="J978" s="9">
        <v>0.128</v>
      </c>
      <c r="K978" s="9">
        <v>5</v>
      </c>
      <c r="L978" s="40">
        <f t="shared" si="93"/>
        <v>1792000</v>
      </c>
      <c r="M978" s="8">
        <v>0</v>
      </c>
      <c r="N978" s="9">
        <v>73.8</v>
      </c>
      <c r="O978" s="9">
        <f t="shared" si="94"/>
        <v>0</v>
      </c>
      <c r="P978" s="75">
        <f t="shared" si="90"/>
        <v>9877.392157992279</v>
      </c>
      <c r="Q978" s="78">
        <f t="shared" si="95"/>
        <v>100</v>
      </c>
      <c r="R978" s="7" t="s">
        <v>284</v>
      </c>
      <c r="S978" s="80" t="s">
        <v>28</v>
      </c>
      <c r="T978" s="7" t="s">
        <v>83</v>
      </c>
      <c r="U978" s="7"/>
    </row>
    <row r="979" spans="1:21" ht="22.8" x14ac:dyDescent="0.3">
      <c r="A979" s="10" t="s">
        <v>279</v>
      </c>
      <c r="B979" s="10" t="s">
        <v>76</v>
      </c>
      <c r="C979" s="37">
        <v>18143378</v>
      </c>
      <c r="D979" s="11">
        <v>2023</v>
      </c>
      <c r="E979" s="10" t="s">
        <v>30</v>
      </c>
      <c r="F979" s="41">
        <f t="shared" si="91"/>
        <v>3.4172247306978889E-4</v>
      </c>
      <c r="G979" s="8">
        <v>6</v>
      </c>
      <c r="H979" s="36">
        <f t="shared" si="92"/>
        <v>91541.76205033483</v>
      </c>
      <c r="I979" s="37">
        <v>62</v>
      </c>
      <c r="J979" s="12">
        <v>0.12</v>
      </c>
      <c r="K979" s="12">
        <v>4</v>
      </c>
      <c r="L979" s="40">
        <f t="shared" si="93"/>
        <v>29.759999999999998</v>
      </c>
      <c r="M979" s="11">
        <v>1240</v>
      </c>
      <c r="N979" s="12">
        <v>73.8</v>
      </c>
      <c r="O979" s="9">
        <f t="shared" si="94"/>
        <v>91512</v>
      </c>
      <c r="P979" s="75">
        <f t="shared" si="90"/>
        <v>504.54640833881564</v>
      </c>
      <c r="Q979" s="78">
        <f t="shared" si="95"/>
        <v>99.356152831734747</v>
      </c>
      <c r="R979" s="10" t="s">
        <v>285</v>
      </c>
      <c r="S979" s="81" t="s">
        <v>29</v>
      </c>
      <c r="T979" s="10" t="s">
        <v>33</v>
      </c>
      <c r="U979" s="10"/>
    </row>
    <row r="980" spans="1:21" ht="22.8" x14ac:dyDescent="0.3">
      <c r="A980" s="7" t="s">
        <v>279</v>
      </c>
      <c r="B980" s="7" t="s">
        <v>76</v>
      </c>
      <c r="C980" s="36">
        <v>18697560</v>
      </c>
      <c r="D980" s="8">
        <v>2024</v>
      </c>
      <c r="E980" s="7" t="s">
        <v>11</v>
      </c>
      <c r="F980" s="41">
        <f t="shared" si="91"/>
        <v>2.5778764715823882E-2</v>
      </c>
      <c r="G980" s="11">
        <v>9</v>
      </c>
      <c r="H980" s="36">
        <f t="shared" si="92"/>
        <v>391840.71200888243</v>
      </c>
      <c r="I980" s="36">
        <v>4820</v>
      </c>
      <c r="J980" s="9">
        <v>0.13300000000000001</v>
      </c>
      <c r="K980" s="9">
        <v>8</v>
      </c>
      <c r="L980" s="40">
        <f t="shared" si="93"/>
        <v>5128.4800000000005</v>
      </c>
      <c r="M980" s="8">
        <v>5240</v>
      </c>
      <c r="N980" s="9">
        <v>73.8</v>
      </c>
      <c r="O980" s="9">
        <f t="shared" si="94"/>
        <v>386712</v>
      </c>
      <c r="P980" s="75">
        <f t="shared" si="90"/>
        <v>2095.6783238501839</v>
      </c>
      <c r="Q980" s="78">
        <f t="shared" si="95"/>
        <v>99.999999920825616</v>
      </c>
      <c r="R980" s="7" t="s">
        <v>280</v>
      </c>
      <c r="S980" s="80" t="s">
        <v>19</v>
      </c>
      <c r="T980" s="7" t="s">
        <v>78</v>
      </c>
      <c r="U980" s="7"/>
    </row>
    <row r="981" spans="1:21" ht="22.8" x14ac:dyDescent="0.3">
      <c r="A981" s="10" t="s">
        <v>279</v>
      </c>
      <c r="B981" s="10" t="s">
        <v>76</v>
      </c>
      <c r="C981" s="37">
        <v>18697560</v>
      </c>
      <c r="D981" s="11">
        <v>2024</v>
      </c>
      <c r="E981" s="10" t="s">
        <v>17</v>
      </c>
      <c r="F981" s="41">
        <f t="shared" si="91"/>
        <v>9.6269245826728189E-4</v>
      </c>
      <c r="G981" s="8">
        <v>7</v>
      </c>
      <c r="H981" s="36">
        <f t="shared" si="92"/>
        <v>3686.0467388472075</v>
      </c>
      <c r="I981" s="37">
        <v>180</v>
      </c>
      <c r="J981" s="12">
        <v>0.13300000000000001</v>
      </c>
      <c r="K981" s="12">
        <v>6</v>
      </c>
      <c r="L981" s="40">
        <f t="shared" si="93"/>
        <v>143.64000000000001</v>
      </c>
      <c r="M981" s="11">
        <v>48</v>
      </c>
      <c r="N981" s="12">
        <v>73.8</v>
      </c>
      <c r="O981" s="9">
        <f t="shared" si="94"/>
        <v>3542.3999999999996</v>
      </c>
      <c r="P981" s="75">
        <f t="shared" si="90"/>
        <v>19.7140522017162</v>
      </c>
      <c r="Q981" s="78">
        <f t="shared" si="95"/>
        <v>17.892475394419481</v>
      </c>
      <c r="R981" s="10" t="s">
        <v>281</v>
      </c>
      <c r="S981" s="81" t="s">
        <v>19</v>
      </c>
      <c r="T981" s="10" t="s">
        <v>99</v>
      </c>
      <c r="U981" s="10"/>
    </row>
    <row r="982" spans="1:21" ht="22.8" x14ac:dyDescent="0.3">
      <c r="A982" s="7" t="s">
        <v>279</v>
      </c>
      <c r="B982" s="7" t="s">
        <v>76</v>
      </c>
      <c r="C982" s="36">
        <v>18697560</v>
      </c>
      <c r="D982" s="8">
        <v>2024</v>
      </c>
      <c r="E982" s="7" t="s">
        <v>20</v>
      </c>
      <c r="F982" s="41">
        <f t="shared" si="91"/>
        <v>4.492564805247316E-3</v>
      </c>
      <c r="G982" s="11">
        <v>7</v>
      </c>
      <c r="H982" s="36">
        <f t="shared" si="92"/>
        <v>92182.351447953639</v>
      </c>
      <c r="I982" s="36">
        <v>840</v>
      </c>
      <c r="J982" s="9">
        <v>0.13300000000000001</v>
      </c>
      <c r="K982" s="9">
        <v>6</v>
      </c>
      <c r="L982" s="40">
        <f t="shared" si="93"/>
        <v>670.31999999999994</v>
      </c>
      <c r="M982" s="8">
        <v>1240</v>
      </c>
      <c r="N982" s="9">
        <v>73.8</v>
      </c>
      <c r="O982" s="9">
        <f t="shared" si="94"/>
        <v>91512</v>
      </c>
      <c r="P982" s="75">
        <f t="shared" si="90"/>
        <v>493.01808069049457</v>
      </c>
      <c r="Q982" s="78">
        <f t="shared" si="95"/>
        <v>99.277480320220121</v>
      </c>
      <c r="R982" s="7" t="s">
        <v>282</v>
      </c>
      <c r="S982" s="80" t="s">
        <v>19</v>
      </c>
      <c r="T982" s="7"/>
      <c r="U982" s="7"/>
    </row>
    <row r="983" spans="1:21" ht="22.8" x14ac:dyDescent="0.3">
      <c r="A983" s="10" t="s">
        <v>279</v>
      </c>
      <c r="B983" s="10" t="s">
        <v>76</v>
      </c>
      <c r="C983" s="37">
        <v>18697560</v>
      </c>
      <c r="D983" s="11">
        <v>2024</v>
      </c>
      <c r="E983" s="10" t="s">
        <v>23</v>
      </c>
      <c r="F983" s="41">
        <f t="shared" si="91"/>
        <v>6.6318813791746093E-3</v>
      </c>
      <c r="G983" s="8">
        <v>8</v>
      </c>
      <c r="H983" s="36">
        <f t="shared" si="92"/>
        <v>136946.49305505105</v>
      </c>
      <c r="I983" s="37">
        <v>1240</v>
      </c>
      <c r="J983" s="12">
        <v>0.13300000000000001</v>
      </c>
      <c r="K983" s="12">
        <v>7</v>
      </c>
      <c r="L983" s="40">
        <f t="shared" si="93"/>
        <v>1154.44</v>
      </c>
      <c r="M983" s="11">
        <v>1840</v>
      </c>
      <c r="N983" s="12">
        <v>73.8</v>
      </c>
      <c r="O983" s="9">
        <f t="shared" si="94"/>
        <v>135792</v>
      </c>
      <c r="P983" s="75">
        <f t="shared" si="90"/>
        <v>732.42975583472412</v>
      </c>
      <c r="Q983" s="78">
        <f t="shared" si="95"/>
        <v>99.934067736353626</v>
      </c>
      <c r="R983" s="10" t="s">
        <v>283</v>
      </c>
      <c r="S983" s="81" t="s">
        <v>25</v>
      </c>
      <c r="T983" s="10" t="s">
        <v>15</v>
      </c>
      <c r="U983" s="10"/>
    </row>
    <row r="984" spans="1:21" x14ac:dyDescent="0.3">
      <c r="A984" s="7" t="s">
        <v>279</v>
      </c>
      <c r="B984" s="7" t="s">
        <v>76</v>
      </c>
      <c r="C984" s="36">
        <v>18697560</v>
      </c>
      <c r="D984" s="8">
        <v>2024</v>
      </c>
      <c r="E984" s="7" t="s">
        <v>26</v>
      </c>
      <c r="F984" s="41">
        <f t="shared" si="91"/>
        <v>14.975216017491052</v>
      </c>
      <c r="G984" s="11">
        <v>6</v>
      </c>
      <c r="H984" s="36">
        <f t="shared" si="92"/>
        <v>1792089.851296105</v>
      </c>
      <c r="I984" s="36">
        <v>2800000</v>
      </c>
      <c r="J984" s="9">
        <v>0.128</v>
      </c>
      <c r="K984" s="9">
        <v>5</v>
      </c>
      <c r="L984" s="40">
        <f t="shared" si="93"/>
        <v>1792000</v>
      </c>
      <c r="M984" s="8">
        <v>0</v>
      </c>
      <c r="N984" s="9">
        <v>73.8</v>
      </c>
      <c r="O984" s="9">
        <f t="shared" si="94"/>
        <v>0</v>
      </c>
      <c r="P984" s="75">
        <f t="shared" si="90"/>
        <v>9584.6188021116377</v>
      </c>
      <c r="Q984" s="78">
        <f t="shared" si="95"/>
        <v>100</v>
      </c>
      <c r="R984" s="7" t="s">
        <v>284</v>
      </c>
      <c r="S984" s="80" t="s">
        <v>28</v>
      </c>
      <c r="T984" s="7" t="s">
        <v>83</v>
      </c>
      <c r="U984" s="7"/>
    </row>
    <row r="985" spans="1:21" ht="22.8" x14ac:dyDescent="0.3">
      <c r="A985" s="10" t="s">
        <v>279</v>
      </c>
      <c r="B985" s="10" t="s">
        <v>76</v>
      </c>
      <c r="C985" s="37">
        <v>18697560</v>
      </c>
      <c r="D985" s="11">
        <v>2024</v>
      </c>
      <c r="E985" s="10" t="s">
        <v>30</v>
      </c>
      <c r="F985" s="41">
        <f t="shared" si="91"/>
        <v>3.3159406895873043E-4</v>
      </c>
      <c r="G985" s="8">
        <v>6</v>
      </c>
      <c r="H985" s="36">
        <f t="shared" si="92"/>
        <v>91541.761989564402</v>
      </c>
      <c r="I985" s="37">
        <v>62</v>
      </c>
      <c r="J985" s="12">
        <v>0.12</v>
      </c>
      <c r="K985" s="12">
        <v>4</v>
      </c>
      <c r="L985" s="40">
        <f t="shared" si="93"/>
        <v>29.759999999999998</v>
      </c>
      <c r="M985" s="11">
        <v>1240</v>
      </c>
      <c r="N985" s="12">
        <v>73.8</v>
      </c>
      <c r="O985" s="9">
        <f t="shared" si="94"/>
        <v>91512</v>
      </c>
      <c r="P985" s="75">
        <f t="shared" si="90"/>
        <v>489.5920215769566</v>
      </c>
      <c r="Q985" s="78">
        <f t="shared" si="95"/>
        <v>99.252297441968267</v>
      </c>
      <c r="R985" s="10" t="s">
        <v>285</v>
      </c>
      <c r="S985" s="81" t="s">
        <v>29</v>
      </c>
      <c r="T985" s="10" t="s">
        <v>33</v>
      </c>
      <c r="U985" s="10"/>
    </row>
    <row r="986" spans="1:21" ht="22.8" x14ac:dyDescent="0.3">
      <c r="A986" s="7" t="s">
        <v>279</v>
      </c>
      <c r="B986" s="7" t="s">
        <v>76</v>
      </c>
      <c r="C986" s="36">
        <v>19200000</v>
      </c>
      <c r="D986" s="8">
        <v>2025</v>
      </c>
      <c r="E986" s="7" t="s">
        <v>11</v>
      </c>
      <c r="F986" s="41">
        <f t="shared" si="91"/>
        <v>2.5104166666666667E-2</v>
      </c>
      <c r="G986" s="11">
        <v>9</v>
      </c>
      <c r="H986" s="36">
        <f t="shared" si="92"/>
        <v>391840.7059375</v>
      </c>
      <c r="I986" s="36">
        <v>4820</v>
      </c>
      <c r="J986" s="9">
        <v>0.13300000000000001</v>
      </c>
      <c r="K986" s="9">
        <v>8</v>
      </c>
      <c r="L986" s="40">
        <f t="shared" si="93"/>
        <v>5128.4800000000005</v>
      </c>
      <c r="M986" s="8">
        <v>5240</v>
      </c>
      <c r="N986" s="9">
        <v>73.8</v>
      </c>
      <c r="O986" s="9">
        <f t="shared" si="94"/>
        <v>386712</v>
      </c>
      <c r="P986" s="75">
        <f t="shared" si="90"/>
        <v>2040.8370100911459</v>
      </c>
      <c r="Q986" s="78">
        <f t="shared" si="95"/>
        <v>99.999999862988346</v>
      </c>
      <c r="R986" s="7" t="s">
        <v>280</v>
      </c>
      <c r="S986" s="80" t="s">
        <v>19</v>
      </c>
      <c r="T986" s="7" t="s">
        <v>78</v>
      </c>
      <c r="U986" s="7"/>
    </row>
    <row r="987" spans="1:21" ht="22.8" x14ac:dyDescent="0.3">
      <c r="A987" s="10" t="s">
        <v>279</v>
      </c>
      <c r="B987" s="10" t="s">
        <v>76</v>
      </c>
      <c r="C987" s="37">
        <v>19200000</v>
      </c>
      <c r="D987" s="11">
        <v>2025</v>
      </c>
      <c r="E987" s="10" t="s">
        <v>17</v>
      </c>
      <c r="F987" s="41">
        <f t="shared" si="91"/>
        <v>9.3749999999999997E-4</v>
      </c>
      <c r="G987" s="8">
        <v>7</v>
      </c>
      <c r="H987" s="36">
        <f t="shared" si="92"/>
        <v>3686.0465624999997</v>
      </c>
      <c r="I987" s="37">
        <v>180</v>
      </c>
      <c r="J987" s="12">
        <v>0.13300000000000001</v>
      </c>
      <c r="K987" s="12">
        <v>6</v>
      </c>
      <c r="L987" s="40">
        <f t="shared" si="93"/>
        <v>143.64000000000001</v>
      </c>
      <c r="M987" s="11">
        <v>48</v>
      </c>
      <c r="N987" s="12">
        <v>73.8</v>
      </c>
      <c r="O987" s="9">
        <f t="shared" si="94"/>
        <v>3542.3999999999996</v>
      </c>
      <c r="P987" s="75">
        <f t="shared" si="90"/>
        <v>19.198159179687497</v>
      </c>
      <c r="Q987" s="78">
        <f t="shared" si="95"/>
        <v>17.467793895200856</v>
      </c>
      <c r="R987" s="10" t="s">
        <v>281</v>
      </c>
      <c r="S987" s="81" t="s">
        <v>19</v>
      </c>
      <c r="T987" s="10" t="s">
        <v>99</v>
      </c>
      <c r="U987" s="10"/>
    </row>
    <row r="988" spans="1:21" ht="22.8" x14ac:dyDescent="0.3">
      <c r="A988" s="7" t="s">
        <v>279</v>
      </c>
      <c r="B988" s="7" t="s">
        <v>76</v>
      </c>
      <c r="C988" s="36">
        <v>19200000</v>
      </c>
      <c r="D988" s="8">
        <v>2025</v>
      </c>
      <c r="E988" s="7" t="s">
        <v>20</v>
      </c>
      <c r="F988" s="41">
        <f t="shared" si="91"/>
        <v>4.3750000000000004E-3</v>
      </c>
      <c r="G988" s="11">
        <v>7</v>
      </c>
      <c r="H988" s="36">
        <f t="shared" si="92"/>
        <v>92182.350625000006</v>
      </c>
      <c r="I988" s="36">
        <v>840</v>
      </c>
      <c r="J988" s="9">
        <v>0.13300000000000001</v>
      </c>
      <c r="K988" s="9">
        <v>6</v>
      </c>
      <c r="L988" s="40">
        <f t="shared" si="93"/>
        <v>670.31999999999994</v>
      </c>
      <c r="M988" s="8">
        <v>1240</v>
      </c>
      <c r="N988" s="9">
        <v>73.8</v>
      </c>
      <c r="O988" s="9">
        <f t="shared" si="94"/>
        <v>91512</v>
      </c>
      <c r="P988" s="75">
        <f t="shared" si="90"/>
        <v>480.11640950520837</v>
      </c>
      <c r="Q988" s="78">
        <f t="shared" si="95"/>
        <v>99.177982758482642</v>
      </c>
      <c r="R988" s="7" t="s">
        <v>282</v>
      </c>
      <c r="S988" s="80" t="s">
        <v>19</v>
      </c>
      <c r="T988" s="7"/>
      <c r="U988" s="7"/>
    </row>
    <row r="989" spans="1:21" ht="22.8" x14ac:dyDescent="0.3">
      <c r="A989" s="10" t="s">
        <v>279</v>
      </c>
      <c r="B989" s="10" t="s">
        <v>76</v>
      </c>
      <c r="C989" s="37">
        <v>19200000</v>
      </c>
      <c r="D989" s="11">
        <v>2025</v>
      </c>
      <c r="E989" s="10" t="s">
        <v>23</v>
      </c>
      <c r="F989" s="41">
        <f t="shared" si="91"/>
        <v>6.4583333333333333E-3</v>
      </c>
      <c r="G989" s="8">
        <v>8</v>
      </c>
      <c r="H989" s="36">
        <f t="shared" si="92"/>
        <v>136946.49166666667</v>
      </c>
      <c r="I989" s="37">
        <v>1240</v>
      </c>
      <c r="J989" s="12">
        <v>0.13300000000000001</v>
      </c>
      <c r="K989" s="12">
        <v>7</v>
      </c>
      <c r="L989" s="40">
        <f t="shared" si="93"/>
        <v>1154.44</v>
      </c>
      <c r="M989" s="11">
        <v>1840</v>
      </c>
      <c r="N989" s="12">
        <v>73.8</v>
      </c>
      <c r="O989" s="9">
        <f t="shared" si="94"/>
        <v>135792</v>
      </c>
      <c r="P989" s="75">
        <f t="shared" si="90"/>
        <v>713.26297743055557</v>
      </c>
      <c r="Q989" s="78">
        <f t="shared" si="95"/>
        <v>99.920138355743177</v>
      </c>
      <c r="R989" s="10" t="s">
        <v>283</v>
      </c>
      <c r="S989" s="81" t="s">
        <v>25</v>
      </c>
      <c r="T989" s="10" t="s">
        <v>15</v>
      </c>
      <c r="U989" s="10"/>
    </row>
    <row r="990" spans="1:21" x14ac:dyDescent="0.3">
      <c r="A990" s="7" t="s">
        <v>279</v>
      </c>
      <c r="B990" s="7" t="s">
        <v>76</v>
      </c>
      <c r="C990" s="36">
        <v>19200000</v>
      </c>
      <c r="D990" s="8">
        <v>2025</v>
      </c>
      <c r="E990" s="7" t="s">
        <v>26</v>
      </c>
      <c r="F990" s="41">
        <f t="shared" si="91"/>
        <v>14.583333333333334</v>
      </c>
      <c r="G990" s="11">
        <v>6</v>
      </c>
      <c r="H990" s="36">
        <f t="shared" si="92"/>
        <v>1792087.5</v>
      </c>
      <c r="I990" s="36">
        <v>2800000</v>
      </c>
      <c r="J990" s="9">
        <v>0.128</v>
      </c>
      <c r="K990" s="9">
        <v>5</v>
      </c>
      <c r="L990" s="40">
        <f t="shared" si="93"/>
        <v>1792000</v>
      </c>
      <c r="M990" s="8">
        <v>0</v>
      </c>
      <c r="N990" s="9">
        <v>73.8</v>
      </c>
      <c r="O990" s="9">
        <f t="shared" si="94"/>
        <v>0</v>
      </c>
      <c r="P990" s="75">
        <f t="shared" si="90"/>
        <v>9333.7890625</v>
      </c>
      <c r="Q990" s="78">
        <f t="shared" si="95"/>
        <v>100</v>
      </c>
      <c r="R990" s="7" t="s">
        <v>284</v>
      </c>
      <c r="S990" s="80" t="s">
        <v>28</v>
      </c>
      <c r="T990" s="7" t="s">
        <v>83</v>
      </c>
      <c r="U990" s="7"/>
    </row>
    <row r="991" spans="1:21" ht="22.8" x14ac:dyDescent="0.3">
      <c r="A991" s="10" t="s">
        <v>279</v>
      </c>
      <c r="B991" s="10" t="s">
        <v>76</v>
      </c>
      <c r="C991" s="37">
        <v>19200000</v>
      </c>
      <c r="D991" s="11">
        <v>2025</v>
      </c>
      <c r="E991" s="10" t="s">
        <v>30</v>
      </c>
      <c r="F991" s="41">
        <f t="shared" si="91"/>
        <v>3.2291666666666666E-4</v>
      </c>
      <c r="G991" s="17">
        <v>6</v>
      </c>
      <c r="H991" s="36">
        <f t="shared" si="92"/>
        <v>91541.761937499992</v>
      </c>
      <c r="I991" s="37">
        <v>62</v>
      </c>
      <c r="J991" s="12">
        <v>0.12</v>
      </c>
      <c r="K991" s="12">
        <v>4</v>
      </c>
      <c r="L991" s="40">
        <f t="shared" si="93"/>
        <v>29.759999999999998</v>
      </c>
      <c r="M991" s="11">
        <v>1240</v>
      </c>
      <c r="N991" s="12">
        <v>73.8</v>
      </c>
      <c r="O991" s="9">
        <f t="shared" si="94"/>
        <v>91512</v>
      </c>
      <c r="P991" s="75">
        <f t="shared" si="90"/>
        <v>476.78001009114581</v>
      </c>
      <c r="Q991" s="78">
        <f t="shared" si="95"/>
        <v>99.150094332376895</v>
      </c>
      <c r="R991" s="10" t="s">
        <v>285</v>
      </c>
      <c r="S991" s="81" t="s">
        <v>29</v>
      </c>
      <c r="T991" s="10" t="s">
        <v>33</v>
      </c>
      <c r="U991" s="10"/>
    </row>
  </sheetData>
  <hyperlinks>
    <hyperlink ref="V6" r:id="rId1" xr:uid="{48226920-3B18-4333-9D81-0AB945AF897E}"/>
    <hyperlink ref="W6" r:id="rId2" xr:uid="{2299BD26-3EAA-487D-BED1-8829DF9F323C}"/>
    <hyperlink ref="V8" r:id="rId3" xr:uid="{A574BB66-79D8-4CF0-AB55-52E57087A1C1}"/>
    <hyperlink ref="V12" r:id="rId4" xr:uid="{EBAF88A9-5C22-4713-9702-88DFC8A50F53}"/>
    <hyperlink ref="W12" r:id="rId5" xr:uid="{AD9C2289-DCEB-4EEE-9481-51B19A546BF7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B19"/>
  <sheetViews>
    <sheetView zoomScaleNormal="100" workbookViewId="0">
      <selection activeCell="D13" sqref="D13"/>
    </sheetView>
  </sheetViews>
  <sheetFormatPr defaultColWidth="8.6640625" defaultRowHeight="14.4" x14ac:dyDescent="0.3"/>
  <cols>
    <col min="1" max="1" width="28" customWidth="1"/>
    <col min="2" max="2" width="88" customWidth="1"/>
  </cols>
  <sheetData>
    <row r="1" spans="1:2" ht="15.75" customHeight="1" x14ac:dyDescent="0.3">
      <c r="A1" s="101" t="s">
        <v>287</v>
      </c>
      <c r="B1" s="102" t="s">
        <v>288</v>
      </c>
    </row>
    <row r="2" spans="1:2" ht="15.75" customHeight="1" x14ac:dyDescent="0.3">
      <c r="A2" s="101"/>
      <c r="B2" s="102" t="s">
        <v>289</v>
      </c>
    </row>
    <row r="3" spans="1:2" ht="36" customHeight="1" x14ac:dyDescent="0.3">
      <c r="A3" s="101"/>
      <c r="B3" s="102" t="s">
        <v>290</v>
      </c>
    </row>
    <row r="4" spans="1:2" ht="21.75" customHeight="1" x14ac:dyDescent="0.3">
      <c r="A4" s="101"/>
      <c r="B4" s="102" t="s">
        <v>291</v>
      </c>
    </row>
    <row r="5" spans="1:2" ht="15.75" customHeight="1" x14ac:dyDescent="0.3">
      <c r="A5" s="101"/>
      <c r="B5" s="102" t="s">
        <v>292</v>
      </c>
    </row>
    <row r="6" spans="1:2" ht="15.75" customHeight="1" x14ac:dyDescent="0.3"/>
    <row r="7" spans="1:2" ht="15.75" customHeight="1" x14ac:dyDescent="0.3">
      <c r="A7" s="100" t="s">
        <v>691</v>
      </c>
      <c r="B7" s="100" t="s">
        <v>692</v>
      </c>
    </row>
    <row r="8" spans="1:2" ht="15.75" customHeight="1" x14ac:dyDescent="0.3">
      <c r="A8" s="100"/>
      <c r="B8" s="100" t="s">
        <v>693</v>
      </c>
    </row>
    <row r="9" spans="1:2" ht="15.75" customHeight="1" x14ac:dyDescent="0.3">
      <c r="A9" s="100"/>
      <c r="B9" s="100" t="s">
        <v>694</v>
      </c>
    </row>
    <row r="10" spans="1:2" ht="15.75" customHeight="1" x14ac:dyDescent="0.3">
      <c r="A10" s="19"/>
      <c r="B10" s="5"/>
    </row>
    <row r="11" spans="1:2" ht="15.75" customHeight="1" x14ac:dyDescent="0.3">
      <c r="A11" s="19"/>
      <c r="B11" s="5"/>
    </row>
    <row r="12" spans="1:2" ht="15.75" customHeight="1" x14ac:dyDescent="0.3">
      <c r="A12" s="20"/>
      <c r="B12" s="5"/>
    </row>
    <row r="13" spans="1:2" ht="15.75" customHeight="1" x14ac:dyDescent="0.3">
      <c r="A13" s="20"/>
      <c r="B13" s="5"/>
    </row>
    <row r="14" spans="1:2" ht="15.75" customHeight="1" x14ac:dyDescent="0.3">
      <c r="A14" s="20"/>
      <c r="B14" s="5"/>
    </row>
    <row r="15" spans="1:2" ht="15.75" customHeight="1" x14ac:dyDescent="0.3">
      <c r="A15" s="20"/>
      <c r="B15" s="5"/>
    </row>
    <row r="16" spans="1:2" ht="15.75" customHeight="1" x14ac:dyDescent="0.3">
      <c r="A16" s="21"/>
      <c r="B16" s="5"/>
    </row>
    <row r="17" spans="1:1" ht="15.75" customHeight="1" x14ac:dyDescent="0.3">
      <c r="A17" s="22"/>
    </row>
    <row r="18" spans="1:1" ht="15.75" customHeight="1" x14ac:dyDescent="0.3"/>
    <row r="19" spans="1:1" ht="15.7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55A2-EFA7-4B78-BCCC-8075C2D33D99}">
  <sheetPr>
    <tabColor theme="0"/>
  </sheetPr>
  <dimension ref="A1:D43"/>
  <sheetViews>
    <sheetView zoomScaleNormal="100" workbookViewId="0">
      <selection activeCell="N16" sqref="N16"/>
    </sheetView>
  </sheetViews>
  <sheetFormatPr defaultColWidth="8.6640625" defaultRowHeight="14.4" x14ac:dyDescent="0.3"/>
  <cols>
    <col min="1" max="1" width="24" customWidth="1"/>
    <col min="2" max="2" width="22" customWidth="1"/>
    <col min="3" max="3" width="14" customWidth="1"/>
    <col min="4" max="4" width="60" customWidth="1"/>
  </cols>
  <sheetData>
    <row r="1" spans="1:4" ht="30" customHeight="1" x14ac:dyDescent="0.3">
      <c r="A1" s="31" t="s">
        <v>3</v>
      </c>
      <c r="B1" s="31" t="s">
        <v>333</v>
      </c>
      <c r="C1" s="31" t="s">
        <v>364</v>
      </c>
      <c r="D1" s="31" t="s">
        <v>363</v>
      </c>
    </row>
    <row r="2" spans="1:4" ht="21.75" customHeight="1" x14ac:dyDescent="0.3">
      <c r="A2" s="10" t="s">
        <v>11</v>
      </c>
      <c r="B2" s="10" t="s">
        <v>359</v>
      </c>
      <c r="C2" s="30">
        <v>9</v>
      </c>
      <c r="D2" s="10" t="s">
        <v>362</v>
      </c>
    </row>
    <row r="3" spans="1:4" ht="21.75" customHeight="1" x14ac:dyDescent="0.3">
      <c r="A3" s="32" t="s">
        <v>23</v>
      </c>
      <c r="B3" s="32" t="s">
        <v>359</v>
      </c>
      <c r="C3" s="30">
        <v>9</v>
      </c>
      <c r="D3" s="32" t="s">
        <v>362</v>
      </c>
    </row>
    <row r="4" spans="1:4" ht="21.75" customHeight="1" x14ac:dyDescent="0.3">
      <c r="A4" s="10" t="s">
        <v>11</v>
      </c>
      <c r="B4" s="10" t="s">
        <v>358</v>
      </c>
      <c r="C4" s="16">
        <v>8</v>
      </c>
      <c r="D4" s="10" t="s">
        <v>361</v>
      </c>
    </row>
    <row r="5" spans="1:4" ht="21.75" customHeight="1" x14ac:dyDescent="0.3">
      <c r="A5" s="32" t="s">
        <v>11</v>
      </c>
      <c r="B5" s="32" t="s">
        <v>351</v>
      </c>
      <c r="C5" s="16">
        <v>8</v>
      </c>
      <c r="D5" s="32" t="s">
        <v>361</v>
      </c>
    </row>
    <row r="6" spans="1:4" ht="21.75" customHeight="1" x14ac:dyDescent="0.3">
      <c r="A6" s="10" t="s">
        <v>17</v>
      </c>
      <c r="B6" s="10" t="s">
        <v>351</v>
      </c>
      <c r="C6" s="16">
        <v>8</v>
      </c>
      <c r="D6" s="10" t="s">
        <v>361</v>
      </c>
    </row>
    <row r="7" spans="1:4" ht="21.75" customHeight="1" x14ac:dyDescent="0.3">
      <c r="A7" s="32" t="s">
        <v>20</v>
      </c>
      <c r="B7" s="32" t="s">
        <v>359</v>
      </c>
      <c r="C7" s="16">
        <v>8</v>
      </c>
      <c r="D7" s="32" t="s">
        <v>361</v>
      </c>
    </row>
    <row r="8" spans="1:4" ht="21.75" customHeight="1" x14ac:dyDescent="0.3">
      <c r="A8" s="10" t="s">
        <v>23</v>
      </c>
      <c r="B8" s="10" t="s">
        <v>358</v>
      </c>
      <c r="C8" s="16">
        <v>8</v>
      </c>
      <c r="D8" s="10" t="s">
        <v>361</v>
      </c>
    </row>
    <row r="9" spans="1:4" ht="21.75" customHeight="1" x14ac:dyDescent="0.3">
      <c r="A9" s="32" t="s">
        <v>23</v>
      </c>
      <c r="B9" s="32" t="s">
        <v>351</v>
      </c>
      <c r="C9" s="16">
        <v>8</v>
      </c>
      <c r="D9" s="32" t="s">
        <v>361</v>
      </c>
    </row>
    <row r="10" spans="1:4" ht="21.75" customHeight="1" x14ac:dyDescent="0.3">
      <c r="A10" s="10" t="s">
        <v>11</v>
      </c>
      <c r="B10" s="10" t="s">
        <v>355</v>
      </c>
      <c r="C10" s="16">
        <v>7</v>
      </c>
      <c r="D10" s="10" t="s">
        <v>360</v>
      </c>
    </row>
    <row r="11" spans="1:4" ht="21.75" customHeight="1" x14ac:dyDescent="0.3">
      <c r="A11" s="32" t="s">
        <v>11</v>
      </c>
      <c r="B11" s="32" t="s">
        <v>356</v>
      </c>
      <c r="C11" s="16">
        <v>7</v>
      </c>
      <c r="D11" s="32" t="s">
        <v>360</v>
      </c>
    </row>
    <row r="12" spans="1:4" ht="21.75" customHeight="1" x14ac:dyDescent="0.3">
      <c r="A12" s="10" t="s">
        <v>17</v>
      </c>
      <c r="B12" s="10" t="s">
        <v>359</v>
      </c>
      <c r="C12" s="16">
        <v>7</v>
      </c>
      <c r="D12" s="10" t="s">
        <v>360</v>
      </c>
    </row>
    <row r="13" spans="1:4" ht="21.75" customHeight="1" x14ac:dyDescent="0.3">
      <c r="A13" s="32" t="s">
        <v>20</v>
      </c>
      <c r="B13" s="32" t="s">
        <v>358</v>
      </c>
      <c r="C13" s="16">
        <v>7</v>
      </c>
      <c r="D13" s="32" t="s">
        <v>360</v>
      </c>
    </row>
    <row r="14" spans="1:4" ht="21.75" customHeight="1" x14ac:dyDescent="0.3">
      <c r="A14" s="10" t="s">
        <v>20</v>
      </c>
      <c r="B14" s="10" t="s">
        <v>351</v>
      </c>
      <c r="C14" s="16">
        <v>7</v>
      </c>
      <c r="D14" s="10" t="s">
        <v>360</v>
      </c>
    </row>
    <row r="15" spans="1:4" ht="21.75" customHeight="1" x14ac:dyDescent="0.3">
      <c r="A15" s="32" t="s">
        <v>23</v>
      </c>
      <c r="B15" s="32" t="s">
        <v>355</v>
      </c>
      <c r="C15" s="16">
        <v>7</v>
      </c>
      <c r="D15" s="32" t="s">
        <v>360</v>
      </c>
    </row>
    <row r="16" spans="1:4" ht="21.75" customHeight="1" x14ac:dyDescent="0.3">
      <c r="A16" s="10" t="s">
        <v>26</v>
      </c>
      <c r="B16" s="10" t="s">
        <v>356</v>
      </c>
      <c r="C16" s="16">
        <v>7</v>
      </c>
      <c r="D16" s="10" t="s">
        <v>360</v>
      </c>
    </row>
    <row r="17" spans="1:4" ht="21.75" customHeight="1" x14ac:dyDescent="0.3">
      <c r="A17" s="32" t="s">
        <v>26</v>
      </c>
      <c r="B17" s="32" t="s">
        <v>351</v>
      </c>
      <c r="C17" s="16">
        <v>7</v>
      </c>
      <c r="D17" s="32" t="s">
        <v>360</v>
      </c>
    </row>
    <row r="18" spans="1:4" ht="21.75" customHeight="1" x14ac:dyDescent="0.3">
      <c r="A18" s="10" t="s">
        <v>30</v>
      </c>
      <c r="B18" s="10" t="s">
        <v>359</v>
      </c>
      <c r="C18" s="16">
        <v>7</v>
      </c>
      <c r="D18" s="10" t="s">
        <v>360</v>
      </c>
    </row>
    <row r="19" spans="1:4" ht="21.75" customHeight="1" x14ac:dyDescent="0.3">
      <c r="A19" s="32" t="s">
        <v>11</v>
      </c>
      <c r="B19" s="32" t="s">
        <v>353</v>
      </c>
      <c r="C19" s="29">
        <v>6</v>
      </c>
      <c r="D19" s="32" t="s">
        <v>357</v>
      </c>
    </row>
    <row r="20" spans="1:4" ht="21.75" customHeight="1" x14ac:dyDescent="0.3">
      <c r="A20" s="10" t="s">
        <v>17</v>
      </c>
      <c r="B20" s="10" t="s">
        <v>355</v>
      </c>
      <c r="C20" s="29">
        <v>6</v>
      </c>
      <c r="D20" s="10" t="s">
        <v>357</v>
      </c>
    </row>
    <row r="21" spans="1:4" ht="21.75" customHeight="1" x14ac:dyDescent="0.3">
      <c r="A21" s="32" t="s">
        <v>17</v>
      </c>
      <c r="B21" s="32" t="s">
        <v>358</v>
      </c>
      <c r="C21" s="29">
        <v>6</v>
      </c>
      <c r="D21" s="32" t="s">
        <v>357</v>
      </c>
    </row>
    <row r="22" spans="1:4" ht="21.75" customHeight="1" x14ac:dyDescent="0.3">
      <c r="A22" s="10" t="s">
        <v>20</v>
      </c>
      <c r="B22" s="10" t="s">
        <v>355</v>
      </c>
      <c r="C22" s="29">
        <v>6</v>
      </c>
      <c r="D22" s="10" t="s">
        <v>357</v>
      </c>
    </row>
    <row r="23" spans="1:4" ht="21.75" customHeight="1" x14ac:dyDescent="0.3">
      <c r="A23" s="32" t="s">
        <v>20</v>
      </c>
      <c r="B23" s="32" t="s">
        <v>356</v>
      </c>
      <c r="C23" s="29">
        <v>6</v>
      </c>
      <c r="D23" s="32" t="s">
        <v>357</v>
      </c>
    </row>
    <row r="24" spans="1:4" ht="21.75" customHeight="1" x14ac:dyDescent="0.3">
      <c r="A24" s="10" t="s">
        <v>23</v>
      </c>
      <c r="B24" s="10" t="s">
        <v>356</v>
      </c>
      <c r="C24" s="29">
        <v>6</v>
      </c>
      <c r="D24" s="10" t="s">
        <v>357</v>
      </c>
    </row>
    <row r="25" spans="1:4" ht="21.75" customHeight="1" x14ac:dyDescent="0.3">
      <c r="A25" s="32" t="s">
        <v>23</v>
      </c>
      <c r="B25" s="32" t="s">
        <v>353</v>
      </c>
      <c r="C25" s="29">
        <v>6</v>
      </c>
      <c r="D25" s="32" t="s">
        <v>357</v>
      </c>
    </row>
    <row r="26" spans="1:4" ht="21.75" customHeight="1" x14ac:dyDescent="0.3">
      <c r="A26" s="10" t="s">
        <v>26</v>
      </c>
      <c r="B26" s="10" t="s">
        <v>359</v>
      </c>
      <c r="C26" s="29">
        <v>6</v>
      </c>
      <c r="D26" s="10" t="s">
        <v>357</v>
      </c>
    </row>
    <row r="27" spans="1:4" ht="21.75" customHeight="1" x14ac:dyDescent="0.3">
      <c r="A27" s="32" t="s">
        <v>26</v>
      </c>
      <c r="B27" s="32" t="s">
        <v>358</v>
      </c>
      <c r="C27" s="29">
        <v>6</v>
      </c>
      <c r="D27" s="32" t="s">
        <v>357</v>
      </c>
    </row>
    <row r="28" spans="1:4" ht="21.75" customHeight="1" x14ac:dyDescent="0.3">
      <c r="A28" s="10" t="s">
        <v>30</v>
      </c>
      <c r="B28" s="10" t="s">
        <v>358</v>
      </c>
      <c r="C28" s="29">
        <v>6</v>
      </c>
      <c r="D28" s="10" t="s">
        <v>357</v>
      </c>
    </row>
    <row r="29" spans="1:4" ht="21.75" customHeight="1" x14ac:dyDescent="0.3">
      <c r="A29" s="32" t="s">
        <v>30</v>
      </c>
      <c r="B29" s="32" t="s">
        <v>356</v>
      </c>
      <c r="C29" s="29">
        <v>6</v>
      </c>
      <c r="D29" s="32" t="s">
        <v>357</v>
      </c>
    </row>
    <row r="30" spans="1:4" ht="21.75" customHeight="1" x14ac:dyDescent="0.3">
      <c r="A30" s="10" t="s">
        <v>17</v>
      </c>
      <c r="B30" s="10" t="s">
        <v>356</v>
      </c>
      <c r="C30" s="29">
        <v>5</v>
      </c>
      <c r="D30" s="10" t="s">
        <v>354</v>
      </c>
    </row>
    <row r="31" spans="1:4" ht="21.75" customHeight="1" x14ac:dyDescent="0.3">
      <c r="A31" s="32" t="s">
        <v>17</v>
      </c>
      <c r="B31" s="32" t="s">
        <v>353</v>
      </c>
      <c r="C31" s="29">
        <v>5</v>
      </c>
      <c r="D31" s="32" t="s">
        <v>354</v>
      </c>
    </row>
    <row r="32" spans="1:4" ht="21.75" customHeight="1" x14ac:dyDescent="0.3">
      <c r="A32" s="10" t="s">
        <v>20</v>
      </c>
      <c r="B32" s="10" t="s">
        <v>353</v>
      </c>
      <c r="C32" s="29">
        <v>5</v>
      </c>
      <c r="D32" s="10" t="s">
        <v>354</v>
      </c>
    </row>
    <row r="33" spans="1:4" ht="21.75" customHeight="1" x14ac:dyDescent="0.3">
      <c r="A33" s="32" t="s">
        <v>26</v>
      </c>
      <c r="B33" s="32" t="s">
        <v>355</v>
      </c>
      <c r="C33" s="29">
        <v>5</v>
      </c>
      <c r="D33" s="32" t="s">
        <v>354</v>
      </c>
    </row>
    <row r="34" spans="1:4" ht="21.75" customHeight="1" x14ac:dyDescent="0.3">
      <c r="A34" s="10" t="s">
        <v>30</v>
      </c>
      <c r="B34" s="10" t="s">
        <v>355</v>
      </c>
      <c r="C34" s="29">
        <v>5</v>
      </c>
      <c r="D34" s="10" t="s">
        <v>354</v>
      </c>
    </row>
    <row r="35" spans="1:4" ht="21.75" customHeight="1" x14ac:dyDescent="0.3">
      <c r="A35" s="32" t="s">
        <v>30</v>
      </c>
      <c r="B35" s="32" t="s">
        <v>353</v>
      </c>
      <c r="C35" s="29">
        <v>5</v>
      </c>
      <c r="D35" s="32" t="s">
        <v>354</v>
      </c>
    </row>
    <row r="36" spans="1:4" ht="21.75" customHeight="1" x14ac:dyDescent="0.3">
      <c r="A36" s="10" t="s">
        <v>26</v>
      </c>
      <c r="B36" s="10" t="s">
        <v>353</v>
      </c>
      <c r="C36" s="28">
        <v>4</v>
      </c>
      <c r="D36" s="10" t="s">
        <v>352</v>
      </c>
    </row>
    <row r="37" spans="1:4" ht="15" customHeight="1" x14ac:dyDescent="0.3">
      <c r="A37" s="32" t="s">
        <v>30</v>
      </c>
      <c r="B37" s="32" t="s">
        <v>351</v>
      </c>
      <c r="C37" s="28">
        <v>3</v>
      </c>
      <c r="D37" s="32" t="s">
        <v>350</v>
      </c>
    </row>
    <row r="39" spans="1:4" ht="15" customHeight="1" x14ac:dyDescent="0.3">
      <c r="A39" s="27" t="s">
        <v>349</v>
      </c>
    </row>
    <row r="40" spans="1:4" ht="15" customHeight="1" x14ac:dyDescent="0.3">
      <c r="A40" s="26" t="s">
        <v>348</v>
      </c>
    </row>
    <row r="41" spans="1:4" ht="15" customHeight="1" x14ac:dyDescent="0.3">
      <c r="A41" s="25" t="s">
        <v>347</v>
      </c>
    </row>
    <row r="42" spans="1:4" ht="15" customHeight="1" x14ac:dyDescent="0.3">
      <c r="A42" s="24" t="s">
        <v>346</v>
      </c>
    </row>
    <row r="43" spans="1:4" ht="15" customHeight="1" x14ac:dyDescent="0.3">
      <c r="A43" s="23" t="s">
        <v>345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0C9D-846D-4252-A42A-A13143BCEC29}">
  <sheetPr>
    <tabColor theme="5"/>
  </sheetPr>
  <dimension ref="A1:U167"/>
  <sheetViews>
    <sheetView zoomScaleNormal="100" workbookViewId="0">
      <selection activeCell="H18" sqref="H18"/>
    </sheetView>
  </sheetViews>
  <sheetFormatPr defaultColWidth="8.6640625" defaultRowHeight="14.4" x14ac:dyDescent="0.3"/>
  <cols>
    <col min="1" max="1" width="16" customWidth="1"/>
    <col min="2" max="2" width="21.109375" customWidth="1"/>
    <col min="3" max="3" width="13.5546875" style="38" customWidth="1"/>
    <col min="4" max="4" width="7" customWidth="1"/>
    <col min="5" max="5" width="15" customWidth="1"/>
    <col min="6" max="6" width="28.33203125" customWidth="1"/>
    <col min="7" max="7" width="14" customWidth="1"/>
    <col min="8" max="8" width="20" customWidth="1"/>
    <col min="9" max="9" width="12" style="38" customWidth="1"/>
    <col min="10" max="10" width="23" style="17" customWidth="1"/>
    <col min="11" max="11" width="16.5546875" customWidth="1"/>
    <col min="13" max="13" width="9.109375" style="38" bestFit="1" customWidth="1"/>
    <col min="18" max="18" width="36.88671875" customWidth="1"/>
    <col min="19" max="19" width="8.6640625" style="82"/>
  </cols>
  <sheetData>
    <row r="1" spans="1:21" ht="33.75" customHeight="1" x14ac:dyDescent="0.3">
      <c r="A1" s="45" t="s">
        <v>0</v>
      </c>
      <c r="B1" s="45" t="s">
        <v>1</v>
      </c>
      <c r="C1" s="46" t="s">
        <v>4</v>
      </c>
      <c r="D1" s="46" t="s">
        <v>2</v>
      </c>
      <c r="E1" s="45" t="s">
        <v>373</v>
      </c>
      <c r="F1" s="45" t="s">
        <v>333</v>
      </c>
      <c r="G1" s="45" t="s">
        <v>334</v>
      </c>
      <c r="H1" s="46" t="s">
        <v>365</v>
      </c>
      <c r="I1" s="46" t="s">
        <v>690</v>
      </c>
      <c r="J1" s="45" t="s">
        <v>339</v>
      </c>
      <c r="K1" s="45" t="s">
        <v>338</v>
      </c>
      <c r="L1" s="47" t="s">
        <v>337</v>
      </c>
      <c r="M1" s="46" t="s">
        <v>336</v>
      </c>
      <c r="N1" s="45" t="s">
        <v>340</v>
      </c>
      <c r="O1" s="45" t="s">
        <v>341</v>
      </c>
      <c r="P1" s="45" t="s">
        <v>343</v>
      </c>
      <c r="Q1" s="45" t="s">
        <v>286</v>
      </c>
      <c r="R1" s="45" t="s">
        <v>689</v>
      </c>
      <c r="S1" s="45" t="s">
        <v>6</v>
      </c>
      <c r="T1" s="45" t="s">
        <v>7</v>
      </c>
      <c r="U1" s="6" t="s">
        <v>8</v>
      </c>
    </row>
    <row r="2" spans="1:21" ht="13.5" customHeight="1" x14ac:dyDescent="0.3">
      <c r="A2" s="48" t="s">
        <v>9</v>
      </c>
      <c r="B2" s="49" t="s">
        <v>10</v>
      </c>
      <c r="C2" s="104">
        <v>320878310</v>
      </c>
      <c r="D2" s="50">
        <v>2015</v>
      </c>
      <c r="E2" s="50"/>
      <c r="F2" s="49" t="s">
        <v>374</v>
      </c>
      <c r="G2" s="50">
        <v>5</v>
      </c>
      <c r="H2" s="51"/>
      <c r="I2" s="89">
        <v>20500000</v>
      </c>
      <c r="J2" s="52">
        <v>0.32900000000000001</v>
      </c>
      <c r="K2" s="51"/>
      <c r="L2" s="51"/>
      <c r="M2" s="103">
        <v>52404</v>
      </c>
      <c r="N2" s="52">
        <v>73.8</v>
      </c>
      <c r="O2" s="51"/>
      <c r="P2" s="51"/>
      <c r="Q2" s="51"/>
      <c r="R2" s="49" t="s">
        <v>375</v>
      </c>
      <c r="S2" s="83" t="s">
        <v>376</v>
      </c>
      <c r="T2" s="49" t="s">
        <v>22</v>
      </c>
    </row>
    <row r="3" spans="1:21" ht="13.5" customHeight="1" x14ac:dyDescent="0.3">
      <c r="A3" s="48" t="s">
        <v>9</v>
      </c>
      <c r="B3" s="49" t="s">
        <v>10</v>
      </c>
      <c r="C3" s="104">
        <v>323127513</v>
      </c>
      <c r="D3" s="50">
        <v>2016</v>
      </c>
      <c r="E3" s="50"/>
      <c r="F3" s="49" t="s">
        <v>374</v>
      </c>
      <c r="G3" s="50">
        <v>5</v>
      </c>
      <c r="H3" s="51"/>
      <c r="I3" s="89">
        <v>21000000</v>
      </c>
      <c r="J3" s="52">
        <v>0.32900000000000001</v>
      </c>
      <c r="K3" s="51"/>
      <c r="L3" s="51"/>
      <c r="M3" s="103">
        <v>63000</v>
      </c>
      <c r="N3" s="52">
        <v>73.8</v>
      </c>
      <c r="O3" s="51"/>
      <c r="P3" s="51"/>
      <c r="Q3" s="51"/>
      <c r="R3" s="49" t="s">
        <v>688</v>
      </c>
      <c r="S3" s="83" t="s">
        <v>687</v>
      </c>
      <c r="T3" s="49" t="s">
        <v>22</v>
      </c>
    </row>
    <row r="4" spans="1:21" ht="13.5" customHeight="1" x14ac:dyDescent="0.3">
      <c r="A4" s="48" t="s">
        <v>9</v>
      </c>
      <c r="B4" s="49" t="s">
        <v>10</v>
      </c>
      <c r="C4" s="104">
        <v>325084756</v>
      </c>
      <c r="D4" s="50">
        <v>2017</v>
      </c>
      <c r="E4" s="50"/>
      <c r="F4" s="49" t="s">
        <v>374</v>
      </c>
      <c r="G4" s="50">
        <v>5</v>
      </c>
      <c r="H4" s="51"/>
      <c r="I4" s="89">
        <v>19700000</v>
      </c>
      <c r="J4" s="52">
        <v>0.32900000000000001</v>
      </c>
      <c r="K4" s="51"/>
      <c r="L4" s="51"/>
      <c r="M4" s="103">
        <v>70237</v>
      </c>
      <c r="N4" s="52">
        <v>73.8</v>
      </c>
      <c r="O4" s="51"/>
      <c r="P4" s="51"/>
      <c r="Q4" s="51"/>
      <c r="R4" s="49" t="s">
        <v>686</v>
      </c>
      <c r="S4" s="83" t="s">
        <v>685</v>
      </c>
      <c r="T4" s="49" t="s">
        <v>684</v>
      </c>
    </row>
    <row r="5" spans="1:21" ht="13.5" customHeight="1" x14ac:dyDescent="0.3">
      <c r="A5" s="48" t="s">
        <v>9</v>
      </c>
      <c r="B5" s="49" t="s">
        <v>10</v>
      </c>
      <c r="C5" s="104">
        <v>326838199</v>
      </c>
      <c r="D5" s="50">
        <v>2018</v>
      </c>
      <c r="E5" s="50"/>
      <c r="F5" s="49" t="s">
        <v>374</v>
      </c>
      <c r="G5" s="50">
        <v>5</v>
      </c>
      <c r="H5" s="51"/>
      <c r="I5" s="89">
        <v>20300000</v>
      </c>
      <c r="J5" s="52">
        <v>0.32900000000000001</v>
      </c>
      <c r="K5" s="51"/>
      <c r="L5" s="51"/>
      <c r="M5" s="103">
        <v>67367</v>
      </c>
      <c r="N5" s="52">
        <v>73.8</v>
      </c>
      <c r="O5" s="51"/>
      <c r="P5" s="51"/>
      <c r="Q5" s="51"/>
      <c r="R5" s="49" t="s">
        <v>683</v>
      </c>
      <c r="S5" s="83" t="s">
        <v>682</v>
      </c>
      <c r="T5" s="49" t="s">
        <v>22</v>
      </c>
    </row>
    <row r="6" spans="1:21" ht="13.5" customHeight="1" x14ac:dyDescent="0.3">
      <c r="A6" s="48" t="s">
        <v>9</v>
      </c>
      <c r="B6" s="49" t="s">
        <v>10</v>
      </c>
      <c r="C6" s="104">
        <v>328329953</v>
      </c>
      <c r="D6" s="50">
        <v>2019</v>
      </c>
      <c r="E6" s="50"/>
      <c r="F6" s="49" t="s">
        <v>374</v>
      </c>
      <c r="G6" s="50">
        <v>5</v>
      </c>
      <c r="H6" s="51"/>
      <c r="I6" s="89">
        <v>20400000</v>
      </c>
      <c r="J6" s="52">
        <v>0.32900000000000001</v>
      </c>
      <c r="K6" s="51"/>
      <c r="L6" s="51"/>
      <c r="M6" s="103">
        <v>70630</v>
      </c>
      <c r="N6" s="52">
        <v>73.8</v>
      </c>
      <c r="O6" s="51"/>
      <c r="P6" s="51"/>
      <c r="Q6" s="51"/>
      <c r="R6" s="49" t="s">
        <v>681</v>
      </c>
      <c r="S6" s="83" t="s">
        <v>680</v>
      </c>
      <c r="T6" s="49" t="s">
        <v>22</v>
      </c>
    </row>
    <row r="7" spans="1:21" ht="13.5" customHeight="1" x14ac:dyDescent="0.3">
      <c r="A7" s="53" t="s">
        <v>9</v>
      </c>
      <c r="B7" s="49" t="s">
        <v>10</v>
      </c>
      <c r="C7" s="90">
        <v>329484123</v>
      </c>
      <c r="D7" s="54">
        <v>2020</v>
      </c>
      <c r="E7" s="54"/>
      <c r="F7" s="55" t="s">
        <v>379</v>
      </c>
      <c r="G7" s="54">
        <v>6</v>
      </c>
      <c r="H7" s="51"/>
      <c r="I7" s="90">
        <v>19800000</v>
      </c>
      <c r="J7" s="52">
        <v>0.13300000000000001</v>
      </c>
      <c r="K7" s="51"/>
      <c r="L7" s="51"/>
      <c r="M7" s="103">
        <v>385343</v>
      </c>
      <c r="N7" s="52">
        <v>73.8</v>
      </c>
      <c r="O7" s="51"/>
      <c r="P7" s="51"/>
      <c r="Q7" s="51"/>
      <c r="R7" s="55" t="s">
        <v>679</v>
      </c>
      <c r="S7" s="84" t="s">
        <v>678</v>
      </c>
      <c r="T7" s="55" t="s">
        <v>306</v>
      </c>
    </row>
    <row r="8" spans="1:21" ht="13.5" customHeight="1" x14ac:dyDescent="0.3">
      <c r="A8" s="53" t="s">
        <v>9</v>
      </c>
      <c r="B8" s="49" t="s">
        <v>10</v>
      </c>
      <c r="C8" s="90">
        <v>331893745</v>
      </c>
      <c r="D8" s="54">
        <v>2021</v>
      </c>
      <c r="E8" s="54"/>
      <c r="F8" s="55" t="s">
        <v>379</v>
      </c>
      <c r="G8" s="54">
        <v>6</v>
      </c>
      <c r="H8" s="51"/>
      <c r="I8" s="90">
        <v>33500000</v>
      </c>
      <c r="J8" s="52">
        <v>0.13300000000000001</v>
      </c>
      <c r="K8" s="51"/>
      <c r="L8" s="51"/>
      <c r="M8" s="103">
        <v>461823</v>
      </c>
      <c r="N8" s="52">
        <v>73.8</v>
      </c>
      <c r="O8" s="51"/>
      <c r="P8" s="51"/>
      <c r="Q8" s="51"/>
      <c r="R8" s="55" t="s">
        <v>677</v>
      </c>
      <c r="S8" s="84" t="s">
        <v>676</v>
      </c>
      <c r="T8" s="55" t="s">
        <v>306</v>
      </c>
    </row>
    <row r="9" spans="1:21" ht="16.5" customHeight="1" x14ac:dyDescent="0.3">
      <c r="A9" s="53" t="s">
        <v>9</v>
      </c>
      <c r="B9" s="49" t="s">
        <v>10</v>
      </c>
      <c r="C9" s="90">
        <v>333271411</v>
      </c>
      <c r="D9" s="54">
        <v>2022</v>
      </c>
      <c r="E9" s="54"/>
      <c r="F9" s="55" t="s">
        <v>675</v>
      </c>
      <c r="G9" s="54">
        <v>6</v>
      </c>
      <c r="H9" s="51"/>
      <c r="I9" s="90">
        <v>24000000</v>
      </c>
      <c r="J9" s="52">
        <v>0.2</v>
      </c>
      <c r="K9" s="51"/>
      <c r="L9" s="51"/>
      <c r="M9" s="103">
        <v>109680</v>
      </c>
      <c r="N9" s="52">
        <v>73.8</v>
      </c>
      <c r="O9" s="51"/>
      <c r="P9" s="51"/>
      <c r="Q9" s="51"/>
      <c r="R9" s="55" t="s">
        <v>674</v>
      </c>
      <c r="S9" s="84" t="s">
        <v>673</v>
      </c>
      <c r="T9" s="55" t="s">
        <v>306</v>
      </c>
    </row>
    <row r="10" spans="1:21" ht="13.5" customHeight="1" x14ac:dyDescent="0.3">
      <c r="A10" s="48" t="s">
        <v>9</v>
      </c>
      <c r="B10" s="49" t="s">
        <v>10</v>
      </c>
      <c r="C10" s="104">
        <v>334914895</v>
      </c>
      <c r="D10" s="50">
        <v>2023</v>
      </c>
      <c r="E10" s="50"/>
      <c r="F10" s="49" t="s">
        <v>374</v>
      </c>
      <c r="G10" s="50">
        <v>5</v>
      </c>
      <c r="H10" s="51"/>
      <c r="I10" s="89">
        <v>48700000</v>
      </c>
      <c r="J10" s="52">
        <v>0.32900000000000001</v>
      </c>
      <c r="K10" s="51"/>
      <c r="L10" s="51"/>
      <c r="M10" s="103">
        <v>112000</v>
      </c>
      <c r="N10" s="52">
        <v>73.8</v>
      </c>
      <c r="O10" s="51"/>
      <c r="P10" s="51"/>
      <c r="Q10" s="51"/>
      <c r="R10" s="49" t="s">
        <v>672</v>
      </c>
      <c r="S10" s="83" t="s">
        <v>671</v>
      </c>
      <c r="T10" s="49" t="s">
        <v>668</v>
      </c>
    </row>
    <row r="11" spans="1:21" ht="13.5" customHeight="1" x14ac:dyDescent="0.3">
      <c r="A11" s="48" t="s">
        <v>9</v>
      </c>
      <c r="B11" s="49" t="s">
        <v>10</v>
      </c>
      <c r="C11" s="104">
        <v>336597624</v>
      </c>
      <c r="D11" s="50">
        <v>2024</v>
      </c>
      <c r="E11" s="50"/>
      <c r="F11" s="49" t="s">
        <v>374</v>
      </c>
      <c r="G11" s="50">
        <v>5</v>
      </c>
      <c r="H11" s="51"/>
      <c r="I11" s="89">
        <v>48700000</v>
      </c>
      <c r="J11" s="52">
        <v>0.32900000000000001</v>
      </c>
      <c r="K11" s="51"/>
      <c r="L11" s="51"/>
      <c r="M11" s="103">
        <v>101000</v>
      </c>
      <c r="N11" s="52">
        <v>73.8</v>
      </c>
      <c r="O11" s="51"/>
      <c r="P11" s="51"/>
      <c r="Q11" s="51"/>
      <c r="R11" s="49" t="s">
        <v>670</v>
      </c>
      <c r="S11" s="83" t="s">
        <v>669</v>
      </c>
      <c r="T11" s="49" t="s">
        <v>668</v>
      </c>
    </row>
    <row r="12" spans="1:21" ht="13.5" customHeight="1" x14ac:dyDescent="0.3">
      <c r="A12" s="53" t="s">
        <v>9</v>
      </c>
      <c r="B12" s="49" t="s">
        <v>10</v>
      </c>
      <c r="C12" s="90">
        <v>338289857</v>
      </c>
      <c r="D12" s="54">
        <v>2025</v>
      </c>
      <c r="E12" s="54"/>
      <c r="F12" s="55" t="s">
        <v>379</v>
      </c>
      <c r="G12" s="54">
        <v>4</v>
      </c>
      <c r="H12" s="51"/>
      <c r="I12" s="91">
        <v>1200</v>
      </c>
      <c r="J12" s="52">
        <v>0.13300000000000001</v>
      </c>
      <c r="K12" s="51"/>
      <c r="L12" s="51"/>
      <c r="M12" s="103">
        <v>3</v>
      </c>
      <c r="N12" s="52">
        <v>73.8</v>
      </c>
      <c r="O12" s="51"/>
      <c r="P12" s="51"/>
      <c r="Q12" s="51"/>
      <c r="R12" s="55" t="s">
        <v>667</v>
      </c>
      <c r="S12" s="84" t="s">
        <v>666</v>
      </c>
      <c r="T12" s="55" t="s">
        <v>665</v>
      </c>
    </row>
    <row r="13" spans="1:21" ht="13.5" customHeight="1" x14ac:dyDescent="0.3">
      <c r="A13" s="53" t="s">
        <v>75</v>
      </c>
      <c r="B13" s="10" t="s">
        <v>76</v>
      </c>
      <c r="C13" s="37">
        <v>181137448</v>
      </c>
      <c r="D13" s="54">
        <v>2015</v>
      </c>
      <c r="E13" s="54"/>
      <c r="F13" s="55" t="s">
        <v>379</v>
      </c>
      <c r="G13" s="54">
        <v>6</v>
      </c>
      <c r="H13" s="51"/>
      <c r="I13" s="90">
        <v>3500</v>
      </c>
      <c r="J13" s="52">
        <v>0.247</v>
      </c>
      <c r="K13" s="51" t="s">
        <v>664</v>
      </c>
      <c r="L13" s="51"/>
      <c r="M13" s="103">
        <v>120</v>
      </c>
      <c r="N13" s="52">
        <v>73.8</v>
      </c>
      <c r="O13" s="51"/>
      <c r="P13" s="51"/>
      <c r="Q13" s="51"/>
      <c r="R13" s="55" t="s">
        <v>663</v>
      </c>
      <c r="S13" s="84" t="s">
        <v>662</v>
      </c>
      <c r="T13" s="55" t="s">
        <v>660</v>
      </c>
    </row>
    <row r="14" spans="1:21" ht="13.5" customHeight="1" x14ac:dyDescent="0.3">
      <c r="A14" s="53" t="s">
        <v>75</v>
      </c>
      <c r="B14" s="7" t="s">
        <v>76</v>
      </c>
      <c r="C14" s="36">
        <v>185960289</v>
      </c>
      <c r="D14" s="54">
        <v>2016</v>
      </c>
      <c r="E14" s="54"/>
      <c r="F14" s="55" t="s">
        <v>379</v>
      </c>
      <c r="G14" s="54">
        <v>6</v>
      </c>
      <c r="H14" s="51"/>
      <c r="I14" s="90">
        <v>4200</v>
      </c>
      <c r="J14" s="52">
        <v>0.247</v>
      </c>
      <c r="K14" s="51"/>
      <c r="L14" s="51"/>
      <c r="M14" s="103">
        <v>180</v>
      </c>
      <c r="N14" s="52">
        <v>73.8</v>
      </c>
      <c r="O14" s="51"/>
      <c r="P14" s="51"/>
      <c r="Q14" s="51"/>
      <c r="R14" s="55" t="s">
        <v>661</v>
      </c>
      <c r="S14" s="84" t="s">
        <v>417</v>
      </c>
      <c r="T14" s="55" t="s">
        <v>660</v>
      </c>
    </row>
    <row r="15" spans="1:21" ht="13.5" customHeight="1" x14ac:dyDescent="0.3">
      <c r="A15" s="53" t="s">
        <v>75</v>
      </c>
      <c r="B15" s="10" t="s">
        <v>76</v>
      </c>
      <c r="C15" s="37">
        <v>190873311</v>
      </c>
      <c r="D15" s="54">
        <v>2017</v>
      </c>
      <c r="E15" s="54"/>
      <c r="F15" s="55" t="s">
        <v>379</v>
      </c>
      <c r="G15" s="54">
        <v>7</v>
      </c>
      <c r="H15" s="51"/>
      <c r="I15" s="90">
        <v>22000</v>
      </c>
      <c r="J15" s="52">
        <v>0.247</v>
      </c>
      <c r="K15" s="51"/>
      <c r="L15" s="51"/>
      <c r="M15" s="103">
        <v>1166</v>
      </c>
      <c r="N15" s="52">
        <v>73.8</v>
      </c>
      <c r="O15" s="51"/>
      <c r="P15" s="51"/>
      <c r="Q15" s="51"/>
      <c r="R15" s="55" t="s">
        <v>659</v>
      </c>
      <c r="S15" s="84" t="s">
        <v>658</v>
      </c>
      <c r="T15" s="55" t="s">
        <v>22</v>
      </c>
    </row>
    <row r="16" spans="1:21" ht="13.5" customHeight="1" x14ac:dyDescent="0.3">
      <c r="A16" s="53" t="s">
        <v>75</v>
      </c>
      <c r="B16" s="7" t="s">
        <v>76</v>
      </c>
      <c r="C16" s="36">
        <v>195874740</v>
      </c>
      <c r="D16" s="54">
        <v>2018</v>
      </c>
      <c r="E16" s="54"/>
      <c r="F16" s="55" t="s">
        <v>379</v>
      </c>
      <c r="G16" s="54">
        <v>6</v>
      </c>
      <c r="H16" s="51"/>
      <c r="I16" s="90">
        <v>4000</v>
      </c>
      <c r="J16" s="52">
        <v>0.247</v>
      </c>
      <c r="K16" s="51"/>
      <c r="L16" s="51"/>
      <c r="M16" s="103">
        <v>145</v>
      </c>
      <c r="N16" s="52">
        <v>73.8</v>
      </c>
      <c r="O16" s="51"/>
      <c r="P16" s="51"/>
      <c r="Q16" s="51"/>
      <c r="R16" s="55" t="s">
        <v>657</v>
      </c>
      <c r="S16" s="84" t="s">
        <v>656</v>
      </c>
      <c r="T16" s="55"/>
    </row>
    <row r="17" spans="1:20" ht="13.5" customHeight="1" x14ac:dyDescent="0.3">
      <c r="A17" s="53" t="s">
        <v>75</v>
      </c>
      <c r="B17" s="10" t="s">
        <v>76</v>
      </c>
      <c r="C17" s="37">
        <v>200963599</v>
      </c>
      <c r="D17" s="54">
        <v>2019</v>
      </c>
      <c r="E17" s="54"/>
      <c r="F17" s="55" t="s">
        <v>379</v>
      </c>
      <c r="G17" s="54">
        <v>6</v>
      </c>
      <c r="H17" s="51"/>
      <c r="I17" s="90">
        <v>4731</v>
      </c>
      <c r="J17" s="52">
        <v>0.247</v>
      </c>
      <c r="K17" s="51"/>
      <c r="L17" s="51"/>
      <c r="M17" s="103">
        <v>220</v>
      </c>
      <c r="N17" s="52">
        <v>73.8</v>
      </c>
      <c r="O17" s="51"/>
      <c r="P17" s="51"/>
      <c r="Q17" s="51"/>
      <c r="R17" s="55" t="s">
        <v>655</v>
      </c>
      <c r="S17" s="84" t="s">
        <v>654</v>
      </c>
      <c r="T17" s="55"/>
    </row>
    <row r="18" spans="1:20" ht="13.5" customHeight="1" x14ac:dyDescent="0.3">
      <c r="A18" s="53" t="s">
        <v>75</v>
      </c>
      <c r="B18" s="10" t="s">
        <v>76</v>
      </c>
      <c r="C18" s="37">
        <v>206139587</v>
      </c>
      <c r="D18" s="54">
        <v>2020</v>
      </c>
      <c r="E18" s="54"/>
      <c r="F18" s="55" t="s">
        <v>379</v>
      </c>
      <c r="G18" s="54">
        <v>7</v>
      </c>
      <c r="H18" s="51"/>
      <c r="I18" s="90">
        <v>65000</v>
      </c>
      <c r="J18" s="52">
        <v>0.13300000000000001</v>
      </c>
      <c r="K18" s="51"/>
      <c r="L18" s="51"/>
      <c r="M18" s="103">
        <v>1200</v>
      </c>
      <c r="N18" s="52">
        <v>73.8</v>
      </c>
      <c r="O18" s="51"/>
      <c r="P18" s="51"/>
      <c r="Q18" s="51"/>
      <c r="R18" s="55" t="s">
        <v>653</v>
      </c>
      <c r="S18" s="84" t="s">
        <v>652</v>
      </c>
      <c r="T18" s="55" t="s">
        <v>306</v>
      </c>
    </row>
    <row r="19" spans="1:20" ht="13.5" customHeight="1" x14ac:dyDescent="0.3">
      <c r="A19" s="53" t="s">
        <v>75</v>
      </c>
      <c r="B19" s="7" t="s">
        <v>76</v>
      </c>
      <c r="C19" s="36">
        <v>211400708</v>
      </c>
      <c r="D19" s="54">
        <v>2021</v>
      </c>
      <c r="E19" s="54"/>
      <c r="F19" s="55" t="s">
        <v>379</v>
      </c>
      <c r="G19" s="54">
        <v>6</v>
      </c>
      <c r="H19" s="51"/>
      <c r="I19" s="90">
        <v>72000</v>
      </c>
      <c r="J19" s="52">
        <v>0.13300000000000001</v>
      </c>
      <c r="K19" s="51"/>
      <c r="L19" s="51"/>
      <c r="M19" s="103">
        <v>2070</v>
      </c>
      <c r="N19" s="52">
        <v>73.8</v>
      </c>
      <c r="O19" s="51"/>
      <c r="P19" s="51"/>
      <c r="Q19" s="51"/>
      <c r="R19" s="55" t="s">
        <v>651</v>
      </c>
      <c r="S19" s="84" t="s">
        <v>650</v>
      </c>
      <c r="T19" s="55" t="s">
        <v>306</v>
      </c>
    </row>
    <row r="20" spans="1:20" ht="13.5" customHeight="1" x14ac:dyDescent="0.3">
      <c r="A20" s="53" t="s">
        <v>75</v>
      </c>
      <c r="B20" s="7" t="s">
        <v>76</v>
      </c>
      <c r="C20" s="36">
        <v>216746934</v>
      </c>
      <c r="D20" s="54">
        <v>2022</v>
      </c>
      <c r="E20" s="54"/>
      <c r="F20" s="55" t="s">
        <v>379</v>
      </c>
      <c r="G20" s="54">
        <v>7</v>
      </c>
      <c r="H20" s="51"/>
      <c r="I20" s="90">
        <v>95480</v>
      </c>
      <c r="J20" s="52">
        <v>0.247</v>
      </c>
      <c r="K20" s="51"/>
      <c r="L20" s="51"/>
      <c r="M20" s="103">
        <v>3617</v>
      </c>
      <c r="N20" s="52">
        <v>73.8</v>
      </c>
      <c r="O20" s="51"/>
      <c r="P20" s="51"/>
      <c r="Q20" s="51"/>
      <c r="R20" s="55" t="s">
        <v>649</v>
      </c>
      <c r="S20" s="84" t="s">
        <v>648</v>
      </c>
      <c r="T20" s="55"/>
    </row>
    <row r="21" spans="1:20" ht="13.5" customHeight="1" x14ac:dyDescent="0.3">
      <c r="A21" s="53" t="s">
        <v>75</v>
      </c>
      <c r="B21" s="7" t="s">
        <v>76</v>
      </c>
      <c r="C21" s="36">
        <v>222179671</v>
      </c>
      <c r="D21" s="54">
        <v>2023</v>
      </c>
      <c r="E21" s="54"/>
      <c r="F21" s="55" t="s">
        <v>379</v>
      </c>
      <c r="G21" s="54">
        <v>7</v>
      </c>
      <c r="H21" s="51"/>
      <c r="I21" s="90">
        <v>116000</v>
      </c>
      <c r="J21" s="52">
        <v>0.247</v>
      </c>
      <c r="K21" s="51"/>
      <c r="L21" s="51"/>
      <c r="M21" s="103">
        <v>4200</v>
      </c>
      <c r="N21" s="52">
        <v>73.8</v>
      </c>
      <c r="O21" s="51"/>
      <c r="P21" s="51"/>
      <c r="Q21" s="51"/>
      <c r="R21" s="55" t="s">
        <v>647</v>
      </c>
      <c r="S21" s="84" t="s">
        <v>646</v>
      </c>
      <c r="T21" s="55"/>
    </row>
    <row r="22" spans="1:20" ht="13.5" customHeight="1" x14ac:dyDescent="0.3">
      <c r="A22" s="53" t="s">
        <v>75</v>
      </c>
      <c r="B22" s="10" t="s">
        <v>76</v>
      </c>
      <c r="C22" s="37">
        <v>227692786</v>
      </c>
      <c r="D22" s="54">
        <v>2024</v>
      </c>
      <c r="E22" s="54"/>
      <c r="F22" s="55" t="s">
        <v>379</v>
      </c>
      <c r="G22" s="54">
        <v>6</v>
      </c>
      <c r="H22" s="51"/>
      <c r="I22" s="90">
        <v>8000</v>
      </c>
      <c r="J22" s="52">
        <v>0.247</v>
      </c>
      <c r="K22" s="51"/>
      <c r="L22" s="51"/>
      <c r="M22" s="103">
        <v>300</v>
      </c>
      <c r="N22" s="52">
        <v>73.8</v>
      </c>
      <c r="O22" s="51"/>
      <c r="P22" s="51"/>
      <c r="Q22" s="51"/>
      <c r="R22" s="55" t="s">
        <v>645</v>
      </c>
      <c r="S22" s="84" t="s">
        <v>644</v>
      </c>
      <c r="T22" s="55"/>
    </row>
    <row r="23" spans="1:20" ht="13.5" customHeight="1" x14ac:dyDescent="0.3">
      <c r="A23" s="53" t="s">
        <v>75</v>
      </c>
      <c r="B23" s="7" t="s">
        <v>76</v>
      </c>
      <c r="C23" s="36">
        <v>233476921</v>
      </c>
      <c r="D23" s="54">
        <v>2025</v>
      </c>
      <c r="E23" s="54"/>
      <c r="F23" s="55" t="s">
        <v>379</v>
      </c>
      <c r="G23" s="54">
        <v>5</v>
      </c>
      <c r="H23" s="51"/>
      <c r="I23" s="90">
        <v>4000</v>
      </c>
      <c r="J23" s="52">
        <v>0.247</v>
      </c>
      <c r="K23" s="51"/>
      <c r="L23" s="51"/>
      <c r="M23" s="103">
        <v>150</v>
      </c>
      <c r="N23" s="52">
        <v>73.8</v>
      </c>
      <c r="O23" s="51"/>
      <c r="P23" s="51"/>
      <c r="Q23" s="51"/>
      <c r="R23" s="55" t="s">
        <v>643</v>
      </c>
      <c r="S23" s="84" t="s">
        <v>642</v>
      </c>
      <c r="T23" s="55"/>
    </row>
    <row r="24" spans="1:20" ht="13.5" customHeight="1" x14ac:dyDescent="0.3">
      <c r="A24" s="53" t="s">
        <v>96</v>
      </c>
      <c r="B24" s="7" t="s">
        <v>76</v>
      </c>
      <c r="C24" s="36">
        <v>11369071</v>
      </c>
      <c r="D24" s="54">
        <v>2015</v>
      </c>
      <c r="E24" s="54"/>
      <c r="F24" s="55" t="s">
        <v>379</v>
      </c>
      <c r="G24" s="56">
        <v>5</v>
      </c>
      <c r="H24" s="51"/>
      <c r="I24" s="90">
        <v>2800000</v>
      </c>
      <c r="J24" s="52">
        <v>0.19</v>
      </c>
      <c r="K24" s="51"/>
      <c r="L24" s="51"/>
      <c r="M24" s="103">
        <v>3000</v>
      </c>
      <c r="N24" s="52">
        <v>73.8</v>
      </c>
      <c r="O24" s="51"/>
      <c r="P24" s="51"/>
      <c r="Q24" s="51"/>
      <c r="R24" s="55" t="s">
        <v>641</v>
      </c>
      <c r="S24" s="84" t="s">
        <v>639</v>
      </c>
      <c r="T24" s="55" t="s">
        <v>22</v>
      </c>
    </row>
    <row r="25" spans="1:20" ht="13.5" customHeight="1" x14ac:dyDescent="0.3">
      <c r="A25" s="53" t="s">
        <v>96</v>
      </c>
      <c r="B25" s="7" t="s">
        <v>76</v>
      </c>
      <c r="C25" s="36">
        <v>11668818</v>
      </c>
      <c r="D25" s="54">
        <v>2016</v>
      </c>
      <c r="E25" s="54"/>
      <c r="F25" s="55" t="s">
        <v>379</v>
      </c>
      <c r="G25" s="56">
        <v>5</v>
      </c>
      <c r="H25" s="51"/>
      <c r="I25" s="90">
        <v>2600000</v>
      </c>
      <c r="J25" s="52">
        <v>0.19</v>
      </c>
      <c r="K25" s="51"/>
      <c r="L25" s="51"/>
      <c r="M25" s="103">
        <v>2800</v>
      </c>
      <c r="N25" s="52">
        <v>73.8</v>
      </c>
      <c r="O25" s="51"/>
      <c r="P25" s="51"/>
      <c r="Q25" s="51"/>
      <c r="R25" s="55" t="s">
        <v>640</v>
      </c>
      <c r="S25" s="84" t="s">
        <v>639</v>
      </c>
      <c r="T25" s="55"/>
    </row>
    <row r="26" spans="1:20" ht="13.5" customHeight="1" x14ac:dyDescent="0.3">
      <c r="A26" s="53" t="s">
        <v>96</v>
      </c>
      <c r="B26" s="7" t="s">
        <v>76</v>
      </c>
      <c r="C26" s="36">
        <v>11980937</v>
      </c>
      <c r="D26" s="54">
        <v>2017</v>
      </c>
      <c r="E26" s="54"/>
      <c r="F26" s="55" t="s">
        <v>379</v>
      </c>
      <c r="G26" s="56">
        <v>5</v>
      </c>
      <c r="H26" s="51"/>
      <c r="I26" s="90">
        <v>2700000</v>
      </c>
      <c r="J26" s="52">
        <v>0.19</v>
      </c>
      <c r="K26" s="51"/>
      <c r="L26" s="51"/>
      <c r="M26" s="103">
        <v>2900</v>
      </c>
      <c r="N26" s="52">
        <v>73.8</v>
      </c>
      <c r="O26" s="51"/>
      <c r="P26" s="51"/>
      <c r="Q26" s="51"/>
      <c r="R26" s="55" t="s">
        <v>638</v>
      </c>
      <c r="S26" s="84" t="s">
        <v>415</v>
      </c>
      <c r="T26" s="55" t="s">
        <v>626</v>
      </c>
    </row>
    <row r="27" spans="1:20" ht="13.5" customHeight="1" x14ac:dyDescent="0.3">
      <c r="A27" s="53" t="s">
        <v>96</v>
      </c>
      <c r="B27" s="7" t="s">
        <v>76</v>
      </c>
      <c r="C27" s="36">
        <v>12301939</v>
      </c>
      <c r="D27" s="54">
        <v>2018</v>
      </c>
      <c r="E27" s="54"/>
      <c r="F27" s="55" t="s">
        <v>379</v>
      </c>
      <c r="G27" s="56">
        <v>5</v>
      </c>
      <c r="H27" s="51"/>
      <c r="I27" s="90">
        <v>2500000</v>
      </c>
      <c r="J27" s="99">
        <v>0.19</v>
      </c>
      <c r="K27" s="51"/>
      <c r="L27" s="51"/>
      <c r="M27" s="103">
        <v>2600</v>
      </c>
      <c r="N27" s="52">
        <v>73.8</v>
      </c>
      <c r="O27" s="51"/>
      <c r="P27" s="51"/>
      <c r="Q27" s="51"/>
      <c r="R27" s="55" t="s">
        <v>637</v>
      </c>
      <c r="S27" s="84" t="s">
        <v>306</v>
      </c>
      <c r="T27" s="55"/>
    </row>
    <row r="28" spans="1:20" ht="13.5" customHeight="1" x14ac:dyDescent="0.3">
      <c r="A28" s="53" t="s">
        <v>96</v>
      </c>
      <c r="B28" s="7" t="s">
        <v>76</v>
      </c>
      <c r="C28" s="36">
        <v>12626950</v>
      </c>
      <c r="D28" s="54">
        <v>2019</v>
      </c>
      <c r="E28" s="54"/>
      <c r="F28" s="55" t="s">
        <v>379</v>
      </c>
      <c r="G28" s="54">
        <v>5</v>
      </c>
      <c r="H28" s="51"/>
      <c r="I28" s="90">
        <v>2400000</v>
      </c>
      <c r="J28" s="52">
        <v>0.19</v>
      </c>
      <c r="K28" s="51"/>
      <c r="L28" s="51"/>
      <c r="M28" s="103">
        <v>2400</v>
      </c>
      <c r="N28" s="52">
        <v>73.8</v>
      </c>
      <c r="O28" s="51"/>
      <c r="P28" s="51"/>
      <c r="Q28" s="51"/>
      <c r="R28" s="55" t="s">
        <v>636</v>
      </c>
      <c r="S28" s="84" t="s">
        <v>411</v>
      </c>
      <c r="T28" s="55" t="s">
        <v>626</v>
      </c>
    </row>
    <row r="29" spans="1:20" ht="13.5" customHeight="1" x14ac:dyDescent="0.3">
      <c r="A29" s="53" t="s">
        <v>96</v>
      </c>
      <c r="B29" s="7" t="s">
        <v>76</v>
      </c>
      <c r="C29" s="36">
        <v>12951934</v>
      </c>
      <c r="D29" s="54">
        <v>2020</v>
      </c>
      <c r="E29" s="54"/>
      <c r="F29" s="55" t="s">
        <v>379</v>
      </c>
      <c r="G29" s="54">
        <v>5</v>
      </c>
      <c r="H29" s="51"/>
      <c r="I29" s="90">
        <v>1800000</v>
      </c>
      <c r="J29" s="52">
        <v>0.13300000000000001</v>
      </c>
      <c r="K29" s="51"/>
      <c r="L29" s="51"/>
      <c r="M29" s="103">
        <v>1400</v>
      </c>
      <c r="N29" s="52">
        <v>73.8</v>
      </c>
      <c r="O29" s="51"/>
      <c r="P29" s="51"/>
      <c r="Q29" s="51"/>
      <c r="R29" s="55" t="s">
        <v>635</v>
      </c>
      <c r="S29" s="84" t="s">
        <v>634</v>
      </c>
      <c r="T29" s="55" t="s">
        <v>306</v>
      </c>
    </row>
    <row r="30" spans="1:20" ht="13.5" customHeight="1" x14ac:dyDescent="0.3">
      <c r="A30" s="53" t="s">
        <v>96</v>
      </c>
      <c r="B30" s="7" t="s">
        <v>76</v>
      </c>
      <c r="C30" s="36">
        <v>13276513</v>
      </c>
      <c r="D30" s="54">
        <v>2021</v>
      </c>
      <c r="E30" s="54"/>
      <c r="F30" s="55" t="s">
        <v>379</v>
      </c>
      <c r="G30" s="54">
        <v>5</v>
      </c>
      <c r="H30" s="51"/>
      <c r="I30" s="90">
        <v>2200000</v>
      </c>
      <c r="J30" s="52">
        <v>0.13300000000000001</v>
      </c>
      <c r="K30" s="51"/>
      <c r="L30" s="51"/>
      <c r="M30" s="103">
        <v>1600</v>
      </c>
      <c r="N30" s="52">
        <v>73.8</v>
      </c>
      <c r="O30" s="51"/>
      <c r="P30" s="51"/>
      <c r="Q30" s="51"/>
      <c r="R30" s="55" t="s">
        <v>633</v>
      </c>
      <c r="S30" s="84" t="s">
        <v>632</v>
      </c>
      <c r="T30" s="55" t="s">
        <v>306</v>
      </c>
    </row>
    <row r="31" spans="1:20" ht="13.5" customHeight="1" x14ac:dyDescent="0.3">
      <c r="A31" s="53" t="s">
        <v>96</v>
      </c>
      <c r="B31" s="7" t="s">
        <v>76</v>
      </c>
      <c r="C31" s="36">
        <v>13600464</v>
      </c>
      <c r="D31" s="54">
        <v>2022</v>
      </c>
      <c r="E31" s="54"/>
      <c r="F31" s="55" t="s">
        <v>379</v>
      </c>
      <c r="G31" s="54">
        <v>6</v>
      </c>
      <c r="H31" s="51"/>
      <c r="I31" s="90">
        <v>2000000</v>
      </c>
      <c r="J31" s="52">
        <v>0.19</v>
      </c>
      <c r="K31" s="51"/>
      <c r="L31" s="51"/>
      <c r="M31" s="103">
        <v>1900</v>
      </c>
      <c r="N31" s="52">
        <v>73.8</v>
      </c>
      <c r="O31" s="51"/>
      <c r="P31" s="51"/>
      <c r="Q31" s="51"/>
      <c r="R31" s="55" t="s">
        <v>631</v>
      </c>
      <c r="S31" s="84" t="s">
        <v>405</v>
      </c>
      <c r="T31" s="55" t="s">
        <v>626</v>
      </c>
    </row>
    <row r="32" spans="1:20" ht="13.5" customHeight="1" x14ac:dyDescent="0.3">
      <c r="A32" s="53" t="s">
        <v>96</v>
      </c>
      <c r="B32" s="7" t="s">
        <v>76</v>
      </c>
      <c r="C32" s="36">
        <v>13924098</v>
      </c>
      <c r="D32" s="54">
        <v>2023</v>
      </c>
      <c r="E32" s="54"/>
      <c r="F32" s="55" t="s">
        <v>379</v>
      </c>
      <c r="G32" s="56">
        <v>5</v>
      </c>
      <c r="H32" s="51"/>
      <c r="I32" s="90">
        <v>2300000</v>
      </c>
      <c r="J32" s="52">
        <v>0.19</v>
      </c>
      <c r="K32" s="51"/>
      <c r="L32" s="51"/>
      <c r="M32" s="103">
        <v>2100</v>
      </c>
      <c r="N32" s="52">
        <v>73.8</v>
      </c>
      <c r="O32" s="51"/>
      <c r="P32" s="51"/>
      <c r="Q32" s="51"/>
      <c r="R32" s="55" t="s">
        <v>630</v>
      </c>
      <c r="S32" s="84" t="s">
        <v>629</v>
      </c>
      <c r="T32" s="55"/>
    </row>
    <row r="33" spans="1:20" ht="13.5" customHeight="1" x14ac:dyDescent="0.3">
      <c r="A33" s="53" t="s">
        <v>96</v>
      </c>
      <c r="B33" s="7" t="s">
        <v>76</v>
      </c>
      <c r="C33" s="36">
        <v>14256567</v>
      </c>
      <c r="D33" s="54">
        <v>2024</v>
      </c>
      <c r="E33" s="54"/>
      <c r="F33" s="55" t="s">
        <v>379</v>
      </c>
      <c r="G33" s="54">
        <v>6</v>
      </c>
      <c r="H33" s="51"/>
      <c r="I33" s="90">
        <v>2400000</v>
      </c>
      <c r="J33" s="52">
        <v>0.19</v>
      </c>
      <c r="K33" s="51"/>
      <c r="L33" s="51"/>
      <c r="M33" s="103">
        <v>2200</v>
      </c>
      <c r="N33" s="52">
        <v>73.8</v>
      </c>
      <c r="O33" s="51"/>
      <c r="P33" s="51"/>
      <c r="Q33" s="51"/>
      <c r="R33" s="55" t="s">
        <v>628</v>
      </c>
      <c r="S33" s="84" t="s">
        <v>627</v>
      </c>
      <c r="T33" s="55" t="s">
        <v>626</v>
      </c>
    </row>
    <row r="34" spans="1:20" ht="13.5" customHeight="1" x14ac:dyDescent="0.3">
      <c r="A34" s="53" t="s">
        <v>96</v>
      </c>
      <c r="B34" s="10" t="s">
        <v>76</v>
      </c>
      <c r="C34" s="37">
        <v>14576628</v>
      </c>
      <c r="D34" s="54">
        <v>2025</v>
      </c>
      <c r="E34" s="54"/>
      <c r="F34" s="55" t="s">
        <v>379</v>
      </c>
      <c r="G34" s="56">
        <v>5</v>
      </c>
      <c r="H34" s="51"/>
      <c r="I34" s="91">
        <v>2200000</v>
      </c>
      <c r="J34" s="52">
        <v>0.19</v>
      </c>
      <c r="K34" s="51"/>
      <c r="L34" s="51"/>
      <c r="M34" s="103">
        <v>2000</v>
      </c>
      <c r="N34" s="52">
        <v>73.8</v>
      </c>
      <c r="O34" s="51"/>
      <c r="P34" s="51"/>
      <c r="Q34" s="51"/>
      <c r="R34" s="55" t="s">
        <v>625</v>
      </c>
      <c r="S34" s="84" t="s">
        <v>624</v>
      </c>
      <c r="T34" s="55"/>
    </row>
    <row r="35" spans="1:20" ht="13.5" customHeight="1" x14ac:dyDescent="0.3">
      <c r="A35" s="57" t="s">
        <v>108</v>
      </c>
      <c r="B35" s="10" t="s">
        <v>76</v>
      </c>
      <c r="C35" s="92">
        <v>54490406</v>
      </c>
      <c r="D35" s="58">
        <v>2015</v>
      </c>
      <c r="E35" s="58"/>
      <c r="F35" s="59" t="s">
        <v>495</v>
      </c>
      <c r="G35" s="60">
        <v>6</v>
      </c>
      <c r="H35" s="51"/>
      <c r="I35" s="92">
        <v>7100000</v>
      </c>
      <c r="J35" s="52">
        <v>0.33</v>
      </c>
      <c r="K35" s="51"/>
      <c r="L35" s="51"/>
      <c r="M35" s="103">
        <v>180000</v>
      </c>
      <c r="N35" s="52">
        <v>73.8</v>
      </c>
      <c r="O35" s="51"/>
      <c r="P35" s="51"/>
      <c r="Q35" s="51"/>
      <c r="R35" s="59" t="s">
        <v>623</v>
      </c>
      <c r="S35" s="85" t="s">
        <v>622</v>
      </c>
      <c r="T35" s="59" t="s">
        <v>22</v>
      </c>
    </row>
    <row r="36" spans="1:20" ht="13.5" customHeight="1" x14ac:dyDescent="0.3">
      <c r="A36" s="57" t="s">
        <v>108</v>
      </c>
      <c r="B36" s="10" t="s">
        <v>76</v>
      </c>
      <c r="C36" s="92">
        <v>55291225</v>
      </c>
      <c r="D36" s="58">
        <v>2016</v>
      </c>
      <c r="E36" s="58"/>
      <c r="F36" s="59" t="s">
        <v>495</v>
      </c>
      <c r="G36" s="60">
        <v>6</v>
      </c>
      <c r="H36" s="51"/>
      <c r="I36" s="92">
        <v>7200000</v>
      </c>
      <c r="J36" s="52">
        <v>0.33</v>
      </c>
      <c r="K36" s="51"/>
      <c r="L36" s="51"/>
      <c r="M36" s="103">
        <v>175000</v>
      </c>
      <c r="N36" s="52">
        <v>73.8</v>
      </c>
      <c r="O36" s="51"/>
      <c r="P36" s="51"/>
      <c r="Q36" s="51"/>
      <c r="R36" s="59" t="s">
        <v>621</v>
      </c>
      <c r="S36" s="85" t="s">
        <v>620</v>
      </c>
      <c r="T36" s="59" t="s">
        <v>22</v>
      </c>
    </row>
    <row r="37" spans="1:20" ht="13.5" customHeight="1" x14ac:dyDescent="0.3">
      <c r="A37" s="57" t="s">
        <v>108</v>
      </c>
      <c r="B37" s="10" t="s">
        <v>76</v>
      </c>
      <c r="C37" s="92">
        <v>56015738</v>
      </c>
      <c r="D37" s="58">
        <v>2017</v>
      </c>
      <c r="E37" s="58"/>
      <c r="F37" s="59" t="s">
        <v>495</v>
      </c>
      <c r="G37" s="60">
        <v>6</v>
      </c>
      <c r="H37" s="51"/>
      <c r="I37" s="92">
        <v>7300000</v>
      </c>
      <c r="J37" s="52">
        <v>0.33</v>
      </c>
      <c r="K37" s="51"/>
      <c r="L37" s="51"/>
      <c r="M37" s="103">
        <v>168000</v>
      </c>
      <c r="N37" s="52">
        <v>73.8</v>
      </c>
      <c r="O37" s="51"/>
      <c r="P37" s="51"/>
      <c r="Q37" s="51"/>
      <c r="R37" s="59" t="s">
        <v>619</v>
      </c>
      <c r="S37" s="85" t="s">
        <v>618</v>
      </c>
      <c r="T37" s="59" t="s">
        <v>22</v>
      </c>
    </row>
    <row r="38" spans="1:20" ht="13.5" customHeight="1" x14ac:dyDescent="0.3">
      <c r="A38" s="57" t="s">
        <v>108</v>
      </c>
      <c r="B38" s="10" t="s">
        <v>76</v>
      </c>
      <c r="C38" s="92">
        <v>56717156</v>
      </c>
      <c r="D38" s="58">
        <v>2018</v>
      </c>
      <c r="E38" s="58"/>
      <c r="F38" s="59" t="s">
        <v>495</v>
      </c>
      <c r="G38" s="60">
        <v>6</v>
      </c>
      <c r="H38" s="51"/>
      <c r="I38" s="92">
        <v>7500000</v>
      </c>
      <c r="J38" s="52">
        <v>0.33</v>
      </c>
      <c r="K38" s="51"/>
      <c r="L38" s="51"/>
      <c r="M38" s="103">
        <v>162000</v>
      </c>
      <c r="N38" s="52">
        <v>73.8</v>
      </c>
      <c r="O38" s="51"/>
      <c r="P38" s="51"/>
      <c r="Q38" s="51"/>
      <c r="R38" s="59" t="s">
        <v>617</v>
      </c>
      <c r="S38" s="85" t="s">
        <v>616</v>
      </c>
      <c r="T38" s="59" t="s">
        <v>22</v>
      </c>
    </row>
    <row r="39" spans="1:20" ht="13.5" customHeight="1" x14ac:dyDescent="0.3">
      <c r="A39" s="57" t="s">
        <v>108</v>
      </c>
      <c r="B39" s="10" t="s">
        <v>76</v>
      </c>
      <c r="C39" s="36">
        <v>57779622</v>
      </c>
      <c r="D39" s="58">
        <v>2019</v>
      </c>
      <c r="E39" s="58"/>
      <c r="F39" s="59" t="s">
        <v>495</v>
      </c>
      <c r="G39" s="60">
        <v>6</v>
      </c>
      <c r="H39" s="51"/>
      <c r="I39" s="92">
        <v>7700000</v>
      </c>
      <c r="J39" s="52">
        <v>0.33</v>
      </c>
      <c r="K39" s="51"/>
      <c r="L39" s="51"/>
      <c r="M39" s="103">
        <v>158000</v>
      </c>
      <c r="N39" s="52">
        <v>73.8</v>
      </c>
      <c r="O39" s="51"/>
      <c r="P39" s="51"/>
      <c r="Q39" s="51"/>
      <c r="R39" s="59" t="s">
        <v>615</v>
      </c>
      <c r="S39" s="85" t="s">
        <v>614</v>
      </c>
      <c r="T39" s="59" t="s">
        <v>22</v>
      </c>
    </row>
    <row r="40" spans="1:20" ht="13.5" customHeight="1" x14ac:dyDescent="0.3">
      <c r="A40" s="53" t="s">
        <v>108</v>
      </c>
      <c r="B40" s="10" t="s">
        <v>76</v>
      </c>
      <c r="C40" s="36">
        <v>58801927</v>
      </c>
      <c r="D40" s="54">
        <v>2020</v>
      </c>
      <c r="E40" s="54"/>
      <c r="F40" s="55" t="s">
        <v>379</v>
      </c>
      <c r="G40" s="54">
        <v>7</v>
      </c>
      <c r="H40" s="51"/>
      <c r="I40" s="90">
        <v>7900000</v>
      </c>
      <c r="J40" s="52">
        <v>0.33</v>
      </c>
      <c r="K40" s="51"/>
      <c r="L40" s="51"/>
      <c r="M40" s="103">
        <v>214000</v>
      </c>
      <c r="N40" s="52">
        <v>73.8</v>
      </c>
      <c r="O40" s="51"/>
      <c r="P40" s="51"/>
      <c r="Q40" s="51"/>
      <c r="R40" s="55" t="s">
        <v>613</v>
      </c>
      <c r="S40" s="84" t="s">
        <v>612</v>
      </c>
      <c r="T40" s="55" t="s">
        <v>485</v>
      </c>
    </row>
    <row r="41" spans="1:20" ht="13.5" customHeight="1" x14ac:dyDescent="0.3">
      <c r="A41" s="53" t="s">
        <v>108</v>
      </c>
      <c r="B41" s="10" t="s">
        <v>76</v>
      </c>
      <c r="C41" s="36">
        <v>59392255</v>
      </c>
      <c r="D41" s="54">
        <v>2021</v>
      </c>
      <c r="E41" s="54"/>
      <c r="F41" s="55" t="s">
        <v>379</v>
      </c>
      <c r="G41" s="54">
        <v>7</v>
      </c>
      <c r="H41" s="51"/>
      <c r="I41" s="90">
        <v>8000000</v>
      </c>
      <c r="J41" s="52">
        <v>0.33</v>
      </c>
      <c r="K41" s="51"/>
      <c r="L41" s="51"/>
      <c r="M41" s="103">
        <v>289920</v>
      </c>
      <c r="N41" s="52">
        <v>73.8</v>
      </c>
      <c r="O41" s="51"/>
      <c r="P41" s="51"/>
      <c r="Q41" s="51"/>
      <c r="R41" s="55" t="s">
        <v>611</v>
      </c>
      <c r="S41" s="84" t="s">
        <v>610</v>
      </c>
      <c r="T41" s="55" t="s">
        <v>306</v>
      </c>
    </row>
    <row r="42" spans="1:20" ht="13.5" customHeight="1" x14ac:dyDescent="0.3">
      <c r="A42" s="53" t="s">
        <v>108</v>
      </c>
      <c r="B42" s="10" t="s">
        <v>76</v>
      </c>
      <c r="C42" s="36">
        <v>59893885</v>
      </c>
      <c r="D42" s="54">
        <v>2022</v>
      </c>
      <c r="E42" s="54"/>
      <c r="F42" s="55" t="s">
        <v>379</v>
      </c>
      <c r="G42" s="54">
        <v>7</v>
      </c>
      <c r="H42" s="51"/>
      <c r="I42" s="90">
        <v>8100000</v>
      </c>
      <c r="J42" s="52">
        <v>0.33</v>
      </c>
      <c r="K42" s="51"/>
      <c r="L42" s="51"/>
      <c r="M42" s="103">
        <v>301000</v>
      </c>
      <c r="N42" s="52">
        <v>73.8</v>
      </c>
      <c r="O42" s="51"/>
      <c r="P42" s="51"/>
      <c r="Q42" s="51"/>
      <c r="R42" s="55" t="s">
        <v>609</v>
      </c>
      <c r="S42" s="84" t="s">
        <v>608</v>
      </c>
      <c r="T42" s="55" t="s">
        <v>306</v>
      </c>
    </row>
    <row r="43" spans="1:20" ht="13.5" customHeight="1" x14ac:dyDescent="0.3">
      <c r="A43" s="57" t="s">
        <v>108</v>
      </c>
      <c r="B43" s="10" t="s">
        <v>76</v>
      </c>
      <c r="C43" s="36">
        <v>60414495</v>
      </c>
      <c r="D43" s="58">
        <v>2023</v>
      </c>
      <c r="E43" s="58"/>
      <c r="F43" s="59" t="s">
        <v>495</v>
      </c>
      <c r="G43" s="60">
        <v>6</v>
      </c>
      <c r="H43" s="51"/>
      <c r="I43" s="92">
        <v>7800000</v>
      </c>
      <c r="J43" s="52">
        <v>0.33</v>
      </c>
      <c r="K43" s="51"/>
      <c r="L43" s="51"/>
      <c r="M43" s="103">
        <v>155000</v>
      </c>
      <c r="N43" s="52">
        <v>73.8</v>
      </c>
      <c r="O43" s="51"/>
      <c r="P43" s="51"/>
      <c r="Q43" s="51"/>
      <c r="R43" s="59" t="s">
        <v>607</v>
      </c>
      <c r="S43" s="85" t="s">
        <v>606</v>
      </c>
      <c r="T43" s="59" t="s">
        <v>22</v>
      </c>
    </row>
    <row r="44" spans="1:20" ht="13.5" customHeight="1" x14ac:dyDescent="0.3">
      <c r="A44" s="57" t="s">
        <v>108</v>
      </c>
      <c r="B44" s="10" t="s">
        <v>76</v>
      </c>
      <c r="C44" s="36">
        <v>60954910</v>
      </c>
      <c r="D44" s="58">
        <v>2024</v>
      </c>
      <c r="E44" s="58"/>
      <c r="F44" s="59" t="s">
        <v>495</v>
      </c>
      <c r="G44" s="60">
        <v>6</v>
      </c>
      <c r="H44" s="51"/>
      <c r="I44" s="92">
        <v>7900000</v>
      </c>
      <c r="J44" s="52">
        <v>0.33</v>
      </c>
      <c r="K44" s="51"/>
      <c r="L44" s="51"/>
      <c r="M44" s="103">
        <v>152000</v>
      </c>
      <c r="N44" s="52">
        <v>73.8</v>
      </c>
      <c r="O44" s="51"/>
      <c r="P44" s="51"/>
      <c r="Q44" s="51"/>
      <c r="R44" s="59" t="s">
        <v>605</v>
      </c>
      <c r="S44" s="85" t="s">
        <v>604</v>
      </c>
      <c r="T44" s="59"/>
    </row>
    <row r="45" spans="1:20" ht="13.5" customHeight="1" x14ac:dyDescent="0.3">
      <c r="A45" s="57" t="s">
        <v>108</v>
      </c>
      <c r="B45" s="10" t="s">
        <v>76</v>
      </c>
      <c r="C45" s="36">
        <v>61511064</v>
      </c>
      <c r="D45" s="58">
        <v>2025</v>
      </c>
      <c r="E45" s="58"/>
      <c r="F45" s="59" t="s">
        <v>495</v>
      </c>
      <c r="G45" s="60">
        <v>6</v>
      </c>
      <c r="H45" s="51"/>
      <c r="I45" s="93">
        <v>8000000</v>
      </c>
      <c r="J45" s="52">
        <v>0.33</v>
      </c>
      <c r="K45" s="51"/>
      <c r="L45" s="51"/>
      <c r="M45" s="103">
        <v>150000</v>
      </c>
      <c r="N45" s="52">
        <v>73.8</v>
      </c>
      <c r="O45" s="51"/>
      <c r="P45" s="51"/>
      <c r="Q45" s="51"/>
      <c r="R45" s="59" t="s">
        <v>603</v>
      </c>
      <c r="S45" s="85" t="s">
        <v>602</v>
      </c>
      <c r="T45" s="59"/>
    </row>
    <row r="46" spans="1:20" ht="13.5" customHeight="1" x14ac:dyDescent="0.3">
      <c r="A46" s="61" t="s">
        <v>117</v>
      </c>
      <c r="B46" s="10" t="s">
        <v>118</v>
      </c>
      <c r="C46" s="36">
        <v>79109272</v>
      </c>
      <c r="D46" s="62">
        <v>2015</v>
      </c>
      <c r="E46" s="62"/>
      <c r="F46" s="63" t="s">
        <v>517</v>
      </c>
      <c r="G46" s="64">
        <v>4</v>
      </c>
      <c r="H46" s="51"/>
      <c r="I46" s="94">
        <v>2800000</v>
      </c>
      <c r="J46" s="52">
        <v>0.193</v>
      </c>
      <c r="K46" s="51"/>
      <c r="L46" s="51"/>
      <c r="M46" s="103">
        <v>75000</v>
      </c>
      <c r="N46" s="52">
        <v>73.8</v>
      </c>
      <c r="O46" s="51"/>
      <c r="P46" s="51"/>
      <c r="Q46" s="51"/>
      <c r="R46" s="63" t="s">
        <v>601</v>
      </c>
      <c r="S46" s="86" t="s">
        <v>600</v>
      </c>
      <c r="T46" s="63" t="s">
        <v>22</v>
      </c>
    </row>
    <row r="47" spans="1:20" ht="13.5" customHeight="1" x14ac:dyDescent="0.3">
      <c r="A47" s="61" t="s">
        <v>117</v>
      </c>
      <c r="B47" s="10" t="s">
        <v>118</v>
      </c>
      <c r="C47" s="36">
        <v>80277428</v>
      </c>
      <c r="D47" s="62">
        <v>2016</v>
      </c>
      <c r="E47" s="62"/>
      <c r="F47" s="63" t="s">
        <v>517</v>
      </c>
      <c r="G47" s="64">
        <v>4</v>
      </c>
      <c r="H47" s="51"/>
      <c r="I47" s="94">
        <v>2900000</v>
      </c>
      <c r="J47" s="52">
        <v>0.193</v>
      </c>
      <c r="K47" s="51"/>
      <c r="L47" s="51"/>
      <c r="M47" s="103">
        <v>77000</v>
      </c>
      <c r="N47" s="52">
        <v>73.8</v>
      </c>
      <c r="O47" s="51"/>
      <c r="P47" s="51"/>
      <c r="Q47" s="51"/>
      <c r="R47" s="63" t="s">
        <v>599</v>
      </c>
      <c r="S47" s="86" t="s">
        <v>306</v>
      </c>
      <c r="T47" s="63" t="s">
        <v>22</v>
      </c>
    </row>
    <row r="48" spans="1:20" ht="13.5" customHeight="1" x14ac:dyDescent="0.3">
      <c r="A48" s="61" t="s">
        <v>117</v>
      </c>
      <c r="B48" s="10" t="s">
        <v>118</v>
      </c>
      <c r="C48" s="36">
        <v>81162788</v>
      </c>
      <c r="D48" s="62">
        <v>2017</v>
      </c>
      <c r="E48" s="62"/>
      <c r="F48" s="63" t="s">
        <v>517</v>
      </c>
      <c r="G48" s="64">
        <v>4</v>
      </c>
      <c r="H48" s="51"/>
      <c r="I48" s="94">
        <v>2900000</v>
      </c>
      <c r="J48" s="52">
        <v>0.193</v>
      </c>
      <c r="K48" s="51"/>
      <c r="L48" s="51"/>
      <c r="M48" s="103">
        <v>77000</v>
      </c>
      <c r="N48" s="52">
        <v>73.8</v>
      </c>
      <c r="O48" s="51"/>
      <c r="P48" s="51"/>
      <c r="Q48" s="51"/>
      <c r="R48" s="63" t="s">
        <v>598</v>
      </c>
      <c r="S48" s="86" t="s">
        <v>306</v>
      </c>
      <c r="T48" s="63" t="s">
        <v>22</v>
      </c>
    </row>
    <row r="49" spans="1:20" ht="13.5" customHeight="1" x14ac:dyDescent="0.3">
      <c r="A49" s="61" t="s">
        <v>117</v>
      </c>
      <c r="B49" s="10" t="s">
        <v>118</v>
      </c>
      <c r="C49" s="36">
        <v>82011735</v>
      </c>
      <c r="D49" s="62">
        <v>2018</v>
      </c>
      <c r="E49" s="62"/>
      <c r="F49" s="63" t="s">
        <v>517</v>
      </c>
      <c r="G49" s="64">
        <v>4</v>
      </c>
      <c r="H49" s="51"/>
      <c r="I49" s="94">
        <v>3000000</v>
      </c>
      <c r="J49" s="52">
        <v>0.193</v>
      </c>
      <c r="K49" s="51"/>
      <c r="L49" s="51"/>
      <c r="M49" s="103">
        <v>78000</v>
      </c>
      <c r="N49" s="52">
        <v>73.8</v>
      </c>
      <c r="O49" s="51"/>
      <c r="P49" s="51"/>
      <c r="Q49" s="51"/>
      <c r="R49" s="63" t="s">
        <v>597</v>
      </c>
      <c r="S49" s="86" t="s">
        <v>306</v>
      </c>
      <c r="T49" s="63" t="s">
        <v>22</v>
      </c>
    </row>
    <row r="50" spans="1:20" ht="13.5" customHeight="1" x14ac:dyDescent="0.3">
      <c r="A50" s="61" t="s">
        <v>117</v>
      </c>
      <c r="B50" s="10" t="s">
        <v>118</v>
      </c>
      <c r="C50" s="36">
        <v>82913906</v>
      </c>
      <c r="D50" s="62">
        <v>2019</v>
      </c>
      <c r="E50" s="62"/>
      <c r="F50" s="63" t="s">
        <v>517</v>
      </c>
      <c r="G50" s="64">
        <v>4</v>
      </c>
      <c r="H50" s="51"/>
      <c r="I50" s="94">
        <v>3000000</v>
      </c>
      <c r="J50" s="52">
        <v>0.193</v>
      </c>
      <c r="K50" s="51"/>
      <c r="L50" s="51"/>
      <c r="M50" s="103">
        <v>79000</v>
      </c>
      <c r="N50" s="52">
        <v>73.8</v>
      </c>
      <c r="O50" s="51"/>
      <c r="P50" s="51"/>
      <c r="Q50" s="51"/>
      <c r="R50" s="63" t="s">
        <v>596</v>
      </c>
      <c r="S50" s="86" t="s">
        <v>595</v>
      </c>
      <c r="T50" s="63" t="s">
        <v>22</v>
      </c>
    </row>
    <row r="51" spans="1:20" ht="13.5" customHeight="1" x14ac:dyDescent="0.3">
      <c r="A51" s="53" t="s">
        <v>117</v>
      </c>
      <c r="B51" s="10" t="s">
        <v>118</v>
      </c>
      <c r="C51" s="36">
        <v>83992949</v>
      </c>
      <c r="D51" s="54">
        <v>2020</v>
      </c>
      <c r="E51" s="54"/>
      <c r="F51" s="55" t="s">
        <v>379</v>
      </c>
      <c r="G51" s="54">
        <v>7</v>
      </c>
      <c r="H51" s="51"/>
      <c r="I51" s="90">
        <v>2400000</v>
      </c>
      <c r="J51" s="52">
        <v>0.13300000000000001</v>
      </c>
      <c r="K51" s="51"/>
      <c r="L51" s="51"/>
      <c r="M51" s="103">
        <v>55095</v>
      </c>
      <c r="N51" s="52">
        <v>73.8</v>
      </c>
      <c r="O51" s="51"/>
      <c r="P51" s="51"/>
      <c r="Q51" s="51"/>
      <c r="R51" s="55" t="s">
        <v>594</v>
      </c>
      <c r="S51" s="84" t="s">
        <v>591</v>
      </c>
      <c r="T51" s="55" t="s">
        <v>593</v>
      </c>
    </row>
    <row r="52" spans="1:20" ht="13.5" customHeight="1" x14ac:dyDescent="0.3">
      <c r="A52" s="53" t="s">
        <v>117</v>
      </c>
      <c r="B52" s="10" t="s">
        <v>118</v>
      </c>
      <c r="C52" s="36">
        <v>85028759</v>
      </c>
      <c r="D52" s="54">
        <v>2021</v>
      </c>
      <c r="E52" s="54"/>
      <c r="F52" s="55" t="s">
        <v>379</v>
      </c>
      <c r="G52" s="54">
        <v>7</v>
      </c>
      <c r="H52" s="51"/>
      <c r="I52" s="90">
        <v>4500000</v>
      </c>
      <c r="J52" s="52">
        <v>0.13300000000000001</v>
      </c>
      <c r="K52" s="51"/>
      <c r="L52" s="51"/>
      <c r="M52" s="103">
        <v>127000</v>
      </c>
      <c r="N52" s="52">
        <v>73.8</v>
      </c>
      <c r="O52" s="51"/>
      <c r="P52" s="51"/>
      <c r="Q52" s="51"/>
      <c r="R52" s="55" t="s">
        <v>592</v>
      </c>
      <c r="S52" s="84" t="s">
        <v>591</v>
      </c>
      <c r="T52" s="55"/>
    </row>
    <row r="53" spans="1:20" ht="13.5" customHeight="1" x14ac:dyDescent="0.3">
      <c r="A53" s="53" t="s">
        <v>117</v>
      </c>
      <c r="B53" s="10" t="s">
        <v>118</v>
      </c>
      <c r="C53" s="37">
        <v>86758304</v>
      </c>
      <c r="D53" s="54">
        <v>2022</v>
      </c>
      <c r="E53" s="54"/>
      <c r="F53" s="55" t="s">
        <v>379</v>
      </c>
      <c r="G53" s="54">
        <v>6</v>
      </c>
      <c r="H53" s="51"/>
      <c r="I53" s="90">
        <v>3800000</v>
      </c>
      <c r="J53" s="52">
        <v>0.13300000000000001</v>
      </c>
      <c r="K53" s="51"/>
      <c r="L53" s="51"/>
      <c r="M53" s="103">
        <v>145000</v>
      </c>
      <c r="N53" s="52">
        <v>73.8</v>
      </c>
      <c r="O53" s="51"/>
      <c r="P53" s="51"/>
      <c r="Q53" s="51"/>
      <c r="R53" s="55" t="s">
        <v>590</v>
      </c>
      <c r="S53" s="84" t="s">
        <v>306</v>
      </c>
      <c r="T53" s="55"/>
    </row>
    <row r="54" spans="1:20" ht="13.5" customHeight="1" x14ac:dyDescent="0.3">
      <c r="A54" s="61" t="s">
        <v>117</v>
      </c>
      <c r="B54" s="10" t="s">
        <v>118</v>
      </c>
      <c r="C54" s="36">
        <v>87923432</v>
      </c>
      <c r="D54" s="62">
        <v>2023</v>
      </c>
      <c r="E54" s="62"/>
      <c r="F54" s="63" t="s">
        <v>517</v>
      </c>
      <c r="G54" s="64">
        <v>5</v>
      </c>
      <c r="H54" s="51"/>
      <c r="I54" s="95">
        <v>3100000</v>
      </c>
      <c r="J54" s="52">
        <v>0.193</v>
      </c>
      <c r="K54" s="51"/>
      <c r="L54" s="51"/>
      <c r="M54" s="103">
        <v>80000</v>
      </c>
      <c r="N54" s="52">
        <v>73.8</v>
      </c>
      <c r="O54" s="51"/>
      <c r="P54" s="51"/>
      <c r="Q54" s="51"/>
      <c r="R54" s="63" t="s">
        <v>589</v>
      </c>
      <c r="S54" s="86" t="s">
        <v>574</v>
      </c>
      <c r="T54" s="63" t="s">
        <v>384</v>
      </c>
    </row>
    <row r="55" spans="1:20" ht="13.5" customHeight="1" x14ac:dyDescent="0.3">
      <c r="A55" s="61" t="s">
        <v>117</v>
      </c>
      <c r="B55" s="10" t="s">
        <v>118</v>
      </c>
      <c r="C55" s="36">
        <v>89172767</v>
      </c>
      <c r="D55" s="62">
        <v>2024</v>
      </c>
      <c r="E55" s="62"/>
      <c r="F55" s="63" t="s">
        <v>517</v>
      </c>
      <c r="G55" s="64">
        <v>5</v>
      </c>
      <c r="H55" s="51"/>
      <c r="I55" s="95">
        <v>3200000</v>
      </c>
      <c r="J55" s="52">
        <v>0.193</v>
      </c>
      <c r="K55" s="51"/>
      <c r="L55" s="51"/>
      <c r="M55" s="103">
        <v>80000</v>
      </c>
      <c r="N55" s="52">
        <v>73.8</v>
      </c>
      <c r="O55" s="51"/>
      <c r="P55" s="51"/>
      <c r="Q55" s="51"/>
      <c r="R55" s="63" t="s">
        <v>588</v>
      </c>
      <c r="S55" s="86" t="s">
        <v>306</v>
      </c>
      <c r="T55" s="63" t="s">
        <v>22</v>
      </c>
    </row>
    <row r="56" spans="1:20" ht="13.5" customHeight="1" x14ac:dyDescent="0.3">
      <c r="A56" s="61" t="s">
        <v>117</v>
      </c>
      <c r="B56" s="10" t="s">
        <v>118</v>
      </c>
      <c r="C56" s="36">
        <v>90486988</v>
      </c>
      <c r="D56" s="62">
        <v>2025</v>
      </c>
      <c r="E56" s="62"/>
      <c r="F56" s="63" t="s">
        <v>517</v>
      </c>
      <c r="G56" s="64">
        <v>5</v>
      </c>
      <c r="H56" s="51"/>
      <c r="I56" s="95">
        <v>3300000</v>
      </c>
      <c r="J56" s="52">
        <v>0.193</v>
      </c>
      <c r="K56" s="51"/>
      <c r="L56" s="51"/>
      <c r="M56" s="103">
        <v>81000</v>
      </c>
      <c r="N56" s="52">
        <v>73.8</v>
      </c>
      <c r="O56" s="51"/>
      <c r="P56" s="51"/>
      <c r="Q56" s="51"/>
      <c r="R56" s="63" t="s">
        <v>587</v>
      </c>
      <c r="S56" s="86" t="s">
        <v>306</v>
      </c>
      <c r="T56" s="63"/>
    </row>
    <row r="57" spans="1:20" ht="13.5" customHeight="1" x14ac:dyDescent="0.3">
      <c r="A57" s="61" t="s">
        <v>136</v>
      </c>
      <c r="B57" s="10" t="s">
        <v>137</v>
      </c>
      <c r="C57" s="36">
        <v>1376048943</v>
      </c>
      <c r="D57" s="62">
        <v>2015</v>
      </c>
      <c r="E57" s="62"/>
      <c r="F57" s="63" t="s">
        <v>517</v>
      </c>
      <c r="G57" s="64">
        <v>4</v>
      </c>
      <c r="H57" s="51"/>
      <c r="I57" s="94">
        <v>88000000</v>
      </c>
      <c r="J57" s="52">
        <v>0.193</v>
      </c>
      <c r="K57" s="51"/>
      <c r="L57" s="51"/>
      <c r="M57" s="103">
        <v>1600000</v>
      </c>
      <c r="N57" s="52">
        <v>73.8</v>
      </c>
      <c r="O57" s="51"/>
      <c r="P57" s="51"/>
      <c r="Q57" s="51"/>
      <c r="R57" s="63" t="s">
        <v>586</v>
      </c>
      <c r="S57" s="86" t="s">
        <v>574</v>
      </c>
      <c r="T57" s="63" t="s">
        <v>384</v>
      </c>
    </row>
    <row r="58" spans="1:20" ht="13.5" customHeight="1" x14ac:dyDescent="0.3">
      <c r="A58" s="61" t="s">
        <v>136</v>
      </c>
      <c r="B58" s="10" t="s">
        <v>137</v>
      </c>
      <c r="C58" s="37">
        <v>1382710000</v>
      </c>
      <c r="D58" s="62">
        <v>2016</v>
      </c>
      <c r="E58" s="62"/>
      <c r="F58" s="63" t="s">
        <v>517</v>
      </c>
      <c r="G58" s="64">
        <v>4</v>
      </c>
      <c r="H58" s="51"/>
      <c r="I58" s="94">
        <v>90000000</v>
      </c>
      <c r="J58" s="52">
        <v>0.193</v>
      </c>
      <c r="K58" s="51"/>
      <c r="L58" s="51"/>
      <c r="M58" s="103">
        <v>1620000</v>
      </c>
      <c r="N58" s="52">
        <v>73.8</v>
      </c>
      <c r="O58" s="51"/>
      <c r="P58" s="51"/>
      <c r="Q58" s="51"/>
      <c r="R58" s="63" t="s">
        <v>585</v>
      </c>
      <c r="S58" s="86" t="s">
        <v>574</v>
      </c>
      <c r="T58" s="63"/>
    </row>
    <row r="59" spans="1:20" ht="13.5" customHeight="1" x14ac:dyDescent="0.3">
      <c r="A59" s="61" t="s">
        <v>136</v>
      </c>
      <c r="B59" s="10" t="s">
        <v>137</v>
      </c>
      <c r="C59" s="36">
        <v>1390080000</v>
      </c>
      <c r="D59" s="62">
        <v>2017</v>
      </c>
      <c r="E59" s="62"/>
      <c r="F59" s="63" t="s">
        <v>517</v>
      </c>
      <c r="G59" s="64">
        <v>4</v>
      </c>
      <c r="H59" s="51"/>
      <c r="I59" s="94">
        <v>91000000</v>
      </c>
      <c r="J59" s="52">
        <v>0.193</v>
      </c>
      <c r="K59" s="51"/>
      <c r="L59" s="51"/>
      <c r="M59" s="103">
        <v>1640000</v>
      </c>
      <c r="N59" s="52">
        <v>73.8</v>
      </c>
      <c r="O59" s="51"/>
      <c r="P59" s="51"/>
      <c r="Q59" s="51"/>
      <c r="R59" s="63" t="s">
        <v>584</v>
      </c>
      <c r="S59" s="86" t="s">
        <v>574</v>
      </c>
      <c r="T59" s="63" t="s">
        <v>384</v>
      </c>
    </row>
    <row r="60" spans="1:20" ht="13.5" customHeight="1" x14ac:dyDescent="0.3">
      <c r="A60" s="61" t="s">
        <v>136</v>
      </c>
      <c r="B60" s="10" t="s">
        <v>137</v>
      </c>
      <c r="C60" s="36">
        <v>1395380000</v>
      </c>
      <c r="D60" s="62">
        <v>2018</v>
      </c>
      <c r="E60" s="62"/>
      <c r="F60" s="63" t="s">
        <v>517</v>
      </c>
      <c r="G60" s="64">
        <v>4</v>
      </c>
      <c r="H60" s="51"/>
      <c r="I60" s="94">
        <v>92000000</v>
      </c>
      <c r="J60" s="52">
        <v>0.193</v>
      </c>
      <c r="K60" s="51"/>
      <c r="L60" s="51"/>
      <c r="M60" s="103">
        <v>1650000</v>
      </c>
      <c r="N60" s="52">
        <v>73.8</v>
      </c>
      <c r="O60" s="51"/>
      <c r="P60" s="51"/>
      <c r="Q60" s="51"/>
      <c r="R60" s="63" t="s">
        <v>583</v>
      </c>
      <c r="S60" s="86" t="s">
        <v>574</v>
      </c>
      <c r="T60" s="63"/>
    </row>
    <row r="61" spans="1:20" ht="13.5" customHeight="1" x14ac:dyDescent="0.3">
      <c r="A61" s="57" t="s">
        <v>136</v>
      </c>
      <c r="B61" s="10" t="s">
        <v>137</v>
      </c>
      <c r="C61" s="36">
        <v>1400050000</v>
      </c>
      <c r="D61" s="58">
        <v>2019</v>
      </c>
      <c r="E61" s="58"/>
      <c r="F61" s="59" t="s">
        <v>546</v>
      </c>
      <c r="G61" s="60">
        <v>4</v>
      </c>
      <c r="H61" s="51"/>
      <c r="I61" s="92">
        <v>93000000</v>
      </c>
      <c r="J61" s="52">
        <v>0.193</v>
      </c>
      <c r="K61" s="51"/>
      <c r="L61" s="51"/>
      <c r="M61" s="103">
        <v>1660000</v>
      </c>
      <c r="N61" s="52">
        <v>73.8</v>
      </c>
      <c r="O61" s="51"/>
      <c r="P61" s="51"/>
      <c r="Q61" s="51"/>
      <c r="R61" s="59" t="s">
        <v>582</v>
      </c>
      <c r="S61" s="85" t="s">
        <v>574</v>
      </c>
      <c r="T61" s="59" t="s">
        <v>581</v>
      </c>
    </row>
    <row r="62" spans="1:20" ht="13.5" customHeight="1" x14ac:dyDescent="0.3">
      <c r="A62" s="53" t="s">
        <v>136</v>
      </c>
      <c r="B62" s="10" t="s">
        <v>137</v>
      </c>
      <c r="C62" s="36">
        <v>1411100000</v>
      </c>
      <c r="D62" s="54">
        <v>2020</v>
      </c>
      <c r="E62" s="54"/>
      <c r="F62" s="55" t="s">
        <v>379</v>
      </c>
      <c r="G62" s="54">
        <v>6</v>
      </c>
      <c r="H62" s="51"/>
      <c r="I62" s="90">
        <v>87000</v>
      </c>
      <c r="J62" s="52">
        <v>0.13300000000000001</v>
      </c>
      <c r="K62" s="51"/>
      <c r="L62" s="51"/>
      <c r="M62" s="103">
        <v>4636</v>
      </c>
      <c r="N62" s="52">
        <v>73.8</v>
      </c>
      <c r="O62" s="51"/>
      <c r="P62" s="51"/>
      <c r="Q62" s="51"/>
      <c r="R62" s="55" t="s">
        <v>580</v>
      </c>
      <c r="S62" s="84" t="s">
        <v>578</v>
      </c>
      <c r="T62" s="55" t="s">
        <v>384</v>
      </c>
    </row>
    <row r="63" spans="1:20" ht="13.5" customHeight="1" x14ac:dyDescent="0.3">
      <c r="A63" s="53" t="s">
        <v>136</v>
      </c>
      <c r="B63" s="10" t="s">
        <v>137</v>
      </c>
      <c r="C63" s="36">
        <v>1412600000</v>
      </c>
      <c r="D63" s="54">
        <v>2021</v>
      </c>
      <c r="E63" s="54"/>
      <c r="F63" s="55" t="s">
        <v>379</v>
      </c>
      <c r="G63" s="54">
        <v>5</v>
      </c>
      <c r="H63" s="51"/>
      <c r="I63" s="90">
        <v>130000</v>
      </c>
      <c r="J63" s="52">
        <v>0.13300000000000001</v>
      </c>
      <c r="K63" s="51"/>
      <c r="L63" s="51"/>
      <c r="M63" s="103">
        <v>5000</v>
      </c>
      <c r="N63" s="52">
        <v>73.8</v>
      </c>
      <c r="O63" s="51"/>
      <c r="P63" s="51"/>
      <c r="Q63" s="51"/>
      <c r="R63" s="55" t="s">
        <v>579</v>
      </c>
      <c r="S63" s="84" t="s">
        <v>578</v>
      </c>
      <c r="T63" s="55"/>
    </row>
    <row r="64" spans="1:20" ht="13.5" customHeight="1" x14ac:dyDescent="0.3">
      <c r="A64" s="53" t="s">
        <v>136</v>
      </c>
      <c r="B64" s="10" t="s">
        <v>137</v>
      </c>
      <c r="C64" s="37">
        <v>1411750000</v>
      </c>
      <c r="D64" s="54">
        <v>2022</v>
      </c>
      <c r="E64" s="54"/>
      <c r="F64" s="55" t="s">
        <v>379</v>
      </c>
      <c r="G64" s="54">
        <v>8</v>
      </c>
      <c r="H64" s="51"/>
      <c r="I64" s="90">
        <v>800000000</v>
      </c>
      <c r="J64" s="52">
        <v>0.13300000000000001</v>
      </c>
      <c r="K64" s="51"/>
      <c r="L64" s="51"/>
      <c r="M64" s="103">
        <v>900000</v>
      </c>
      <c r="N64" s="52">
        <v>73.8</v>
      </c>
      <c r="O64" s="51"/>
      <c r="P64" s="51"/>
      <c r="Q64" s="51"/>
      <c r="R64" s="55" t="s">
        <v>577</v>
      </c>
      <c r="S64" s="84" t="s">
        <v>576</v>
      </c>
      <c r="T64" s="55" t="s">
        <v>306</v>
      </c>
    </row>
    <row r="65" spans="1:20" ht="13.5" customHeight="1" x14ac:dyDescent="0.3">
      <c r="A65" s="61" t="s">
        <v>136</v>
      </c>
      <c r="B65" s="10" t="s">
        <v>137</v>
      </c>
      <c r="C65" s="37">
        <v>1409670000</v>
      </c>
      <c r="D65" s="62">
        <v>2023</v>
      </c>
      <c r="E65" s="62"/>
      <c r="F65" s="63" t="s">
        <v>517</v>
      </c>
      <c r="G65" s="64">
        <v>5</v>
      </c>
      <c r="H65" s="51"/>
      <c r="I65" s="95">
        <v>95000000</v>
      </c>
      <c r="J65" s="52">
        <v>0.193</v>
      </c>
      <c r="K65" s="51"/>
      <c r="L65" s="51"/>
      <c r="M65" s="103">
        <v>1680000</v>
      </c>
      <c r="N65" s="52">
        <v>73.8</v>
      </c>
      <c r="O65" s="51"/>
      <c r="P65" s="51"/>
      <c r="Q65" s="51"/>
      <c r="R65" s="63" t="s">
        <v>575</v>
      </c>
      <c r="S65" s="86" t="s">
        <v>574</v>
      </c>
      <c r="T65" s="63" t="s">
        <v>384</v>
      </c>
    </row>
    <row r="66" spans="1:20" ht="13.5" customHeight="1" x14ac:dyDescent="0.3">
      <c r="A66" s="61" t="s">
        <v>136</v>
      </c>
      <c r="B66" s="10" t="s">
        <v>137</v>
      </c>
      <c r="C66" s="37">
        <v>1407450000</v>
      </c>
      <c r="D66" s="62">
        <v>2024</v>
      </c>
      <c r="E66" s="62"/>
      <c r="F66" s="63" t="s">
        <v>517</v>
      </c>
      <c r="G66" s="64">
        <v>4</v>
      </c>
      <c r="H66" s="51"/>
      <c r="I66" s="95">
        <v>96000000</v>
      </c>
      <c r="J66" s="52">
        <v>0.193</v>
      </c>
      <c r="K66" s="51"/>
      <c r="L66" s="51"/>
      <c r="M66" s="103">
        <v>1700000</v>
      </c>
      <c r="N66" s="52">
        <v>73.8</v>
      </c>
      <c r="O66" s="51"/>
      <c r="P66" s="51"/>
      <c r="Q66" s="51"/>
      <c r="R66" s="63" t="s">
        <v>573</v>
      </c>
      <c r="S66" s="86" t="s">
        <v>572</v>
      </c>
      <c r="T66" s="63"/>
    </row>
    <row r="67" spans="1:20" ht="13.5" customHeight="1" x14ac:dyDescent="0.3">
      <c r="A67" s="61" t="s">
        <v>136</v>
      </c>
      <c r="B67" s="10" t="s">
        <v>137</v>
      </c>
      <c r="C67" s="36">
        <v>1405000000</v>
      </c>
      <c r="D67" s="62">
        <v>2025</v>
      </c>
      <c r="E67" s="62"/>
      <c r="F67" s="63" t="s">
        <v>517</v>
      </c>
      <c r="G67" s="64">
        <v>4</v>
      </c>
      <c r="H67" s="51"/>
      <c r="I67" s="95">
        <v>97000000</v>
      </c>
      <c r="J67" s="52">
        <v>0.193</v>
      </c>
      <c r="K67" s="51"/>
      <c r="L67" s="51"/>
      <c r="M67" s="103">
        <v>1720000</v>
      </c>
      <c r="N67" s="52">
        <v>73.8</v>
      </c>
      <c r="O67" s="51"/>
      <c r="P67" s="51"/>
      <c r="Q67" s="51"/>
      <c r="R67" s="63" t="s">
        <v>571</v>
      </c>
      <c r="S67" s="86" t="s">
        <v>306</v>
      </c>
      <c r="T67" s="63"/>
    </row>
    <row r="68" spans="1:20" ht="13.5" customHeight="1" x14ac:dyDescent="0.3">
      <c r="A68" s="57" t="s">
        <v>156</v>
      </c>
      <c r="B68" s="7" t="s">
        <v>157</v>
      </c>
      <c r="C68" s="36">
        <v>1310152403</v>
      </c>
      <c r="D68" s="58">
        <v>2015</v>
      </c>
      <c r="E68" s="58"/>
      <c r="F68" s="59" t="s">
        <v>546</v>
      </c>
      <c r="G68" s="58">
        <v>6</v>
      </c>
      <c r="H68" s="51"/>
      <c r="I68" s="92">
        <v>27000000</v>
      </c>
      <c r="J68" s="52">
        <v>0.33300000000000002</v>
      </c>
      <c r="K68" s="51"/>
      <c r="L68" s="51"/>
      <c r="M68" s="103">
        <v>1100000</v>
      </c>
      <c r="N68" s="52">
        <v>73.8</v>
      </c>
      <c r="O68" s="51"/>
      <c r="P68" s="51"/>
      <c r="Q68" s="51"/>
      <c r="R68" s="59" t="s">
        <v>570</v>
      </c>
      <c r="S68" s="85" t="s">
        <v>569</v>
      </c>
      <c r="T68" s="59" t="s">
        <v>568</v>
      </c>
    </row>
    <row r="69" spans="1:20" ht="13.5" customHeight="1" x14ac:dyDescent="0.3">
      <c r="A69" s="57" t="s">
        <v>156</v>
      </c>
      <c r="B69" s="7" t="s">
        <v>157</v>
      </c>
      <c r="C69" s="36">
        <v>1324171354</v>
      </c>
      <c r="D69" s="58">
        <v>2016</v>
      </c>
      <c r="E69" s="58"/>
      <c r="F69" s="59" t="s">
        <v>546</v>
      </c>
      <c r="G69" s="58">
        <v>6</v>
      </c>
      <c r="H69" s="51"/>
      <c r="I69" s="92">
        <v>28000000</v>
      </c>
      <c r="J69" s="52">
        <v>0.33300000000000002</v>
      </c>
      <c r="K69" s="51"/>
      <c r="L69" s="51"/>
      <c r="M69" s="103">
        <v>1120000</v>
      </c>
      <c r="N69" s="52">
        <v>73.8</v>
      </c>
      <c r="O69" s="51"/>
      <c r="P69" s="51"/>
      <c r="Q69" s="51"/>
      <c r="R69" s="59" t="s">
        <v>567</v>
      </c>
      <c r="S69" s="85" t="s">
        <v>566</v>
      </c>
      <c r="T69" s="59"/>
    </row>
    <row r="70" spans="1:20" ht="13.5" customHeight="1" x14ac:dyDescent="0.3">
      <c r="A70" s="57" t="s">
        <v>156</v>
      </c>
      <c r="B70" s="7" t="s">
        <v>157</v>
      </c>
      <c r="C70" s="36">
        <v>1338676785</v>
      </c>
      <c r="D70" s="58">
        <v>2017</v>
      </c>
      <c r="E70" s="58"/>
      <c r="F70" s="59" t="s">
        <v>546</v>
      </c>
      <c r="G70" s="58">
        <v>6</v>
      </c>
      <c r="H70" s="51"/>
      <c r="I70" s="92">
        <v>27400000</v>
      </c>
      <c r="J70" s="52">
        <v>0.33300000000000002</v>
      </c>
      <c r="K70" s="51"/>
      <c r="L70" s="51"/>
      <c r="M70" s="103">
        <v>1240000</v>
      </c>
      <c r="N70" s="52">
        <v>73.8</v>
      </c>
      <c r="O70" s="51"/>
      <c r="P70" s="51"/>
      <c r="Q70" s="51"/>
      <c r="R70" s="59" t="s">
        <v>565</v>
      </c>
      <c r="S70" s="85" t="s">
        <v>564</v>
      </c>
      <c r="T70" s="59" t="s">
        <v>563</v>
      </c>
    </row>
    <row r="71" spans="1:20" ht="13.5" customHeight="1" x14ac:dyDescent="0.3">
      <c r="A71" s="57" t="s">
        <v>156</v>
      </c>
      <c r="B71" s="7" t="s">
        <v>157</v>
      </c>
      <c r="C71" s="36">
        <v>1352642280</v>
      </c>
      <c r="D71" s="58">
        <v>2018</v>
      </c>
      <c r="E71" s="58"/>
      <c r="F71" s="59" t="s">
        <v>546</v>
      </c>
      <c r="G71" s="58">
        <v>6</v>
      </c>
      <c r="H71" s="51"/>
      <c r="I71" s="92">
        <v>27000000</v>
      </c>
      <c r="J71" s="52">
        <v>0.33300000000000002</v>
      </c>
      <c r="K71" s="51"/>
      <c r="L71" s="51"/>
      <c r="M71" s="103">
        <v>1180000</v>
      </c>
      <c r="N71" s="52">
        <v>73.8</v>
      </c>
      <c r="O71" s="51"/>
      <c r="P71" s="51"/>
      <c r="Q71" s="51"/>
      <c r="R71" s="59" t="s">
        <v>562</v>
      </c>
      <c r="S71" s="85" t="s">
        <v>561</v>
      </c>
      <c r="T71" s="59" t="s">
        <v>560</v>
      </c>
    </row>
    <row r="72" spans="1:20" ht="13.5" customHeight="1" x14ac:dyDescent="0.3">
      <c r="A72" s="57" t="s">
        <v>156</v>
      </c>
      <c r="B72" s="7" t="s">
        <v>157</v>
      </c>
      <c r="C72" s="36">
        <v>1366417754</v>
      </c>
      <c r="D72" s="58">
        <v>2019</v>
      </c>
      <c r="E72" s="58"/>
      <c r="F72" s="59" t="s">
        <v>546</v>
      </c>
      <c r="G72" s="58">
        <v>6</v>
      </c>
      <c r="H72" s="51"/>
      <c r="I72" s="92">
        <v>26900000</v>
      </c>
      <c r="J72" s="52">
        <v>0.33300000000000002</v>
      </c>
      <c r="K72" s="51"/>
      <c r="L72" s="51"/>
      <c r="M72" s="103">
        <v>1200000</v>
      </c>
      <c r="N72" s="52">
        <v>73.8</v>
      </c>
      <c r="O72" s="51"/>
      <c r="P72" s="51"/>
      <c r="Q72" s="51"/>
      <c r="R72" s="59" t="s">
        <v>559</v>
      </c>
      <c r="S72" s="85" t="s">
        <v>558</v>
      </c>
      <c r="T72" s="59" t="s">
        <v>547</v>
      </c>
    </row>
    <row r="73" spans="1:20" ht="13.5" customHeight="1" x14ac:dyDescent="0.3">
      <c r="A73" s="53" t="s">
        <v>156</v>
      </c>
      <c r="B73" s="7" t="s">
        <v>157</v>
      </c>
      <c r="C73" s="36">
        <v>1380004385</v>
      </c>
      <c r="D73" s="54">
        <v>2020</v>
      </c>
      <c r="E73" s="54"/>
      <c r="F73" s="55" t="s">
        <v>379</v>
      </c>
      <c r="G73" s="54">
        <v>6</v>
      </c>
      <c r="H73" s="51"/>
      <c r="I73" s="90">
        <v>10500000</v>
      </c>
      <c r="J73" s="52">
        <v>0.13300000000000001</v>
      </c>
      <c r="K73" s="51"/>
      <c r="L73" s="51"/>
      <c r="M73" s="103">
        <v>480000</v>
      </c>
      <c r="N73" s="52">
        <v>73.8</v>
      </c>
      <c r="O73" s="51"/>
      <c r="P73" s="51"/>
      <c r="Q73" s="51"/>
      <c r="R73" s="55" t="s">
        <v>557</v>
      </c>
      <c r="S73" s="84" t="s">
        <v>556</v>
      </c>
      <c r="T73" s="55" t="s">
        <v>384</v>
      </c>
    </row>
    <row r="74" spans="1:20" ht="13.5" customHeight="1" x14ac:dyDescent="0.3">
      <c r="A74" s="53" t="s">
        <v>156</v>
      </c>
      <c r="B74" s="7" t="s">
        <v>157</v>
      </c>
      <c r="C74" s="36">
        <v>1393409038</v>
      </c>
      <c r="D74" s="54">
        <v>2021</v>
      </c>
      <c r="E74" s="54"/>
      <c r="F74" s="55" t="s">
        <v>379</v>
      </c>
      <c r="G74" s="54">
        <v>8</v>
      </c>
      <c r="H74" s="51"/>
      <c r="I74" s="90">
        <v>53000000</v>
      </c>
      <c r="J74" s="52">
        <v>0.13300000000000001</v>
      </c>
      <c r="K74" s="51"/>
      <c r="L74" s="51"/>
      <c r="M74" s="103">
        <v>4700000</v>
      </c>
      <c r="N74" s="52">
        <v>73.8</v>
      </c>
      <c r="O74" s="51"/>
      <c r="P74" s="51"/>
      <c r="Q74" s="51"/>
      <c r="R74" s="55" t="s">
        <v>555</v>
      </c>
      <c r="S74" s="84" t="s">
        <v>554</v>
      </c>
      <c r="T74" s="55" t="s">
        <v>306</v>
      </c>
    </row>
    <row r="75" spans="1:20" ht="13.5" customHeight="1" x14ac:dyDescent="0.3">
      <c r="A75" s="53" t="s">
        <v>156</v>
      </c>
      <c r="B75" s="7" t="s">
        <v>157</v>
      </c>
      <c r="C75" s="36">
        <v>1406631776</v>
      </c>
      <c r="D75" s="54">
        <v>2022</v>
      </c>
      <c r="E75" s="54"/>
      <c r="F75" s="55" t="s">
        <v>379</v>
      </c>
      <c r="G75" s="54">
        <v>6</v>
      </c>
      <c r="H75" s="51"/>
      <c r="I75" s="90">
        <v>44000000</v>
      </c>
      <c r="J75" s="52">
        <v>0.13300000000000001</v>
      </c>
      <c r="K75" s="51"/>
      <c r="L75" s="51"/>
      <c r="M75" s="103">
        <v>530000</v>
      </c>
      <c r="N75" s="52">
        <v>73.8</v>
      </c>
      <c r="O75" s="51"/>
      <c r="P75" s="51"/>
      <c r="Q75" s="51"/>
      <c r="R75" s="55" t="s">
        <v>553</v>
      </c>
      <c r="S75" s="84" t="s">
        <v>552</v>
      </c>
      <c r="T75" s="55" t="s">
        <v>306</v>
      </c>
    </row>
    <row r="76" spans="1:20" ht="13.5" customHeight="1" x14ac:dyDescent="0.3">
      <c r="A76" s="57" t="s">
        <v>156</v>
      </c>
      <c r="B76" s="7" t="s">
        <v>157</v>
      </c>
      <c r="C76" s="36">
        <v>1428627663</v>
      </c>
      <c r="D76" s="58">
        <v>2023</v>
      </c>
      <c r="E76" s="58"/>
      <c r="F76" s="59" t="s">
        <v>546</v>
      </c>
      <c r="G76" s="58">
        <v>6</v>
      </c>
      <c r="H76" s="51"/>
      <c r="I76" s="92">
        <v>28000000</v>
      </c>
      <c r="J76" s="52">
        <v>0.33300000000000002</v>
      </c>
      <c r="K76" s="51"/>
      <c r="L76" s="51"/>
      <c r="M76" s="103">
        <v>1350000</v>
      </c>
      <c r="N76" s="52">
        <v>73.8</v>
      </c>
      <c r="O76" s="51"/>
      <c r="P76" s="51"/>
      <c r="Q76" s="51"/>
      <c r="R76" s="59" t="s">
        <v>551</v>
      </c>
      <c r="S76" s="85" t="s">
        <v>550</v>
      </c>
      <c r="T76" s="59" t="s">
        <v>547</v>
      </c>
    </row>
    <row r="77" spans="1:20" ht="13.5" customHeight="1" x14ac:dyDescent="0.3">
      <c r="A77" s="57" t="s">
        <v>156</v>
      </c>
      <c r="B77" s="7" t="s">
        <v>157</v>
      </c>
      <c r="C77" s="36">
        <v>1441719852</v>
      </c>
      <c r="D77" s="58">
        <v>2024</v>
      </c>
      <c r="E77" s="58"/>
      <c r="F77" s="59" t="s">
        <v>546</v>
      </c>
      <c r="G77" s="58">
        <v>6</v>
      </c>
      <c r="H77" s="51"/>
      <c r="I77" s="92">
        <v>27500000</v>
      </c>
      <c r="J77" s="52">
        <v>0.33300000000000002</v>
      </c>
      <c r="K77" s="51"/>
      <c r="L77" s="51"/>
      <c r="M77" s="103">
        <v>1380000</v>
      </c>
      <c r="N77" s="52">
        <v>73.8</v>
      </c>
      <c r="O77" s="51"/>
      <c r="P77" s="51"/>
      <c r="Q77" s="51"/>
      <c r="R77" s="59" t="s">
        <v>549</v>
      </c>
      <c r="S77" s="85" t="s">
        <v>548</v>
      </c>
      <c r="T77" s="59" t="s">
        <v>547</v>
      </c>
    </row>
    <row r="78" spans="1:20" ht="13.5" customHeight="1" x14ac:dyDescent="0.3">
      <c r="A78" s="57" t="s">
        <v>156</v>
      </c>
      <c r="B78" s="7" t="s">
        <v>157</v>
      </c>
      <c r="C78" s="36">
        <v>1455000000</v>
      </c>
      <c r="D78" s="58">
        <v>2025</v>
      </c>
      <c r="E78" s="58"/>
      <c r="F78" s="59" t="s">
        <v>546</v>
      </c>
      <c r="G78" s="60">
        <v>6</v>
      </c>
      <c r="H78" s="51"/>
      <c r="I78" s="93">
        <v>27000000</v>
      </c>
      <c r="J78" s="52">
        <v>0.33300000000000002</v>
      </c>
      <c r="K78" s="51"/>
      <c r="L78" s="51"/>
      <c r="M78" s="103">
        <v>1350000</v>
      </c>
      <c r="N78" s="52">
        <v>73.8</v>
      </c>
      <c r="O78" s="51"/>
      <c r="P78" s="51"/>
      <c r="Q78" s="51"/>
      <c r="R78" s="59" t="s">
        <v>545</v>
      </c>
      <c r="S78" s="85" t="s">
        <v>544</v>
      </c>
      <c r="T78" s="59"/>
    </row>
    <row r="79" spans="1:20" ht="13.5" customHeight="1" x14ac:dyDescent="0.3">
      <c r="A79" s="53" t="s">
        <v>167</v>
      </c>
      <c r="B79" s="7" t="s">
        <v>157</v>
      </c>
      <c r="C79" s="36">
        <v>189380513</v>
      </c>
      <c r="D79" s="54">
        <v>2015</v>
      </c>
      <c r="E79" s="54"/>
      <c r="F79" s="55" t="s">
        <v>379</v>
      </c>
      <c r="G79" s="54">
        <v>5</v>
      </c>
      <c r="H79" s="51"/>
      <c r="I79" s="90">
        <v>7000</v>
      </c>
      <c r="J79" s="52">
        <v>0.13300000000000001</v>
      </c>
      <c r="K79" s="51"/>
      <c r="L79" s="51"/>
      <c r="M79" s="103">
        <v>120</v>
      </c>
      <c r="N79" s="52">
        <v>73.8</v>
      </c>
      <c r="O79" s="51"/>
      <c r="P79" s="51"/>
      <c r="Q79" s="51"/>
      <c r="R79" s="55" t="s">
        <v>543</v>
      </c>
      <c r="S79" s="84" t="s">
        <v>542</v>
      </c>
      <c r="T79" s="55" t="s">
        <v>22</v>
      </c>
    </row>
    <row r="80" spans="1:20" ht="13.5" customHeight="1" x14ac:dyDescent="0.3">
      <c r="A80" s="53" t="s">
        <v>167</v>
      </c>
      <c r="B80" s="7" t="s">
        <v>157</v>
      </c>
      <c r="C80" s="36">
        <v>193657350</v>
      </c>
      <c r="D80" s="54">
        <v>2016</v>
      </c>
      <c r="E80" s="54"/>
      <c r="F80" s="55" t="s">
        <v>379</v>
      </c>
      <c r="G80" s="54">
        <v>5</v>
      </c>
      <c r="H80" s="51"/>
      <c r="I80" s="90">
        <v>10000</v>
      </c>
      <c r="J80" s="52">
        <v>0.13300000000000001</v>
      </c>
      <c r="K80" s="51"/>
      <c r="L80" s="51"/>
      <c r="M80" s="103">
        <v>180</v>
      </c>
      <c r="N80" s="52">
        <v>73.8</v>
      </c>
      <c r="O80" s="51"/>
      <c r="P80" s="51"/>
      <c r="Q80" s="51"/>
      <c r="R80" s="55" t="s">
        <v>541</v>
      </c>
      <c r="S80" s="84" t="s">
        <v>540</v>
      </c>
      <c r="T80" s="55"/>
    </row>
    <row r="81" spans="1:20" ht="13.5" customHeight="1" x14ac:dyDescent="0.3">
      <c r="A81" s="53" t="s">
        <v>167</v>
      </c>
      <c r="B81" s="7" t="s">
        <v>157</v>
      </c>
      <c r="C81" s="36">
        <v>197015955</v>
      </c>
      <c r="D81" s="54">
        <v>2017</v>
      </c>
      <c r="E81" s="54"/>
      <c r="F81" s="55" t="s">
        <v>379</v>
      </c>
      <c r="G81" s="54">
        <v>5</v>
      </c>
      <c r="H81" s="51"/>
      <c r="I81" s="90">
        <v>8000</v>
      </c>
      <c r="J81" s="52">
        <v>0.13300000000000001</v>
      </c>
      <c r="K81" s="51"/>
      <c r="L81" s="51"/>
      <c r="M81" s="103">
        <v>150</v>
      </c>
      <c r="N81" s="52">
        <v>73.8</v>
      </c>
      <c r="O81" s="51"/>
      <c r="P81" s="51"/>
      <c r="Q81" s="51"/>
      <c r="R81" s="55" t="s">
        <v>539</v>
      </c>
      <c r="S81" s="84" t="s">
        <v>538</v>
      </c>
      <c r="T81" s="55"/>
    </row>
    <row r="82" spans="1:20" ht="13.5" customHeight="1" x14ac:dyDescent="0.3">
      <c r="A82" s="53" t="s">
        <v>167</v>
      </c>
      <c r="B82" s="7" t="s">
        <v>157</v>
      </c>
      <c r="C82" s="36">
        <v>212228286</v>
      </c>
      <c r="D82" s="54">
        <v>2018</v>
      </c>
      <c r="E82" s="54"/>
      <c r="F82" s="55" t="s">
        <v>379</v>
      </c>
      <c r="G82" s="54">
        <v>5</v>
      </c>
      <c r="H82" s="51"/>
      <c r="I82" s="90">
        <v>50000</v>
      </c>
      <c r="J82" s="52">
        <v>0.13300000000000001</v>
      </c>
      <c r="K82" s="51"/>
      <c r="L82" s="51"/>
      <c r="M82" s="103">
        <v>800</v>
      </c>
      <c r="N82" s="52">
        <v>73.8</v>
      </c>
      <c r="O82" s="51"/>
      <c r="P82" s="51"/>
      <c r="Q82" s="51"/>
      <c r="R82" s="55" t="s">
        <v>537</v>
      </c>
      <c r="S82" s="84" t="s">
        <v>536</v>
      </c>
      <c r="T82" s="55" t="s">
        <v>22</v>
      </c>
    </row>
    <row r="83" spans="1:20" ht="13.5" customHeight="1" x14ac:dyDescent="0.3">
      <c r="A83" s="53" t="s">
        <v>167</v>
      </c>
      <c r="B83" s="7" t="s">
        <v>157</v>
      </c>
      <c r="C83" s="36">
        <v>216565318</v>
      </c>
      <c r="D83" s="54">
        <v>2019</v>
      </c>
      <c r="E83" s="54"/>
      <c r="F83" s="55" t="s">
        <v>379</v>
      </c>
      <c r="G83" s="54">
        <v>6</v>
      </c>
      <c r="H83" s="51"/>
      <c r="I83" s="90">
        <v>47534</v>
      </c>
      <c r="J83" s="52">
        <v>0.13300000000000001</v>
      </c>
      <c r="K83" s="51"/>
      <c r="L83" s="51"/>
      <c r="M83" s="103">
        <v>600</v>
      </c>
      <c r="N83" s="52">
        <v>73.8</v>
      </c>
      <c r="O83" s="51"/>
      <c r="P83" s="51"/>
      <c r="Q83" s="51"/>
      <c r="R83" s="55" t="s">
        <v>535</v>
      </c>
      <c r="S83" s="84" t="s">
        <v>534</v>
      </c>
      <c r="T83" s="55"/>
    </row>
    <row r="84" spans="1:20" ht="13.5" customHeight="1" x14ac:dyDescent="0.3">
      <c r="A84" s="53" t="s">
        <v>167</v>
      </c>
      <c r="B84" s="7" t="s">
        <v>157</v>
      </c>
      <c r="C84" s="37">
        <v>220892331</v>
      </c>
      <c r="D84" s="54">
        <v>2020</v>
      </c>
      <c r="E84" s="54"/>
      <c r="F84" s="55" t="s">
        <v>379</v>
      </c>
      <c r="G84" s="54">
        <v>6</v>
      </c>
      <c r="H84" s="51"/>
      <c r="I84" s="90">
        <v>300000</v>
      </c>
      <c r="J84" s="52">
        <v>0.13300000000000001</v>
      </c>
      <c r="K84" s="51"/>
      <c r="L84" s="51"/>
      <c r="M84" s="103">
        <v>3100</v>
      </c>
      <c r="N84" s="52">
        <v>73.8</v>
      </c>
      <c r="O84" s="51"/>
      <c r="P84" s="51"/>
      <c r="Q84" s="51"/>
      <c r="R84" s="55" t="s">
        <v>533</v>
      </c>
      <c r="S84" s="84" t="s">
        <v>532</v>
      </c>
      <c r="T84" s="55" t="s">
        <v>306</v>
      </c>
    </row>
    <row r="85" spans="1:20" ht="13.5" customHeight="1" x14ac:dyDescent="0.3">
      <c r="A85" s="53" t="s">
        <v>167</v>
      </c>
      <c r="B85" s="7" t="s">
        <v>157</v>
      </c>
      <c r="C85" s="36">
        <v>225199937</v>
      </c>
      <c r="D85" s="54">
        <v>2021</v>
      </c>
      <c r="E85" s="54"/>
      <c r="F85" s="55" t="s">
        <v>379</v>
      </c>
      <c r="G85" s="54">
        <v>6</v>
      </c>
      <c r="H85" s="51"/>
      <c r="I85" s="90">
        <v>1400000</v>
      </c>
      <c r="J85" s="52">
        <v>0.13300000000000001</v>
      </c>
      <c r="K85" s="51"/>
      <c r="L85" s="51"/>
      <c r="M85" s="103">
        <v>28000</v>
      </c>
      <c r="N85" s="52">
        <v>73.8</v>
      </c>
      <c r="O85" s="51"/>
      <c r="P85" s="51"/>
      <c r="Q85" s="51"/>
      <c r="R85" s="55" t="s">
        <v>531</v>
      </c>
      <c r="S85" s="84" t="s">
        <v>530</v>
      </c>
      <c r="T85" s="55" t="s">
        <v>306</v>
      </c>
    </row>
    <row r="86" spans="1:20" ht="13.5" customHeight="1" x14ac:dyDescent="0.3">
      <c r="A86" s="53" t="s">
        <v>167</v>
      </c>
      <c r="B86" s="7" t="s">
        <v>157</v>
      </c>
      <c r="C86" s="36">
        <v>229488994</v>
      </c>
      <c r="D86" s="54">
        <v>2022</v>
      </c>
      <c r="E86" s="54"/>
      <c r="F86" s="55" t="s">
        <v>379</v>
      </c>
      <c r="G86" s="54">
        <v>7</v>
      </c>
      <c r="H86" s="51"/>
      <c r="I86" s="90">
        <v>8500000</v>
      </c>
      <c r="J86" s="52">
        <v>0.247</v>
      </c>
      <c r="K86" s="51"/>
      <c r="L86" s="51"/>
      <c r="M86" s="103">
        <v>25000</v>
      </c>
      <c r="N86" s="52">
        <v>73.8</v>
      </c>
      <c r="O86" s="51"/>
      <c r="P86" s="51"/>
      <c r="Q86" s="51"/>
      <c r="R86" s="55" t="s">
        <v>529</v>
      </c>
      <c r="S86" s="84" t="s">
        <v>528</v>
      </c>
      <c r="T86" s="55" t="s">
        <v>306</v>
      </c>
    </row>
    <row r="87" spans="1:20" ht="13.5" customHeight="1" x14ac:dyDescent="0.3">
      <c r="A87" s="53" t="s">
        <v>167</v>
      </c>
      <c r="B87" s="7" t="s">
        <v>157</v>
      </c>
      <c r="C87" s="36">
        <v>231402117</v>
      </c>
      <c r="D87" s="54">
        <v>2023</v>
      </c>
      <c r="E87" s="54"/>
      <c r="F87" s="55" t="s">
        <v>379</v>
      </c>
      <c r="G87" s="54">
        <v>6</v>
      </c>
      <c r="H87" s="51"/>
      <c r="I87" s="90">
        <v>500000</v>
      </c>
      <c r="J87" s="52">
        <v>0.13300000000000001</v>
      </c>
      <c r="K87" s="51"/>
      <c r="L87" s="51"/>
      <c r="M87" s="103">
        <v>3500</v>
      </c>
      <c r="N87" s="52">
        <v>73.8</v>
      </c>
      <c r="O87" s="51"/>
      <c r="P87" s="51"/>
      <c r="Q87" s="51"/>
      <c r="R87" s="55" t="s">
        <v>527</v>
      </c>
      <c r="S87" s="84" t="s">
        <v>526</v>
      </c>
      <c r="T87" s="55" t="s">
        <v>22</v>
      </c>
    </row>
    <row r="88" spans="1:20" ht="13.5" customHeight="1" x14ac:dyDescent="0.3">
      <c r="A88" s="53" t="s">
        <v>167</v>
      </c>
      <c r="B88" s="7" t="s">
        <v>157</v>
      </c>
      <c r="C88" s="36">
        <v>240485658</v>
      </c>
      <c r="D88" s="54">
        <v>2024</v>
      </c>
      <c r="E88" s="54"/>
      <c r="F88" s="55" t="s">
        <v>379</v>
      </c>
      <c r="G88" s="54">
        <v>6</v>
      </c>
      <c r="H88" s="51"/>
      <c r="I88" s="90">
        <v>600000</v>
      </c>
      <c r="J88" s="52">
        <v>0.13300000000000001</v>
      </c>
      <c r="K88" s="51"/>
      <c r="L88" s="51"/>
      <c r="M88" s="103">
        <v>4200</v>
      </c>
      <c r="N88" s="52">
        <v>73.8</v>
      </c>
      <c r="O88" s="51"/>
      <c r="P88" s="51"/>
      <c r="Q88" s="51"/>
      <c r="R88" s="55" t="s">
        <v>525</v>
      </c>
      <c r="S88" s="84" t="s">
        <v>524</v>
      </c>
      <c r="T88" s="55"/>
    </row>
    <row r="89" spans="1:20" ht="13.5" customHeight="1" x14ac:dyDescent="0.3">
      <c r="A89" s="53" t="s">
        <v>167</v>
      </c>
      <c r="B89" s="7" t="s">
        <v>157</v>
      </c>
      <c r="C89" s="36">
        <v>245209815</v>
      </c>
      <c r="D89" s="54">
        <v>2025</v>
      </c>
      <c r="E89" s="54"/>
      <c r="F89" s="55" t="s">
        <v>379</v>
      </c>
      <c r="G89" s="56">
        <v>5</v>
      </c>
      <c r="H89" s="51"/>
      <c r="I89" s="91">
        <v>9000</v>
      </c>
      <c r="J89" s="52">
        <v>0.13300000000000001</v>
      </c>
      <c r="K89" s="51"/>
      <c r="L89" s="51"/>
      <c r="M89" s="103">
        <v>100</v>
      </c>
      <c r="N89" s="52">
        <v>73.8</v>
      </c>
      <c r="O89" s="51"/>
      <c r="P89" s="51"/>
      <c r="Q89" s="51"/>
      <c r="R89" s="55" t="s">
        <v>523</v>
      </c>
      <c r="S89" s="84" t="s">
        <v>421</v>
      </c>
      <c r="T89" s="55"/>
    </row>
    <row r="90" spans="1:20" ht="13.5" customHeight="1" x14ac:dyDescent="0.3">
      <c r="A90" s="61" t="s">
        <v>177</v>
      </c>
      <c r="B90" s="7" t="s">
        <v>118</v>
      </c>
      <c r="C90" s="36">
        <v>8064000</v>
      </c>
      <c r="D90" s="62">
        <v>2015</v>
      </c>
      <c r="E90" s="62"/>
      <c r="F90" s="63" t="s">
        <v>517</v>
      </c>
      <c r="G90" s="64">
        <v>4</v>
      </c>
      <c r="H90" s="51"/>
      <c r="I90" s="94">
        <v>65000</v>
      </c>
      <c r="J90" s="52">
        <v>0.193</v>
      </c>
      <c r="K90" s="51"/>
      <c r="L90" s="51"/>
      <c r="M90" s="103">
        <v>40000</v>
      </c>
      <c r="N90" s="52">
        <v>73.8</v>
      </c>
      <c r="O90" s="51"/>
      <c r="P90" s="51"/>
      <c r="Q90" s="51"/>
      <c r="R90" s="63" t="s">
        <v>522</v>
      </c>
      <c r="S90" s="86" t="s">
        <v>520</v>
      </c>
      <c r="T90" s="63" t="s">
        <v>22</v>
      </c>
    </row>
    <row r="91" spans="1:20" ht="13.5" customHeight="1" x14ac:dyDescent="0.3">
      <c r="A91" s="61" t="s">
        <v>177</v>
      </c>
      <c r="B91" s="7" t="s">
        <v>118</v>
      </c>
      <c r="C91" s="36">
        <v>8192000</v>
      </c>
      <c r="D91" s="62">
        <v>2016</v>
      </c>
      <c r="E91" s="62"/>
      <c r="F91" s="63" t="s">
        <v>517</v>
      </c>
      <c r="G91" s="64">
        <v>4</v>
      </c>
      <c r="H91" s="51"/>
      <c r="I91" s="94">
        <v>65000</v>
      </c>
      <c r="J91" s="52">
        <v>0.193</v>
      </c>
      <c r="K91" s="51"/>
      <c r="L91" s="51"/>
      <c r="M91" s="103">
        <v>40500</v>
      </c>
      <c r="N91" s="52">
        <v>73.8</v>
      </c>
      <c r="O91" s="51"/>
      <c r="P91" s="51"/>
      <c r="Q91" s="51"/>
      <c r="R91" s="63" t="s">
        <v>521</v>
      </c>
      <c r="S91" s="86" t="s">
        <v>520</v>
      </c>
      <c r="T91" s="63" t="s">
        <v>22</v>
      </c>
    </row>
    <row r="92" spans="1:20" ht="13.5" customHeight="1" x14ac:dyDescent="0.3">
      <c r="A92" s="61" t="s">
        <v>177</v>
      </c>
      <c r="B92" s="7" t="s">
        <v>118</v>
      </c>
      <c r="C92" s="36">
        <v>8322000</v>
      </c>
      <c r="D92" s="62">
        <v>2017</v>
      </c>
      <c r="E92" s="62"/>
      <c r="F92" s="63" t="s">
        <v>517</v>
      </c>
      <c r="G92" s="64">
        <v>4</v>
      </c>
      <c r="H92" s="51"/>
      <c r="I92" s="94">
        <v>66000</v>
      </c>
      <c r="J92" s="52">
        <v>0.193</v>
      </c>
      <c r="K92" s="51"/>
      <c r="L92" s="51"/>
      <c r="M92" s="103">
        <v>41000</v>
      </c>
      <c r="N92" s="52">
        <v>73.8</v>
      </c>
      <c r="O92" s="51"/>
      <c r="P92" s="51"/>
      <c r="Q92" s="51"/>
      <c r="R92" s="63" t="s">
        <v>519</v>
      </c>
      <c r="S92" s="86" t="s">
        <v>306</v>
      </c>
      <c r="T92" s="63" t="s">
        <v>22</v>
      </c>
    </row>
    <row r="93" spans="1:20" ht="13.5" customHeight="1" x14ac:dyDescent="0.3">
      <c r="A93" s="61" t="s">
        <v>177</v>
      </c>
      <c r="B93" s="7" t="s">
        <v>118</v>
      </c>
      <c r="C93" s="37">
        <v>8452000</v>
      </c>
      <c r="D93" s="62">
        <v>2018</v>
      </c>
      <c r="E93" s="62"/>
      <c r="F93" s="63" t="s">
        <v>517</v>
      </c>
      <c r="G93" s="64">
        <v>4</v>
      </c>
      <c r="H93" s="51"/>
      <c r="I93" s="94">
        <v>67000</v>
      </c>
      <c r="J93" s="52">
        <v>0.193</v>
      </c>
      <c r="K93" s="51"/>
      <c r="L93" s="51"/>
      <c r="M93" s="103">
        <v>41500</v>
      </c>
      <c r="N93" s="52">
        <v>73.8</v>
      </c>
      <c r="O93" s="51"/>
      <c r="P93" s="51"/>
      <c r="Q93" s="51"/>
      <c r="R93" s="63" t="s">
        <v>518</v>
      </c>
      <c r="S93" s="86" t="s">
        <v>306</v>
      </c>
      <c r="T93" s="63" t="s">
        <v>22</v>
      </c>
    </row>
    <row r="94" spans="1:20" ht="13.5" customHeight="1" x14ac:dyDescent="0.3">
      <c r="A94" s="61" t="s">
        <v>177</v>
      </c>
      <c r="B94" s="7" t="s">
        <v>118</v>
      </c>
      <c r="C94" s="36">
        <v>8580000</v>
      </c>
      <c r="D94" s="62">
        <v>2019</v>
      </c>
      <c r="E94" s="62"/>
      <c r="F94" s="63" t="s">
        <v>517</v>
      </c>
      <c r="G94" s="64">
        <v>4</v>
      </c>
      <c r="H94" s="51"/>
      <c r="I94" s="94">
        <v>67000</v>
      </c>
      <c r="J94" s="52">
        <v>0.193</v>
      </c>
      <c r="K94" s="51"/>
      <c r="L94" s="51"/>
      <c r="M94" s="103">
        <v>42000</v>
      </c>
      <c r="N94" s="52">
        <v>73.8</v>
      </c>
      <c r="O94" s="51"/>
      <c r="P94" s="51"/>
      <c r="Q94" s="51"/>
      <c r="R94" s="63" t="s">
        <v>516</v>
      </c>
      <c r="S94" s="86" t="s">
        <v>306</v>
      </c>
      <c r="T94" s="63" t="s">
        <v>22</v>
      </c>
    </row>
    <row r="95" spans="1:20" ht="13.5" customHeight="1" x14ac:dyDescent="0.3">
      <c r="A95" s="53" t="s">
        <v>177</v>
      </c>
      <c r="B95" s="7" t="s">
        <v>118</v>
      </c>
      <c r="C95" s="36">
        <v>8656000</v>
      </c>
      <c r="D95" s="54">
        <v>2020</v>
      </c>
      <c r="E95" s="54"/>
      <c r="F95" s="55" t="s">
        <v>379</v>
      </c>
      <c r="G95" s="54">
        <v>5</v>
      </c>
      <c r="H95" s="51"/>
      <c r="I95" s="90">
        <v>490000</v>
      </c>
      <c r="J95" s="52">
        <v>0.13300000000000001</v>
      </c>
      <c r="K95" s="51"/>
      <c r="L95" s="51"/>
      <c r="M95" s="103">
        <v>6500</v>
      </c>
      <c r="N95" s="52">
        <v>73.8</v>
      </c>
      <c r="O95" s="51"/>
      <c r="P95" s="51"/>
      <c r="Q95" s="51"/>
      <c r="R95" s="55" t="s">
        <v>515</v>
      </c>
      <c r="S95" s="84" t="s">
        <v>514</v>
      </c>
      <c r="T95" s="55"/>
    </row>
    <row r="96" spans="1:20" ht="13.5" customHeight="1" x14ac:dyDescent="0.3">
      <c r="A96" s="53" t="s">
        <v>177</v>
      </c>
      <c r="B96" s="7" t="s">
        <v>118</v>
      </c>
      <c r="C96" s="36">
        <v>8789000</v>
      </c>
      <c r="D96" s="54">
        <v>2021</v>
      </c>
      <c r="E96" s="54"/>
      <c r="F96" s="55" t="s">
        <v>379</v>
      </c>
      <c r="G96" s="54">
        <v>5</v>
      </c>
      <c r="H96" s="51"/>
      <c r="I96" s="90">
        <v>840000</v>
      </c>
      <c r="J96" s="52">
        <v>0.13300000000000001</v>
      </c>
      <c r="K96" s="51"/>
      <c r="L96" s="51"/>
      <c r="M96" s="103">
        <v>8200</v>
      </c>
      <c r="N96" s="52">
        <v>73.8</v>
      </c>
      <c r="O96" s="51"/>
      <c r="P96" s="51"/>
      <c r="Q96" s="51"/>
      <c r="R96" s="55" t="s">
        <v>513</v>
      </c>
      <c r="S96" s="84" t="s">
        <v>512</v>
      </c>
      <c r="T96" s="55" t="s">
        <v>306</v>
      </c>
    </row>
    <row r="97" spans="1:20" ht="13.5" customHeight="1" x14ac:dyDescent="0.3">
      <c r="A97" s="53" t="s">
        <v>177</v>
      </c>
      <c r="B97" s="7" t="s">
        <v>118</v>
      </c>
      <c r="C97" s="37">
        <v>8900000</v>
      </c>
      <c r="D97" s="54">
        <v>2022</v>
      </c>
      <c r="E97" s="54"/>
      <c r="F97" s="55" t="s">
        <v>379</v>
      </c>
      <c r="G97" s="54">
        <v>5</v>
      </c>
      <c r="H97" s="51"/>
      <c r="I97" s="90">
        <v>1400000</v>
      </c>
      <c r="J97" s="52">
        <v>0.13300000000000001</v>
      </c>
      <c r="K97" s="51"/>
      <c r="L97" s="51"/>
      <c r="M97" s="103">
        <v>10900</v>
      </c>
      <c r="N97" s="52">
        <v>73.8</v>
      </c>
      <c r="O97" s="51"/>
      <c r="P97" s="51"/>
      <c r="Q97" s="51"/>
      <c r="R97" s="55" t="s">
        <v>511</v>
      </c>
      <c r="S97" s="84" t="s">
        <v>510</v>
      </c>
      <c r="T97" s="55" t="s">
        <v>306</v>
      </c>
    </row>
    <row r="98" spans="1:20" ht="13.5" customHeight="1" x14ac:dyDescent="0.3">
      <c r="A98" s="65" t="s">
        <v>177</v>
      </c>
      <c r="B98" s="7" t="s">
        <v>118</v>
      </c>
      <c r="C98" s="36">
        <v>9174520</v>
      </c>
      <c r="D98" s="66">
        <v>2023</v>
      </c>
      <c r="E98" s="66"/>
      <c r="F98" s="67" t="s">
        <v>505</v>
      </c>
      <c r="G98" s="66">
        <v>7</v>
      </c>
      <c r="H98" s="51"/>
      <c r="I98" s="96">
        <v>400000</v>
      </c>
      <c r="J98" s="52">
        <v>0.13300000000000001</v>
      </c>
      <c r="K98" s="51"/>
      <c r="L98" s="51"/>
      <c r="M98" s="103">
        <v>1200</v>
      </c>
      <c r="N98" s="52">
        <v>73.8</v>
      </c>
      <c r="O98" s="51"/>
      <c r="P98" s="51"/>
      <c r="Q98" s="51"/>
      <c r="R98" s="67" t="s">
        <v>509</v>
      </c>
      <c r="S98" s="87" t="s">
        <v>508</v>
      </c>
      <c r="T98" s="67" t="s">
        <v>384</v>
      </c>
    </row>
    <row r="99" spans="1:20" ht="13.5" customHeight="1" x14ac:dyDescent="0.3">
      <c r="A99" s="65" t="s">
        <v>177</v>
      </c>
      <c r="B99" s="7" t="s">
        <v>118</v>
      </c>
      <c r="C99" s="36">
        <v>9261520</v>
      </c>
      <c r="D99" s="66">
        <v>2024</v>
      </c>
      <c r="E99" s="66"/>
      <c r="F99" s="67" t="s">
        <v>505</v>
      </c>
      <c r="G99" s="68">
        <v>7</v>
      </c>
      <c r="H99" s="51"/>
      <c r="I99" s="96">
        <v>500000</v>
      </c>
      <c r="J99" s="52">
        <v>0.13300000000000001</v>
      </c>
      <c r="K99" s="51"/>
      <c r="L99" s="51"/>
      <c r="M99" s="103">
        <v>900</v>
      </c>
      <c r="N99" s="52">
        <v>73.8</v>
      </c>
      <c r="O99" s="51"/>
      <c r="P99" s="51"/>
      <c r="Q99" s="51"/>
      <c r="R99" s="67" t="s">
        <v>507</v>
      </c>
      <c r="S99" s="87" t="s">
        <v>506</v>
      </c>
      <c r="T99" s="67"/>
    </row>
    <row r="100" spans="1:20" ht="13.5" customHeight="1" x14ac:dyDescent="0.3">
      <c r="A100" s="65" t="s">
        <v>177</v>
      </c>
      <c r="B100" s="7" t="s">
        <v>118</v>
      </c>
      <c r="C100" s="36">
        <v>9350000</v>
      </c>
      <c r="D100" s="66">
        <v>2025</v>
      </c>
      <c r="E100" s="66"/>
      <c r="F100" s="67" t="s">
        <v>505</v>
      </c>
      <c r="G100" s="68">
        <v>6</v>
      </c>
      <c r="H100" s="51"/>
      <c r="I100" s="96">
        <v>450000</v>
      </c>
      <c r="J100" s="52">
        <v>0.13300000000000001</v>
      </c>
      <c r="K100" s="51"/>
      <c r="L100" s="51"/>
      <c r="M100" s="103">
        <v>600</v>
      </c>
      <c r="N100" s="52">
        <v>73.8</v>
      </c>
      <c r="O100" s="51"/>
      <c r="P100" s="51"/>
      <c r="Q100" s="51"/>
      <c r="R100" s="67" t="s">
        <v>504</v>
      </c>
      <c r="S100" s="87" t="s">
        <v>421</v>
      </c>
      <c r="T100" s="67"/>
    </row>
    <row r="101" spans="1:20" ht="13.5" customHeight="1" x14ac:dyDescent="0.3">
      <c r="A101" s="57" t="s">
        <v>187</v>
      </c>
      <c r="B101" s="7" t="s">
        <v>188</v>
      </c>
      <c r="C101" s="36">
        <v>44824184</v>
      </c>
      <c r="D101" s="58">
        <v>2015</v>
      </c>
      <c r="E101" s="58"/>
      <c r="F101" s="59" t="s">
        <v>495</v>
      </c>
      <c r="G101" s="60">
        <v>6</v>
      </c>
      <c r="H101" s="51"/>
      <c r="I101" s="92">
        <v>240000</v>
      </c>
      <c r="J101" s="52">
        <v>0.33</v>
      </c>
      <c r="K101" s="51"/>
      <c r="L101" s="51"/>
      <c r="M101" s="103">
        <v>18000</v>
      </c>
      <c r="N101" s="52">
        <v>73.8</v>
      </c>
      <c r="O101" s="51"/>
      <c r="P101" s="51"/>
      <c r="Q101" s="51"/>
      <c r="R101" s="59" t="s">
        <v>503</v>
      </c>
      <c r="S101" s="85" t="s">
        <v>502</v>
      </c>
      <c r="T101" s="59" t="s">
        <v>492</v>
      </c>
    </row>
    <row r="102" spans="1:20" ht="13.5" customHeight="1" x14ac:dyDescent="0.3">
      <c r="A102" s="57" t="s">
        <v>187</v>
      </c>
      <c r="B102" s="7" t="s">
        <v>188</v>
      </c>
      <c r="C102" s="37">
        <v>44624373</v>
      </c>
      <c r="D102" s="58">
        <v>2016</v>
      </c>
      <c r="E102" s="58"/>
      <c r="F102" s="59" t="s">
        <v>495</v>
      </c>
      <c r="G102" s="60">
        <v>6</v>
      </c>
      <c r="H102" s="51"/>
      <c r="I102" s="92">
        <v>238000</v>
      </c>
      <c r="J102" s="52">
        <v>0.33</v>
      </c>
      <c r="K102" s="51"/>
      <c r="L102" s="51"/>
      <c r="M102" s="103">
        <v>17800</v>
      </c>
      <c r="N102" s="52">
        <v>73.8</v>
      </c>
      <c r="O102" s="51"/>
      <c r="P102" s="51"/>
      <c r="Q102" s="51"/>
      <c r="R102" s="59" t="s">
        <v>501</v>
      </c>
      <c r="S102" s="85" t="s">
        <v>500</v>
      </c>
      <c r="T102" s="59" t="s">
        <v>22</v>
      </c>
    </row>
    <row r="103" spans="1:20" ht="13.5" customHeight="1" x14ac:dyDescent="0.3">
      <c r="A103" s="57" t="s">
        <v>187</v>
      </c>
      <c r="B103" s="7" t="s">
        <v>188</v>
      </c>
      <c r="C103" s="36">
        <v>44405055</v>
      </c>
      <c r="D103" s="58">
        <v>2017</v>
      </c>
      <c r="E103" s="58"/>
      <c r="F103" s="59" t="s">
        <v>495</v>
      </c>
      <c r="G103" s="60">
        <v>6</v>
      </c>
      <c r="H103" s="51"/>
      <c r="I103" s="92">
        <v>240000</v>
      </c>
      <c r="J103" s="52">
        <v>0.33</v>
      </c>
      <c r="K103" s="51"/>
      <c r="L103" s="51"/>
      <c r="M103" s="103">
        <v>18200</v>
      </c>
      <c r="N103" s="52">
        <v>73.8</v>
      </c>
      <c r="O103" s="51"/>
      <c r="P103" s="51"/>
      <c r="Q103" s="51"/>
      <c r="R103" s="59" t="s">
        <v>499</v>
      </c>
      <c r="S103" s="85" t="s">
        <v>498</v>
      </c>
      <c r="T103" s="59" t="s">
        <v>22</v>
      </c>
    </row>
    <row r="104" spans="1:20" ht="13.5" customHeight="1" x14ac:dyDescent="0.3">
      <c r="A104" s="57" t="s">
        <v>187</v>
      </c>
      <c r="B104" s="7" t="s">
        <v>188</v>
      </c>
      <c r="C104" s="36">
        <v>44246156</v>
      </c>
      <c r="D104" s="58">
        <v>2018</v>
      </c>
      <c r="E104" s="58"/>
      <c r="F104" s="59" t="s">
        <v>495</v>
      </c>
      <c r="G104" s="60">
        <v>6</v>
      </c>
      <c r="H104" s="51"/>
      <c r="I104" s="92">
        <v>242000</v>
      </c>
      <c r="J104" s="52">
        <v>0.33</v>
      </c>
      <c r="K104" s="51"/>
      <c r="L104" s="51"/>
      <c r="M104" s="103">
        <v>18500</v>
      </c>
      <c r="N104" s="52">
        <v>73.8</v>
      </c>
      <c r="O104" s="51"/>
      <c r="P104" s="51"/>
      <c r="Q104" s="51"/>
      <c r="R104" s="59" t="s">
        <v>497</v>
      </c>
      <c r="S104" s="85" t="s">
        <v>496</v>
      </c>
      <c r="T104" s="59"/>
    </row>
    <row r="105" spans="1:20" ht="13.5" customHeight="1" x14ac:dyDescent="0.3">
      <c r="A105" s="57" t="s">
        <v>187</v>
      </c>
      <c r="B105" s="7" t="s">
        <v>188</v>
      </c>
      <c r="C105" s="37">
        <v>44385155</v>
      </c>
      <c r="D105" s="58">
        <v>2019</v>
      </c>
      <c r="E105" s="58"/>
      <c r="F105" s="59" t="s">
        <v>495</v>
      </c>
      <c r="G105" s="60">
        <v>6</v>
      </c>
      <c r="H105" s="51"/>
      <c r="I105" s="92">
        <v>57000</v>
      </c>
      <c r="J105" s="52">
        <v>0.247</v>
      </c>
      <c r="K105" s="51"/>
      <c r="L105" s="51"/>
      <c r="M105" s="103">
        <v>2100</v>
      </c>
      <c r="N105" s="52">
        <v>73.8</v>
      </c>
      <c r="O105" s="51"/>
      <c r="P105" s="51"/>
      <c r="Q105" s="51"/>
      <c r="R105" s="59" t="s">
        <v>494</v>
      </c>
      <c r="S105" s="85" t="s">
        <v>493</v>
      </c>
      <c r="T105" s="59" t="s">
        <v>492</v>
      </c>
    </row>
    <row r="106" spans="1:20" ht="13.5" customHeight="1" x14ac:dyDescent="0.3">
      <c r="A106" s="53" t="s">
        <v>187</v>
      </c>
      <c r="B106" s="7" t="s">
        <v>188</v>
      </c>
      <c r="C106" s="36">
        <v>44134693</v>
      </c>
      <c r="D106" s="54">
        <v>2020</v>
      </c>
      <c r="E106" s="54"/>
      <c r="F106" s="55" t="s">
        <v>379</v>
      </c>
      <c r="G106" s="54">
        <v>6</v>
      </c>
      <c r="H106" s="51"/>
      <c r="I106" s="90">
        <v>300000</v>
      </c>
      <c r="J106" s="52">
        <v>0.13300000000000001</v>
      </c>
      <c r="K106" s="51"/>
      <c r="L106" s="51"/>
      <c r="M106" s="103">
        <v>32000</v>
      </c>
      <c r="N106" s="52">
        <v>73.8</v>
      </c>
      <c r="O106" s="51"/>
      <c r="P106" s="51"/>
      <c r="Q106" s="51"/>
      <c r="R106" s="55" t="s">
        <v>491</v>
      </c>
      <c r="S106" s="84" t="s">
        <v>490</v>
      </c>
      <c r="T106" s="55" t="s">
        <v>485</v>
      </c>
    </row>
    <row r="107" spans="1:20" ht="13.5" customHeight="1" x14ac:dyDescent="0.3">
      <c r="A107" s="53" t="s">
        <v>187</v>
      </c>
      <c r="B107" s="7" t="s">
        <v>188</v>
      </c>
      <c r="C107" s="36">
        <v>43467122</v>
      </c>
      <c r="D107" s="54">
        <v>2021</v>
      </c>
      <c r="E107" s="54"/>
      <c r="F107" s="55" t="s">
        <v>379</v>
      </c>
      <c r="G107" s="54">
        <v>7</v>
      </c>
      <c r="H107" s="51"/>
      <c r="I107" s="90">
        <v>1700000</v>
      </c>
      <c r="J107" s="52">
        <v>0.13300000000000001</v>
      </c>
      <c r="K107" s="51"/>
      <c r="L107" s="51"/>
      <c r="M107" s="103">
        <v>98742</v>
      </c>
      <c r="N107" s="52">
        <v>73.8</v>
      </c>
      <c r="O107" s="51"/>
      <c r="P107" s="51"/>
      <c r="Q107" s="51"/>
      <c r="R107" s="55" t="s">
        <v>489</v>
      </c>
      <c r="S107" s="84" t="s">
        <v>488</v>
      </c>
      <c r="T107" s="55" t="s">
        <v>306</v>
      </c>
    </row>
    <row r="108" spans="1:20" ht="13.5" customHeight="1" x14ac:dyDescent="0.3">
      <c r="A108" s="69" t="s">
        <v>187</v>
      </c>
      <c r="B108" s="7" t="s">
        <v>188</v>
      </c>
      <c r="C108" s="36">
        <v>43531422</v>
      </c>
      <c r="D108" s="70">
        <v>2022</v>
      </c>
      <c r="E108" s="70"/>
      <c r="F108" s="71" t="s">
        <v>402</v>
      </c>
      <c r="G108" s="72">
        <v>8</v>
      </c>
      <c r="H108" s="51"/>
      <c r="I108" s="97">
        <v>8000000</v>
      </c>
      <c r="J108" s="52">
        <v>0.2</v>
      </c>
      <c r="K108" s="51"/>
      <c r="L108" s="51"/>
      <c r="M108" s="103">
        <v>50000</v>
      </c>
      <c r="N108" s="52">
        <v>73.8</v>
      </c>
      <c r="O108" s="51"/>
      <c r="P108" s="51"/>
      <c r="Q108" s="51"/>
      <c r="R108" s="71" t="s">
        <v>487</v>
      </c>
      <c r="S108" s="88" t="s">
        <v>486</v>
      </c>
      <c r="T108" s="71" t="s">
        <v>485</v>
      </c>
    </row>
    <row r="109" spans="1:20" ht="13.5" customHeight="1" x14ac:dyDescent="0.3">
      <c r="A109" s="69" t="s">
        <v>187</v>
      </c>
      <c r="B109" s="7" t="s">
        <v>188</v>
      </c>
      <c r="C109" s="37">
        <v>37000000</v>
      </c>
      <c r="D109" s="70">
        <v>2023</v>
      </c>
      <c r="E109" s="70"/>
      <c r="F109" s="71" t="s">
        <v>402</v>
      </c>
      <c r="G109" s="72">
        <v>8</v>
      </c>
      <c r="H109" s="51"/>
      <c r="I109" s="97">
        <v>8000000</v>
      </c>
      <c r="J109" s="52">
        <v>0.2</v>
      </c>
      <c r="K109" s="51"/>
      <c r="L109" s="51"/>
      <c r="M109" s="103">
        <v>60000</v>
      </c>
      <c r="N109" s="52">
        <v>73.8</v>
      </c>
      <c r="O109" s="51"/>
      <c r="P109" s="51"/>
      <c r="Q109" s="51"/>
      <c r="R109" s="71" t="s">
        <v>484</v>
      </c>
      <c r="S109" s="88" t="s">
        <v>483</v>
      </c>
      <c r="T109" s="71"/>
    </row>
    <row r="110" spans="1:20" ht="13.5" customHeight="1" x14ac:dyDescent="0.3">
      <c r="A110" s="69" t="s">
        <v>187</v>
      </c>
      <c r="B110" s="7" t="s">
        <v>188</v>
      </c>
      <c r="C110" s="36">
        <v>36744600</v>
      </c>
      <c r="D110" s="70">
        <v>2024</v>
      </c>
      <c r="E110" s="70"/>
      <c r="F110" s="71" t="s">
        <v>402</v>
      </c>
      <c r="G110" s="72">
        <v>8</v>
      </c>
      <c r="H110" s="51"/>
      <c r="I110" s="97">
        <v>6500000</v>
      </c>
      <c r="J110" s="52">
        <v>0.2</v>
      </c>
      <c r="K110" s="51"/>
      <c r="L110" s="51"/>
      <c r="M110" s="103">
        <v>60000</v>
      </c>
      <c r="N110" s="52">
        <v>73.8</v>
      </c>
      <c r="O110" s="51"/>
      <c r="P110" s="51"/>
      <c r="Q110" s="51"/>
      <c r="R110" s="71" t="s">
        <v>482</v>
      </c>
      <c r="S110" s="88" t="s">
        <v>481</v>
      </c>
      <c r="T110" s="71"/>
    </row>
    <row r="111" spans="1:20" ht="13.5" customHeight="1" x14ac:dyDescent="0.3">
      <c r="A111" s="69" t="s">
        <v>187</v>
      </c>
      <c r="B111" s="7" t="s">
        <v>188</v>
      </c>
      <c r="C111" s="36">
        <v>36000000</v>
      </c>
      <c r="D111" s="70">
        <v>2025</v>
      </c>
      <c r="E111" s="70"/>
      <c r="F111" s="71" t="s">
        <v>402</v>
      </c>
      <c r="G111" s="72">
        <v>8</v>
      </c>
      <c r="H111" s="51"/>
      <c r="I111" s="97">
        <v>6000000</v>
      </c>
      <c r="J111" s="52">
        <v>0.2</v>
      </c>
      <c r="K111" s="51"/>
      <c r="L111" s="51"/>
      <c r="M111" s="103">
        <v>50000</v>
      </c>
      <c r="N111" s="52">
        <v>73.8</v>
      </c>
      <c r="O111" s="51"/>
      <c r="P111" s="51"/>
      <c r="Q111" s="51"/>
      <c r="R111" s="71" t="s">
        <v>480</v>
      </c>
      <c r="S111" s="88" t="s">
        <v>479</v>
      </c>
      <c r="T111" s="71"/>
    </row>
    <row r="112" spans="1:20" ht="13.5" customHeight="1" x14ac:dyDescent="0.3">
      <c r="A112" s="69" t="s">
        <v>209</v>
      </c>
      <c r="B112" s="7" t="s">
        <v>118</v>
      </c>
      <c r="C112" s="36">
        <v>4422143</v>
      </c>
      <c r="D112" s="70">
        <v>2015</v>
      </c>
      <c r="E112" s="70"/>
      <c r="F112" s="71" t="s">
        <v>402</v>
      </c>
      <c r="G112" s="72">
        <v>7</v>
      </c>
      <c r="H112" s="51"/>
      <c r="I112" s="98">
        <v>650000</v>
      </c>
      <c r="J112" s="52">
        <v>0.2</v>
      </c>
      <c r="K112" s="51"/>
      <c r="L112" s="51"/>
      <c r="M112" s="103">
        <v>2200</v>
      </c>
      <c r="N112" s="52">
        <v>73.8</v>
      </c>
      <c r="O112" s="51"/>
      <c r="P112" s="51"/>
      <c r="Q112" s="51"/>
      <c r="R112" s="71" t="s">
        <v>478</v>
      </c>
      <c r="S112" s="88" t="s">
        <v>442</v>
      </c>
      <c r="T112" s="71"/>
    </row>
    <row r="113" spans="1:20" ht="13.5" customHeight="1" x14ac:dyDescent="0.3">
      <c r="A113" s="69" t="s">
        <v>209</v>
      </c>
      <c r="B113" s="7" t="s">
        <v>118</v>
      </c>
      <c r="C113" s="36">
        <v>4551566</v>
      </c>
      <c r="D113" s="70">
        <v>2016</v>
      </c>
      <c r="E113" s="70"/>
      <c r="F113" s="71" t="s">
        <v>402</v>
      </c>
      <c r="G113" s="72">
        <v>7</v>
      </c>
      <c r="H113" s="51"/>
      <c r="I113" s="98">
        <v>680000</v>
      </c>
      <c r="J113" s="52">
        <v>0.2</v>
      </c>
      <c r="K113" s="51"/>
      <c r="L113" s="51"/>
      <c r="M113" s="103">
        <v>2400</v>
      </c>
      <c r="N113" s="52">
        <v>73.8</v>
      </c>
      <c r="O113" s="51"/>
      <c r="P113" s="51"/>
      <c r="Q113" s="51"/>
      <c r="R113" s="71" t="s">
        <v>477</v>
      </c>
      <c r="S113" s="88" t="s">
        <v>440</v>
      </c>
      <c r="T113" s="71"/>
    </row>
    <row r="114" spans="1:20" ht="13.5" customHeight="1" x14ac:dyDescent="0.3">
      <c r="A114" s="69" t="s">
        <v>209</v>
      </c>
      <c r="B114" s="7" t="s">
        <v>118</v>
      </c>
      <c r="C114" s="37">
        <v>4684777</v>
      </c>
      <c r="D114" s="70">
        <v>2017</v>
      </c>
      <c r="E114" s="70"/>
      <c r="F114" s="71" t="s">
        <v>402</v>
      </c>
      <c r="G114" s="72">
        <v>7</v>
      </c>
      <c r="H114" s="51"/>
      <c r="I114" s="98">
        <v>700000</v>
      </c>
      <c r="J114" s="52">
        <v>0.2</v>
      </c>
      <c r="K114" s="51"/>
      <c r="L114" s="51"/>
      <c r="M114" s="103">
        <v>2600</v>
      </c>
      <c r="N114" s="52">
        <v>73.8</v>
      </c>
      <c r="O114" s="51"/>
      <c r="P114" s="51"/>
      <c r="Q114" s="51"/>
      <c r="R114" s="71" t="s">
        <v>476</v>
      </c>
      <c r="S114" s="88" t="s">
        <v>438</v>
      </c>
      <c r="T114" s="71"/>
    </row>
    <row r="115" spans="1:20" ht="13.5" customHeight="1" x14ac:dyDescent="0.3">
      <c r="A115" s="69" t="s">
        <v>209</v>
      </c>
      <c r="B115" s="7" t="s">
        <v>118</v>
      </c>
      <c r="C115" s="37">
        <v>4862079</v>
      </c>
      <c r="D115" s="70">
        <v>2018</v>
      </c>
      <c r="E115" s="70"/>
      <c r="F115" s="71" t="s">
        <v>402</v>
      </c>
      <c r="G115" s="72">
        <v>7</v>
      </c>
      <c r="H115" s="51"/>
      <c r="I115" s="98">
        <v>280000</v>
      </c>
      <c r="J115" s="52">
        <v>0.2</v>
      </c>
      <c r="K115" s="51"/>
      <c r="L115" s="51"/>
      <c r="M115" s="103">
        <v>3100</v>
      </c>
      <c r="N115" s="52">
        <v>73.8</v>
      </c>
      <c r="O115" s="51"/>
      <c r="P115" s="51"/>
      <c r="Q115" s="51"/>
      <c r="R115" s="71" t="s">
        <v>475</v>
      </c>
      <c r="S115" s="88" t="s">
        <v>474</v>
      </c>
      <c r="T115" s="71"/>
    </row>
    <row r="116" spans="1:20" ht="13.5" customHeight="1" x14ac:dyDescent="0.3">
      <c r="A116" s="69" t="s">
        <v>209</v>
      </c>
      <c r="B116" s="7" t="s">
        <v>118</v>
      </c>
      <c r="C116" s="36">
        <v>4981420</v>
      </c>
      <c r="D116" s="70">
        <v>2019</v>
      </c>
      <c r="E116" s="70"/>
      <c r="F116" s="71" t="s">
        <v>402</v>
      </c>
      <c r="G116" s="72">
        <v>7</v>
      </c>
      <c r="H116" s="51"/>
      <c r="I116" s="98">
        <v>700000</v>
      </c>
      <c r="J116" s="52">
        <v>0.2</v>
      </c>
      <c r="K116" s="51"/>
      <c r="L116" s="51"/>
      <c r="M116" s="103">
        <v>2800</v>
      </c>
      <c r="N116" s="52">
        <v>73.8</v>
      </c>
      <c r="O116" s="51"/>
      <c r="P116" s="51"/>
      <c r="Q116" s="51"/>
      <c r="R116" s="71" t="s">
        <v>473</v>
      </c>
      <c r="S116" s="88" t="s">
        <v>472</v>
      </c>
      <c r="T116" s="71"/>
    </row>
    <row r="117" spans="1:20" ht="13.5" customHeight="1" x14ac:dyDescent="0.3">
      <c r="A117" s="53" t="s">
        <v>209</v>
      </c>
      <c r="B117" s="7" t="s">
        <v>118</v>
      </c>
      <c r="C117" s="36">
        <v>5101414</v>
      </c>
      <c r="D117" s="54">
        <v>2020</v>
      </c>
      <c r="E117" s="54"/>
      <c r="F117" s="55" t="s">
        <v>379</v>
      </c>
      <c r="G117" s="54">
        <v>6</v>
      </c>
      <c r="H117" s="51"/>
      <c r="I117" s="90">
        <v>400000</v>
      </c>
      <c r="J117" s="52">
        <v>0.13300000000000001</v>
      </c>
      <c r="K117" s="51"/>
      <c r="L117" s="51"/>
      <c r="M117" s="103">
        <v>3500</v>
      </c>
      <c r="N117" s="52">
        <v>73.8</v>
      </c>
      <c r="O117" s="51"/>
      <c r="P117" s="51"/>
      <c r="Q117" s="51"/>
      <c r="R117" s="55" t="s">
        <v>471</v>
      </c>
      <c r="S117" s="84" t="s">
        <v>470</v>
      </c>
      <c r="T117" s="55"/>
    </row>
    <row r="118" spans="1:20" ht="13.5" customHeight="1" x14ac:dyDescent="0.3">
      <c r="A118" s="53" t="s">
        <v>209</v>
      </c>
      <c r="B118" s="7" t="s">
        <v>118</v>
      </c>
      <c r="C118" s="36">
        <v>5227193</v>
      </c>
      <c r="D118" s="54">
        <v>2021</v>
      </c>
      <c r="E118" s="54"/>
      <c r="F118" s="55" t="s">
        <v>379</v>
      </c>
      <c r="G118" s="54">
        <v>6</v>
      </c>
      <c r="H118" s="51"/>
      <c r="I118" s="90">
        <v>600000</v>
      </c>
      <c r="J118" s="52">
        <v>0.13300000000000001</v>
      </c>
      <c r="K118" s="51"/>
      <c r="L118" s="51"/>
      <c r="M118" s="103">
        <v>5400</v>
      </c>
      <c r="N118" s="52">
        <v>73.8</v>
      </c>
      <c r="O118" s="51"/>
      <c r="P118" s="51"/>
      <c r="Q118" s="51"/>
      <c r="R118" s="55" t="s">
        <v>469</v>
      </c>
      <c r="S118" s="84" t="s">
        <v>468</v>
      </c>
      <c r="T118" s="55"/>
    </row>
    <row r="119" spans="1:20" ht="13.5" customHeight="1" x14ac:dyDescent="0.3">
      <c r="A119" s="69" t="s">
        <v>209</v>
      </c>
      <c r="B119" s="7" t="s">
        <v>118</v>
      </c>
      <c r="C119" s="36">
        <v>5354076</v>
      </c>
      <c r="D119" s="70">
        <v>2022</v>
      </c>
      <c r="E119" s="70"/>
      <c r="F119" s="71" t="s">
        <v>402</v>
      </c>
      <c r="G119" s="72">
        <v>7</v>
      </c>
      <c r="H119" s="51"/>
      <c r="I119" s="98">
        <v>700000</v>
      </c>
      <c r="J119" s="52">
        <v>0.2</v>
      </c>
      <c r="K119" s="51"/>
      <c r="L119" s="51"/>
      <c r="M119" s="103">
        <v>3100</v>
      </c>
      <c r="N119" s="52">
        <v>73.8</v>
      </c>
      <c r="O119" s="51"/>
      <c r="P119" s="51"/>
      <c r="Q119" s="51"/>
      <c r="R119" s="71" t="s">
        <v>467</v>
      </c>
      <c r="S119" s="88" t="s">
        <v>428</v>
      </c>
      <c r="T119" s="71"/>
    </row>
    <row r="120" spans="1:20" ht="13.5" customHeight="1" x14ac:dyDescent="0.3">
      <c r="A120" s="69" t="s">
        <v>209</v>
      </c>
      <c r="B120" s="7" t="s">
        <v>118</v>
      </c>
      <c r="C120" s="36">
        <v>5483450</v>
      </c>
      <c r="D120" s="70">
        <v>2023</v>
      </c>
      <c r="E120" s="70"/>
      <c r="F120" s="71" t="s">
        <v>402</v>
      </c>
      <c r="G120" s="72">
        <v>9</v>
      </c>
      <c r="H120" s="51"/>
      <c r="I120" s="98">
        <v>2200000</v>
      </c>
      <c r="J120" s="52">
        <v>0.2</v>
      </c>
      <c r="K120" s="51"/>
      <c r="L120" s="51"/>
      <c r="M120" s="103">
        <v>21672</v>
      </c>
      <c r="N120" s="52">
        <v>73.8</v>
      </c>
      <c r="O120" s="51"/>
      <c r="P120" s="51"/>
      <c r="Q120" s="51"/>
      <c r="R120" s="71" t="s">
        <v>466</v>
      </c>
      <c r="S120" s="88" t="s">
        <v>465</v>
      </c>
      <c r="T120" s="71" t="s">
        <v>384</v>
      </c>
    </row>
    <row r="121" spans="1:20" ht="13.5" customHeight="1" x14ac:dyDescent="0.3">
      <c r="A121" s="69" t="s">
        <v>209</v>
      </c>
      <c r="B121" s="7" t="s">
        <v>118</v>
      </c>
      <c r="C121" s="36">
        <v>5262000</v>
      </c>
      <c r="D121" s="70">
        <v>2024</v>
      </c>
      <c r="E121" s="70"/>
      <c r="F121" s="71" t="s">
        <v>402</v>
      </c>
      <c r="G121" s="72">
        <v>9</v>
      </c>
      <c r="H121" s="51"/>
      <c r="I121" s="98">
        <v>2200000</v>
      </c>
      <c r="J121" s="52">
        <v>0.2</v>
      </c>
      <c r="K121" s="51"/>
      <c r="L121" s="51"/>
      <c r="M121" s="103">
        <v>43000</v>
      </c>
      <c r="N121" s="52">
        <v>73.8</v>
      </c>
      <c r="O121" s="51"/>
      <c r="P121" s="51"/>
      <c r="Q121" s="51"/>
      <c r="R121" s="71" t="s">
        <v>464</v>
      </c>
      <c r="S121" s="88" t="s">
        <v>463</v>
      </c>
      <c r="T121" s="71" t="s">
        <v>384</v>
      </c>
    </row>
    <row r="122" spans="1:20" ht="13.5" customHeight="1" x14ac:dyDescent="0.3">
      <c r="A122" s="69" t="s">
        <v>209</v>
      </c>
      <c r="B122" s="7" t="s">
        <v>118</v>
      </c>
      <c r="C122" s="36">
        <v>5300000</v>
      </c>
      <c r="D122" s="70">
        <v>2025</v>
      </c>
      <c r="E122" s="70"/>
      <c r="F122" s="71" t="s">
        <v>402</v>
      </c>
      <c r="G122" s="72">
        <v>8</v>
      </c>
      <c r="H122" s="51"/>
      <c r="I122" s="97">
        <v>2200000</v>
      </c>
      <c r="J122" s="52">
        <v>0.2</v>
      </c>
      <c r="K122" s="51"/>
      <c r="L122" s="51"/>
      <c r="M122" s="103">
        <v>50000</v>
      </c>
      <c r="N122" s="52">
        <v>73.8</v>
      </c>
      <c r="O122" s="51"/>
      <c r="P122" s="51"/>
      <c r="Q122" s="51"/>
      <c r="R122" s="71" t="s">
        <v>462</v>
      </c>
      <c r="S122" s="88" t="s">
        <v>461</v>
      </c>
      <c r="T122" s="71"/>
    </row>
    <row r="123" spans="1:20" ht="13.5" customHeight="1" x14ac:dyDescent="0.3">
      <c r="A123" s="53" t="s">
        <v>231</v>
      </c>
      <c r="B123" s="7" t="s">
        <v>118</v>
      </c>
      <c r="C123" s="36">
        <v>26497889</v>
      </c>
      <c r="D123" s="54">
        <v>2015</v>
      </c>
      <c r="E123" s="54"/>
      <c r="F123" s="55" t="s">
        <v>379</v>
      </c>
      <c r="G123" s="56">
        <v>7</v>
      </c>
      <c r="H123" s="51"/>
      <c r="I123" s="90">
        <v>1000000</v>
      </c>
      <c r="J123" s="52">
        <v>0.247</v>
      </c>
      <c r="K123" s="51"/>
      <c r="L123" s="51"/>
      <c r="M123" s="103">
        <v>6000</v>
      </c>
      <c r="N123" s="52">
        <v>73.8</v>
      </c>
      <c r="O123" s="51"/>
      <c r="P123" s="51"/>
      <c r="Q123" s="51"/>
      <c r="R123" s="55" t="s">
        <v>460</v>
      </c>
      <c r="S123" s="84" t="s">
        <v>442</v>
      </c>
      <c r="T123" s="55"/>
    </row>
    <row r="124" spans="1:20" ht="13.5" customHeight="1" x14ac:dyDescent="0.3">
      <c r="A124" s="53" t="s">
        <v>231</v>
      </c>
      <c r="B124" s="7" t="s">
        <v>118</v>
      </c>
      <c r="C124" s="36">
        <v>27168210</v>
      </c>
      <c r="D124" s="54">
        <v>2016</v>
      </c>
      <c r="E124" s="54"/>
      <c r="F124" s="55" t="s">
        <v>379</v>
      </c>
      <c r="G124" s="54">
        <v>7</v>
      </c>
      <c r="H124" s="51"/>
      <c r="I124" s="90">
        <v>500000</v>
      </c>
      <c r="J124" s="52">
        <v>0.247</v>
      </c>
      <c r="K124" s="51"/>
      <c r="L124" s="51"/>
      <c r="M124" s="103">
        <v>2000</v>
      </c>
      <c r="N124" s="52">
        <v>73.8</v>
      </c>
      <c r="O124" s="51"/>
      <c r="P124" s="51"/>
      <c r="Q124" s="51"/>
      <c r="R124" s="55" t="s">
        <v>459</v>
      </c>
      <c r="S124" s="84" t="s">
        <v>458</v>
      </c>
      <c r="T124" s="55"/>
    </row>
    <row r="125" spans="1:20" ht="13.5" customHeight="1" x14ac:dyDescent="0.3">
      <c r="A125" s="53" t="s">
        <v>231</v>
      </c>
      <c r="B125" s="7" t="s">
        <v>118</v>
      </c>
      <c r="C125" s="37">
        <v>27834819</v>
      </c>
      <c r="D125" s="54">
        <v>2017</v>
      </c>
      <c r="E125" s="54"/>
      <c r="F125" s="55" t="s">
        <v>379</v>
      </c>
      <c r="G125" s="54">
        <v>8</v>
      </c>
      <c r="H125" s="51"/>
      <c r="I125" s="90">
        <v>1000000</v>
      </c>
      <c r="J125" s="52">
        <v>0.247</v>
      </c>
      <c r="K125" s="51"/>
      <c r="L125" s="51"/>
      <c r="M125" s="103">
        <v>5000</v>
      </c>
      <c r="N125" s="52">
        <v>73.8</v>
      </c>
      <c r="O125" s="51"/>
      <c r="P125" s="51"/>
      <c r="Q125" s="51"/>
      <c r="R125" s="55" t="s">
        <v>457</v>
      </c>
      <c r="S125" s="84" t="s">
        <v>438</v>
      </c>
      <c r="T125" s="55" t="s">
        <v>384</v>
      </c>
    </row>
    <row r="126" spans="1:20" ht="13.5" customHeight="1" x14ac:dyDescent="0.3">
      <c r="A126" s="53" t="s">
        <v>231</v>
      </c>
      <c r="B126" s="7" t="s">
        <v>118</v>
      </c>
      <c r="C126" s="36">
        <v>28498687</v>
      </c>
      <c r="D126" s="54">
        <v>2018</v>
      </c>
      <c r="E126" s="54"/>
      <c r="F126" s="55" t="s">
        <v>379</v>
      </c>
      <c r="G126" s="54">
        <v>8</v>
      </c>
      <c r="H126" s="51"/>
      <c r="I126" s="90">
        <v>2200000</v>
      </c>
      <c r="J126" s="52">
        <v>0.247</v>
      </c>
      <c r="K126" s="51"/>
      <c r="L126" s="51"/>
      <c r="M126" s="103">
        <v>3300</v>
      </c>
      <c r="N126" s="52">
        <v>73.8</v>
      </c>
      <c r="O126" s="51"/>
      <c r="P126" s="51"/>
      <c r="Q126" s="51"/>
      <c r="R126" s="55" t="s">
        <v>456</v>
      </c>
      <c r="S126" s="84" t="s">
        <v>455</v>
      </c>
      <c r="T126" s="55"/>
    </row>
    <row r="127" spans="1:20" ht="13.5" customHeight="1" x14ac:dyDescent="0.3">
      <c r="A127" s="53" t="s">
        <v>231</v>
      </c>
      <c r="B127" s="7" t="s">
        <v>118</v>
      </c>
      <c r="C127" s="36">
        <v>29161922</v>
      </c>
      <c r="D127" s="54">
        <v>2019</v>
      </c>
      <c r="E127" s="54"/>
      <c r="F127" s="55" t="s">
        <v>379</v>
      </c>
      <c r="G127" s="54">
        <v>7</v>
      </c>
      <c r="H127" s="51"/>
      <c r="I127" s="90">
        <v>500000</v>
      </c>
      <c r="J127" s="52">
        <v>0.247</v>
      </c>
      <c r="K127" s="51"/>
      <c r="L127" s="51"/>
      <c r="M127" s="103">
        <v>2500</v>
      </c>
      <c r="N127" s="52">
        <v>73.8</v>
      </c>
      <c r="O127" s="51"/>
      <c r="P127" s="51"/>
      <c r="Q127" s="51"/>
      <c r="R127" s="55" t="s">
        <v>454</v>
      </c>
      <c r="S127" s="84" t="s">
        <v>453</v>
      </c>
      <c r="T127" s="55"/>
    </row>
    <row r="128" spans="1:20" ht="13.5" customHeight="1" x14ac:dyDescent="0.3">
      <c r="A128" s="53" t="s">
        <v>231</v>
      </c>
      <c r="B128" s="7" t="s">
        <v>118</v>
      </c>
      <c r="C128" s="36">
        <v>29825968</v>
      </c>
      <c r="D128" s="54">
        <v>2020</v>
      </c>
      <c r="E128" s="54"/>
      <c r="F128" s="55" t="s">
        <v>379</v>
      </c>
      <c r="G128" s="54">
        <v>8</v>
      </c>
      <c r="H128" s="51"/>
      <c r="I128" s="90">
        <v>900000</v>
      </c>
      <c r="J128" s="52">
        <v>0.247</v>
      </c>
      <c r="K128" s="51"/>
      <c r="L128" s="51"/>
      <c r="M128" s="103">
        <v>4000</v>
      </c>
      <c r="N128" s="52">
        <v>73.8</v>
      </c>
      <c r="O128" s="51"/>
      <c r="P128" s="51"/>
      <c r="Q128" s="51"/>
      <c r="R128" s="55" t="s">
        <v>452</v>
      </c>
      <c r="S128" s="84" t="s">
        <v>451</v>
      </c>
      <c r="T128" s="55"/>
    </row>
    <row r="129" spans="1:20" ht="13.5" customHeight="1" x14ac:dyDescent="0.3">
      <c r="A129" s="53" t="s">
        <v>231</v>
      </c>
      <c r="B129" s="7" t="s">
        <v>118</v>
      </c>
      <c r="C129" s="37">
        <v>30491000</v>
      </c>
      <c r="D129" s="54">
        <v>2021</v>
      </c>
      <c r="E129" s="54"/>
      <c r="F129" s="55" t="s">
        <v>379</v>
      </c>
      <c r="G129" s="54">
        <v>8</v>
      </c>
      <c r="H129" s="51"/>
      <c r="I129" s="90">
        <v>700000</v>
      </c>
      <c r="J129" s="52">
        <v>0.247</v>
      </c>
      <c r="K129" s="51"/>
      <c r="L129" s="51"/>
      <c r="M129" s="103">
        <v>5000</v>
      </c>
      <c r="N129" s="52">
        <v>73.8</v>
      </c>
      <c r="O129" s="51"/>
      <c r="P129" s="51"/>
      <c r="Q129" s="51"/>
      <c r="R129" s="55" t="s">
        <v>450</v>
      </c>
      <c r="S129" s="84" t="s">
        <v>449</v>
      </c>
      <c r="T129" s="55"/>
    </row>
    <row r="130" spans="1:20" ht="13.5" customHeight="1" x14ac:dyDescent="0.3">
      <c r="A130" s="53" t="s">
        <v>231</v>
      </c>
      <c r="B130" s="7" t="s">
        <v>118</v>
      </c>
      <c r="C130" s="36">
        <v>33696000</v>
      </c>
      <c r="D130" s="54">
        <v>2022</v>
      </c>
      <c r="E130" s="54"/>
      <c r="F130" s="55" t="s">
        <v>379</v>
      </c>
      <c r="G130" s="54">
        <v>7</v>
      </c>
      <c r="H130" s="51"/>
      <c r="I130" s="90">
        <v>600000</v>
      </c>
      <c r="J130" s="52">
        <v>0.247</v>
      </c>
      <c r="K130" s="51"/>
      <c r="L130" s="51"/>
      <c r="M130" s="103">
        <v>3500</v>
      </c>
      <c r="N130" s="52">
        <v>73.8</v>
      </c>
      <c r="O130" s="51"/>
      <c r="P130" s="51"/>
      <c r="Q130" s="51"/>
      <c r="R130" s="55" t="s">
        <v>448</v>
      </c>
      <c r="S130" s="84" t="s">
        <v>447</v>
      </c>
      <c r="T130" s="55"/>
    </row>
    <row r="131" spans="1:20" ht="13.5" customHeight="1" x14ac:dyDescent="0.3">
      <c r="A131" s="53" t="s">
        <v>231</v>
      </c>
      <c r="B131" s="7" t="s">
        <v>118</v>
      </c>
      <c r="C131" s="36">
        <v>34450000</v>
      </c>
      <c r="D131" s="54">
        <v>2023</v>
      </c>
      <c r="E131" s="54"/>
      <c r="F131" s="55" t="s">
        <v>379</v>
      </c>
      <c r="G131" s="54">
        <v>8</v>
      </c>
      <c r="H131" s="51"/>
      <c r="I131" s="90">
        <v>800000</v>
      </c>
      <c r="J131" s="52">
        <v>0.247</v>
      </c>
      <c r="K131" s="51"/>
      <c r="L131" s="51"/>
      <c r="M131" s="103">
        <v>4200</v>
      </c>
      <c r="N131" s="52">
        <v>73.8</v>
      </c>
      <c r="O131" s="51"/>
      <c r="P131" s="51"/>
      <c r="Q131" s="51"/>
      <c r="R131" s="55" t="s">
        <v>446</v>
      </c>
      <c r="S131" s="84" t="s">
        <v>425</v>
      </c>
      <c r="T131" s="55"/>
    </row>
    <row r="132" spans="1:20" ht="13.5" customHeight="1" x14ac:dyDescent="0.3">
      <c r="A132" s="53" t="s">
        <v>231</v>
      </c>
      <c r="B132" s="7" t="s">
        <v>118</v>
      </c>
      <c r="C132" s="37">
        <v>35490000</v>
      </c>
      <c r="D132" s="54">
        <v>2024</v>
      </c>
      <c r="E132" s="54"/>
      <c r="F132" s="55" t="s">
        <v>379</v>
      </c>
      <c r="G132" s="54">
        <v>8</v>
      </c>
      <c r="H132" s="51"/>
      <c r="I132" s="90">
        <v>700000</v>
      </c>
      <c r="J132" s="52">
        <v>0.247</v>
      </c>
      <c r="K132" s="51"/>
      <c r="L132" s="51"/>
      <c r="M132" s="103">
        <v>4000</v>
      </c>
      <c r="N132" s="52">
        <v>73.8</v>
      </c>
      <c r="O132" s="51"/>
      <c r="P132" s="51"/>
      <c r="Q132" s="51"/>
      <c r="R132" s="55" t="s">
        <v>445</v>
      </c>
      <c r="S132" s="84" t="s">
        <v>423</v>
      </c>
      <c r="T132" s="55"/>
    </row>
    <row r="133" spans="1:20" ht="13.5" customHeight="1" x14ac:dyDescent="0.3">
      <c r="A133" s="53" t="s">
        <v>231</v>
      </c>
      <c r="B133" s="7" t="s">
        <v>118</v>
      </c>
      <c r="C133" s="36">
        <v>36000000</v>
      </c>
      <c r="D133" s="54">
        <v>2025</v>
      </c>
      <c r="E133" s="54"/>
      <c r="F133" s="55" t="s">
        <v>379</v>
      </c>
      <c r="G133" s="56">
        <v>7</v>
      </c>
      <c r="H133" s="51"/>
      <c r="I133" s="91">
        <v>500000</v>
      </c>
      <c r="J133" s="52">
        <v>0.247</v>
      </c>
      <c r="K133" s="51"/>
      <c r="L133" s="51"/>
      <c r="M133" s="103">
        <v>3000</v>
      </c>
      <c r="N133" s="52">
        <v>73.8</v>
      </c>
      <c r="O133" s="51"/>
      <c r="P133" s="51"/>
      <c r="Q133" s="51"/>
      <c r="R133" s="55" t="s">
        <v>444</v>
      </c>
      <c r="S133" s="84" t="s">
        <v>421</v>
      </c>
      <c r="T133" s="55"/>
    </row>
    <row r="134" spans="1:20" ht="13.5" customHeight="1" x14ac:dyDescent="0.3">
      <c r="A134" s="69" t="s">
        <v>248</v>
      </c>
      <c r="B134" s="7" t="s">
        <v>118</v>
      </c>
      <c r="C134" s="36">
        <v>18502413</v>
      </c>
      <c r="D134" s="70">
        <v>2015</v>
      </c>
      <c r="E134" s="70"/>
      <c r="F134" s="71" t="s">
        <v>402</v>
      </c>
      <c r="G134" s="72">
        <v>8</v>
      </c>
      <c r="H134" s="51"/>
      <c r="I134" s="98">
        <v>6500000</v>
      </c>
      <c r="J134" s="52">
        <v>0.2</v>
      </c>
      <c r="K134" s="51"/>
      <c r="L134" s="51"/>
      <c r="M134" s="103">
        <v>56000</v>
      </c>
      <c r="N134" s="52">
        <v>73.8</v>
      </c>
      <c r="O134" s="51"/>
      <c r="P134" s="51"/>
      <c r="Q134" s="51"/>
      <c r="R134" s="71" t="s">
        <v>443</v>
      </c>
      <c r="S134" s="88" t="s">
        <v>442</v>
      </c>
      <c r="T134" s="71"/>
    </row>
    <row r="135" spans="1:20" ht="13.5" customHeight="1" x14ac:dyDescent="0.3">
      <c r="A135" s="69" t="s">
        <v>248</v>
      </c>
      <c r="B135" s="7" t="s">
        <v>118</v>
      </c>
      <c r="C135" s="36">
        <v>18430453</v>
      </c>
      <c r="D135" s="70">
        <v>2016</v>
      </c>
      <c r="E135" s="70"/>
      <c r="F135" s="71" t="s">
        <v>402</v>
      </c>
      <c r="G135" s="70">
        <v>8</v>
      </c>
      <c r="H135" s="51"/>
      <c r="I135" s="98">
        <v>7000000</v>
      </c>
      <c r="J135" s="52">
        <v>0.2</v>
      </c>
      <c r="K135" s="51"/>
      <c r="L135" s="51"/>
      <c r="M135" s="103">
        <v>49000</v>
      </c>
      <c r="N135" s="52">
        <v>73.8</v>
      </c>
      <c r="O135" s="51"/>
      <c r="P135" s="51"/>
      <c r="Q135" s="51"/>
      <c r="R135" s="71" t="s">
        <v>441</v>
      </c>
      <c r="S135" s="88" t="s">
        <v>440</v>
      </c>
      <c r="T135" s="71"/>
    </row>
    <row r="136" spans="1:20" ht="13.5" customHeight="1" x14ac:dyDescent="0.3">
      <c r="A136" s="69" t="s">
        <v>248</v>
      </c>
      <c r="B136" s="7" t="s">
        <v>118</v>
      </c>
      <c r="C136" s="36">
        <v>18270000</v>
      </c>
      <c r="D136" s="70">
        <v>2017</v>
      </c>
      <c r="E136" s="70"/>
      <c r="F136" s="71" t="s">
        <v>402</v>
      </c>
      <c r="G136" s="72">
        <v>8</v>
      </c>
      <c r="H136" s="51"/>
      <c r="I136" s="98">
        <v>6200000</v>
      </c>
      <c r="J136" s="52">
        <v>0.2</v>
      </c>
      <c r="K136" s="51"/>
      <c r="L136" s="51"/>
      <c r="M136" s="103">
        <v>33000</v>
      </c>
      <c r="N136" s="52">
        <v>73.8</v>
      </c>
      <c r="O136" s="51"/>
      <c r="P136" s="51"/>
      <c r="Q136" s="51"/>
      <c r="R136" s="71" t="s">
        <v>439</v>
      </c>
      <c r="S136" s="88" t="s">
        <v>438</v>
      </c>
      <c r="T136" s="71"/>
    </row>
    <row r="137" spans="1:20" ht="13.5" customHeight="1" x14ac:dyDescent="0.3">
      <c r="A137" s="69" t="s">
        <v>248</v>
      </c>
      <c r="B137" s="7" t="s">
        <v>118</v>
      </c>
      <c r="C137" s="36">
        <v>17500000</v>
      </c>
      <c r="D137" s="70">
        <v>2018</v>
      </c>
      <c r="E137" s="70"/>
      <c r="F137" s="71" t="s">
        <v>402</v>
      </c>
      <c r="G137" s="72">
        <v>8</v>
      </c>
      <c r="H137" s="51"/>
      <c r="I137" s="98">
        <v>5800000</v>
      </c>
      <c r="J137" s="52">
        <v>0.2</v>
      </c>
      <c r="K137" s="51"/>
      <c r="L137" s="51"/>
      <c r="M137" s="103">
        <v>30000</v>
      </c>
      <c r="N137" s="52">
        <v>73.8</v>
      </c>
      <c r="O137" s="51"/>
      <c r="P137" s="51"/>
      <c r="Q137" s="51"/>
      <c r="R137" s="71" t="s">
        <v>437</v>
      </c>
      <c r="S137" s="88" t="s">
        <v>436</v>
      </c>
      <c r="T137" s="71"/>
    </row>
    <row r="138" spans="1:20" ht="13.5" customHeight="1" x14ac:dyDescent="0.3">
      <c r="A138" s="69" t="s">
        <v>248</v>
      </c>
      <c r="B138" s="7" t="s">
        <v>118</v>
      </c>
      <c r="C138" s="36">
        <v>17500114</v>
      </c>
      <c r="D138" s="70">
        <v>2019</v>
      </c>
      <c r="E138" s="70"/>
      <c r="F138" s="71" t="s">
        <v>402</v>
      </c>
      <c r="G138" s="72">
        <v>7</v>
      </c>
      <c r="H138" s="51"/>
      <c r="I138" s="98">
        <v>5500000</v>
      </c>
      <c r="J138" s="52">
        <v>0.2</v>
      </c>
      <c r="K138" s="51"/>
      <c r="L138" s="51"/>
      <c r="M138" s="103">
        <v>22000</v>
      </c>
      <c r="N138" s="52">
        <v>73.8</v>
      </c>
      <c r="O138" s="51"/>
      <c r="P138" s="51"/>
      <c r="Q138" s="51"/>
      <c r="R138" s="71" t="s">
        <v>435</v>
      </c>
      <c r="S138" s="88" t="s">
        <v>434</v>
      </c>
      <c r="T138" s="71"/>
    </row>
    <row r="139" spans="1:20" ht="13.5" customHeight="1" x14ac:dyDescent="0.3">
      <c r="A139" s="53" t="s">
        <v>248</v>
      </c>
      <c r="B139" s="7" t="s">
        <v>118</v>
      </c>
      <c r="C139" s="36">
        <v>17500000</v>
      </c>
      <c r="D139" s="54">
        <v>2020</v>
      </c>
      <c r="E139" s="54"/>
      <c r="F139" s="55" t="s">
        <v>379</v>
      </c>
      <c r="G139" s="54">
        <v>7</v>
      </c>
      <c r="H139" s="51"/>
      <c r="I139" s="90">
        <v>4800000</v>
      </c>
      <c r="J139" s="52">
        <v>0.13300000000000001</v>
      </c>
      <c r="K139" s="51"/>
      <c r="L139" s="51"/>
      <c r="M139" s="103">
        <v>3182</v>
      </c>
      <c r="N139" s="52">
        <v>73.8</v>
      </c>
      <c r="O139" s="51"/>
      <c r="P139" s="51"/>
      <c r="Q139" s="51"/>
      <c r="R139" s="55" t="s">
        <v>433</v>
      </c>
      <c r="S139" s="84" t="s">
        <v>432</v>
      </c>
      <c r="T139" s="55"/>
    </row>
    <row r="140" spans="1:20" ht="13.5" customHeight="1" x14ac:dyDescent="0.3">
      <c r="A140" s="53" t="s">
        <v>248</v>
      </c>
      <c r="B140" s="7" t="s">
        <v>118</v>
      </c>
      <c r="C140" s="36">
        <v>21324000</v>
      </c>
      <c r="D140" s="54">
        <v>2021</v>
      </c>
      <c r="E140" s="54"/>
      <c r="F140" s="55" t="s">
        <v>379</v>
      </c>
      <c r="G140" s="54">
        <v>7</v>
      </c>
      <c r="H140" s="51"/>
      <c r="I140" s="90">
        <v>4200000</v>
      </c>
      <c r="J140" s="52">
        <v>0.13300000000000001</v>
      </c>
      <c r="K140" s="51"/>
      <c r="L140" s="51"/>
      <c r="M140" s="103">
        <v>7000</v>
      </c>
      <c r="N140" s="52">
        <v>73.8</v>
      </c>
      <c r="O140" s="51"/>
      <c r="P140" s="51"/>
      <c r="Q140" s="51"/>
      <c r="R140" s="55" t="s">
        <v>431</v>
      </c>
      <c r="S140" s="84" t="s">
        <v>430</v>
      </c>
      <c r="T140" s="55"/>
    </row>
    <row r="141" spans="1:20" ht="13.5" customHeight="1" x14ac:dyDescent="0.3">
      <c r="A141" s="53" t="s">
        <v>248</v>
      </c>
      <c r="B141" s="7" t="s">
        <v>118</v>
      </c>
      <c r="C141" s="37">
        <v>21324367</v>
      </c>
      <c r="D141" s="54">
        <v>2022</v>
      </c>
      <c r="E141" s="54"/>
      <c r="F141" s="55" t="s">
        <v>379</v>
      </c>
      <c r="G141" s="54">
        <v>7</v>
      </c>
      <c r="H141" s="51"/>
      <c r="I141" s="90">
        <v>97000</v>
      </c>
      <c r="J141" s="52">
        <v>0.247</v>
      </c>
      <c r="K141" s="51"/>
      <c r="L141" s="51"/>
      <c r="M141" s="103">
        <v>700</v>
      </c>
      <c r="N141" s="52">
        <v>73.8</v>
      </c>
      <c r="O141" s="51"/>
      <c r="P141" s="51"/>
      <c r="Q141" s="51"/>
      <c r="R141" s="55" t="s">
        <v>429</v>
      </c>
      <c r="S141" s="84" t="s">
        <v>428</v>
      </c>
      <c r="T141" s="55"/>
    </row>
    <row r="142" spans="1:20" ht="13.5" customHeight="1" x14ac:dyDescent="0.3">
      <c r="A142" s="69" t="s">
        <v>248</v>
      </c>
      <c r="B142" s="7" t="s">
        <v>118</v>
      </c>
      <c r="C142" s="36">
        <v>22125249</v>
      </c>
      <c r="D142" s="70">
        <v>2023</v>
      </c>
      <c r="E142" s="70"/>
      <c r="F142" s="71" t="s">
        <v>427</v>
      </c>
      <c r="G142" s="72">
        <v>8</v>
      </c>
      <c r="H142" s="51"/>
      <c r="I142" s="98">
        <v>4000000</v>
      </c>
      <c r="J142" s="52">
        <v>0.2</v>
      </c>
      <c r="K142" s="51"/>
      <c r="L142" s="51"/>
      <c r="M142" s="103">
        <v>50000</v>
      </c>
      <c r="N142" s="52">
        <v>73.8</v>
      </c>
      <c r="O142" s="51"/>
      <c r="P142" s="51"/>
      <c r="Q142" s="51"/>
      <c r="R142" s="71" t="s">
        <v>426</v>
      </c>
      <c r="S142" s="88" t="s">
        <v>425</v>
      </c>
      <c r="T142" s="71"/>
    </row>
    <row r="143" spans="1:20" ht="13.5" customHeight="1" x14ac:dyDescent="0.3">
      <c r="A143" s="69" t="s">
        <v>248</v>
      </c>
      <c r="B143" s="7" t="s">
        <v>118</v>
      </c>
      <c r="C143" s="37">
        <v>22492000</v>
      </c>
      <c r="D143" s="70">
        <v>2024</v>
      </c>
      <c r="E143" s="70"/>
      <c r="F143" s="71" t="s">
        <v>402</v>
      </c>
      <c r="G143" s="72">
        <v>7</v>
      </c>
      <c r="H143" s="51"/>
      <c r="I143" s="97">
        <v>3200000</v>
      </c>
      <c r="J143" s="52">
        <v>0.2</v>
      </c>
      <c r="K143" s="51"/>
      <c r="L143" s="51"/>
      <c r="M143" s="103">
        <v>18000</v>
      </c>
      <c r="N143" s="52">
        <v>73.8</v>
      </c>
      <c r="O143" s="51"/>
      <c r="P143" s="51"/>
      <c r="Q143" s="51"/>
      <c r="R143" s="71" t="s">
        <v>424</v>
      </c>
      <c r="S143" s="88" t="s">
        <v>423</v>
      </c>
      <c r="T143" s="71"/>
    </row>
    <row r="144" spans="1:20" ht="13.5" customHeight="1" x14ac:dyDescent="0.3">
      <c r="A144" s="69" t="s">
        <v>248</v>
      </c>
      <c r="B144" s="7" t="s">
        <v>118</v>
      </c>
      <c r="C144" s="36">
        <v>22000000</v>
      </c>
      <c r="D144" s="70">
        <v>2025</v>
      </c>
      <c r="E144" s="70"/>
      <c r="F144" s="71" t="s">
        <v>402</v>
      </c>
      <c r="G144" s="72">
        <v>6</v>
      </c>
      <c r="H144" s="51"/>
      <c r="I144" s="97">
        <v>2800000</v>
      </c>
      <c r="J144" s="52">
        <v>0.2</v>
      </c>
      <c r="K144" s="51"/>
      <c r="L144" s="51"/>
      <c r="M144" s="103">
        <v>12000</v>
      </c>
      <c r="N144" s="52">
        <v>73.8</v>
      </c>
      <c r="O144" s="51"/>
      <c r="P144" s="51"/>
      <c r="Q144" s="51"/>
      <c r="R144" s="71" t="s">
        <v>422</v>
      </c>
      <c r="S144" s="88" t="s">
        <v>421</v>
      </c>
      <c r="T144" s="71"/>
    </row>
    <row r="145" spans="1:20" ht="13.5" customHeight="1" x14ac:dyDescent="0.3">
      <c r="A145" s="53" t="s">
        <v>267</v>
      </c>
      <c r="B145" s="10" t="s">
        <v>76</v>
      </c>
      <c r="C145" s="37">
        <v>38902940</v>
      </c>
      <c r="D145" s="54">
        <v>2015</v>
      </c>
      <c r="E145" s="54"/>
      <c r="F145" s="55" t="s">
        <v>379</v>
      </c>
      <c r="G145" s="56">
        <v>6</v>
      </c>
      <c r="H145" s="51"/>
      <c r="I145" s="90">
        <v>3000000</v>
      </c>
      <c r="J145" s="52">
        <v>0.19</v>
      </c>
      <c r="K145" s="51"/>
      <c r="L145" s="51"/>
      <c r="M145" s="103">
        <v>22000</v>
      </c>
      <c r="N145" s="52">
        <v>73.8</v>
      </c>
      <c r="O145" s="51"/>
      <c r="P145" s="51"/>
      <c r="Q145" s="51"/>
      <c r="R145" s="55" t="s">
        <v>420</v>
      </c>
      <c r="S145" s="84" t="s">
        <v>419</v>
      </c>
      <c r="T145" s="55" t="s">
        <v>22</v>
      </c>
    </row>
    <row r="146" spans="1:20" ht="13.5" customHeight="1" x14ac:dyDescent="0.3">
      <c r="A146" s="53" t="s">
        <v>267</v>
      </c>
      <c r="B146" s="10" t="s">
        <v>76</v>
      </c>
      <c r="C146" s="36">
        <v>39599483</v>
      </c>
      <c r="D146" s="54">
        <v>2016</v>
      </c>
      <c r="E146" s="54"/>
      <c r="F146" s="55" t="s">
        <v>379</v>
      </c>
      <c r="G146" s="56">
        <v>6</v>
      </c>
      <c r="H146" s="51"/>
      <c r="I146" s="90">
        <v>3200000</v>
      </c>
      <c r="J146" s="52">
        <v>0.19</v>
      </c>
      <c r="K146" s="51"/>
      <c r="L146" s="51"/>
      <c r="M146" s="103">
        <v>24000</v>
      </c>
      <c r="N146" s="52">
        <v>73.8</v>
      </c>
      <c r="O146" s="51"/>
      <c r="P146" s="51"/>
      <c r="Q146" s="51"/>
      <c r="R146" s="55" t="s">
        <v>418</v>
      </c>
      <c r="S146" s="84" t="s">
        <v>417</v>
      </c>
      <c r="T146" s="55"/>
    </row>
    <row r="147" spans="1:20" ht="13.5" customHeight="1" x14ac:dyDescent="0.3">
      <c r="A147" s="53" t="s">
        <v>267</v>
      </c>
      <c r="B147" s="10" t="s">
        <v>76</v>
      </c>
      <c r="C147" s="37">
        <v>40533330</v>
      </c>
      <c r="D147" s="54">
        <v>2017</v>
      </c>
      <c r="E147" s="54"/>
      <c r="F147" s="55" t="s">
        <v>379</v>
      </c>
      <c r="G147" s="56">
        <v>6</v>
      </c>
      <c r="H147" s="51"/>
      <c r="I147" s="90">
        <v>3400000</v>
      </c>
      <c r="J147" s="52">
        <v>0.19</v>
      </c>
      <c r="K147" s="51"/>
      <c r="L147" s="51"/>
      <c r="M147" s="103">
        <v>26000</v>
      </c>
      <c r="N147" s="52">
        <v>73.8</v>
      </c>
      <c r="O147" s="51"/>
      <c r="P147" s="51"/>
      <c r="Q147" s="51"/>
      <c r="R147" s="55" t="s">
        <v>416</v>
      </c>
      <c r="S147" s="84" t="s">
        <v>415</v>
      </c>
      <c r="T147" s="55"/>
    </row>
    <row r="148" spans="1:20" ht="13.5" customHeight="1" x14ac:dyDescent="0.3">
      <c r="A148" s="53" t="s">
        <v>267</v>
      </c>
      <c r="B148" s="10" t="s">
        <v>76</v>
      </c>
      <c r="C148" s="37">
        <v>41511526</v>
      </c>
      <c r="D148" s="54">
        <v>2018</v>
      </c>
      <c r="E148" s="54"/>
      <c r="F148" s="55" t="s">
        <v>379</v>
      </c>
      <c r="G148" s="56">
        <v>6</v>
      </c>
      <c r="H148" s="51"/>
      <c r="I148" s="90">
        <v>3200000</v>
      </c>
      <c r="J148" s="52">
        <v>0.19</v>
      </c>
      <c r="K148" s="51"/>
      <c r="L148" s="51"/>
      <c r="M148" s="103">
        <v>24000</v>
      </c>
      <c r="N148" s="52">
        <v>73.8</v>
      </c>
      <c r="O148" s="51"/>
      <c r="P148" s="51"/>
      <c r="Q148" s="51"/>
      <c r="R148" s="55" t="s">
        <v>414</v>
      </c>
      <c r="S148" s="84" t="s">
        <v>413</v>
      </c>
      <c r="T148" s="55" t="s">
        <v>22</v>
      </c>
    </row>
    <row r="149" spans="1:20" ht="13.5" customHeight="1" x14ac:dyDescent="0.3">
      <c r="A149" s="53" t="s">
        <v>267</v>
      </c>
      <c r="B149" s="10" t="s">
        <v>76</v>
      </c>
      <c r="C149" s="36">
        <v>42514731</v>
      </c>
      <c r="D149" s="54">
        <v>2019</v>
      </c>
      <c r="E149" s="54"/>
      <c r="F149" s="55" t="s">
        <v>379</v>
      </c>
      <c r="G149" s="56">
        <v>6</v>
      </c>
      <c r="H149" s="51"/>
      <c r="I149" s="90">
        <v>3000000</v>
      </c>
      <c r="J149" s="52">
        <v>0.19</v>
      </c>
      <c r="K149" s="51"/>
      <c r="L149" s="51"/>
      <c r="M149" s="103">
        <v>22000</v>
      </c>
      <c r="N149" s="52">
        <v>73.8</v>
      </c>
      <c r="O149" s="51"/>
      <c r="P149" s="51"/>
      <c r="Q149" s="51"/>
      <c r="R149" s="55" t="s">
        <v>412</v>
      </c>
      <c r="S149" s="84" t="s">
        <v>411</v>
      </c>
      <c r="T149" s="55"/>
    </row>
    <row r="150" spans="1:20" ht="13.5" customHeight="1" x14ac:dyDescent="0.3">
      <c r="A150" s="53" t="s">
        <v>267</v>
      </c>
      <c r="B150" s="10" t="s">
        <v>76</v>
      </c>
      <c r="C150" s="37">
        <v>43532499</v>
      </c>
      <c r="D150" s="54">
        <v>2020</v>
      </c>
      <c r="E150" s="54"/>
      <c r="F150" s="55" t="s">
        <v>379</v>
      </c>
      <c r="G150" s="54">
        <v>6</v>
      </c>
      <c r="H150" s="51"/>
      <c r="I150" s="90">
        <v>3200000</v>
      </c>
      <c r="J150" s="52">
        <v>0.13300000000000001</v>
      </c>
      <c r="K150" s="51"/>
      <c r="L150" s="51"/>
      <c r="M150" s="103">
        <v>5000</v>
      </c>
      <c r="N150" s="52">
        <v>73.8</v>
      </c>
      <c r="O150" s="51"/>
      <c r="P150" s="51"/>
      <c r="Q150" s="51"/>
      <c r="R150" s="55" t="s">
        <v>410</v>
      </c>
      <c r="S150" s="84" t="s">
        <v>409</v>
      </c>
      <c r="T150" s="55" t="s">
        <v>306</v>
      </c>
    </row>
    <row r="151" spans="1:20" ht="13.5" customHeight="1" x14ac:dyDescent="0.3">
      <c r="A151" s="53" t="s">
        <v>267</v>
      </c>
      <c r="B151" s="10" t="s">
        <v>76</v>
      </c>
      <c r="C151" s="36">
        <v>44574000</v>
      </c>
      <c r="D151" s="54">
        <v>2021</v>
      </c>
      <c r="E151" s="54"/>
      <c r="F151" s="55" t="s">
        <v>379</v>
      </c>
      <c r="G151" s="54">
        <v>6</v>
      </c>
      <c r="H151" s="51"/>
      <c r="I151" s="90">
        <v>3500000</v>
      </c>
      <c r="J151" s="52">
        <v>0.13300000000000001</v>
      </c>
      <c r="K151" s="51"/>
      <c r="L151" s="51"/>
      <c r="M151" s="103">
        <v>6000</v>
      </c>
      <c r="N151" s="52">
        <v>73.8</v>
      </c>
      <c r="O151" s="51"/>
      <c r="P151" s="51"/>
      <c r="Q151" s="51"/>
      <c r="R151" s="55" t="s">
        <v>408</v>
      </c>
      <c r="S151" s="84" t="s">
        <v>407</v>
      </c>
      <c r="T151" s="55"/>
    </row>
    <row r="152" spans="1:20" ht="13.5" customHeight="1" x14ac:dyDescent="0.3">
      <c r="A152" s="53" t="s">
        <v>267</v>
      </c>
      <c r="B152" s="10" t="s">
        <v>76</v>
      </c>
      <c r="C152" s="36">
        <v>45657202</v>
      </c>
      <c r="D152" s="54">
        <v>2022</v>
      </c>
      <c r="E152" s="54"/>
      <c r="F152" s="55" t="s">
        <v>379</v>
      </c>
      <c r="G152" s="56">
        <v>6</v>
      </c>
      <c r="H152" s="51"/>
      <c r="I152" s="90">
        <v>3500000</v>
      </c>
      <c r="J152" s="52">
        <v>0.19</v>
      </c>
      <c r="K152" s="51"/>
      <c r="L152" s="51"/>
      <c r="M152" s="103">
        <v>25000</v>
      </c>
      <c r="N152" s="52">
        <v>73.8</v>
      </c>
      <c r="O152" s="51"/>
      <c r="P152" s="51"/>
      <c r="Q152" s="51"/>
      <c r="R152" s="55" t="s">
        <v>406</v>
      </c>
      <c r="S152" s="84" t="s">
        <v>405</v>
      </c>
      <c r="T152" s="55"/>
    </row>
    <row r="153" spans="1:20" ht="13.5" customHeight="1" x14ac:dyDescent="0.3">
      <c r="A153" s="69" t="s">
        <v>267</v>
      </c>
      <c r="B153" s="10" t="s">
        <v>76</v>
      </c>
      <c r="C153" s="36">
        <v>46874204</v>
      </c>
      <c r="D153" s="70">
        <v>2023</v>
      </c>
      <c r="E153" s="70"/>
      <c r="F153" s="71" t="s">
        <v>402</v>
      </c>
      <c r="G153" s="72">
        <v>8</v>
      </c>
      <c r="H153" s="51"/>
      <c r="I153" s="98">
        <v>8000000</v>
      </c>
      <c r="J153" s="52">
        <v>0.2</v>
      </c>
      <c r="K153" s="51"/>
      <c r="L153" s="51"/>
      <c r="M153" s="103">
        <v>12000</v>
      </c>
      <c r="N153" s="52">
        <v>73.8</v>
      </c>
      <c r="O153" s="51"/>
      <c r="P153" s="51"/>
      <c r="Q153" s="51"/>
      <c r="R153" s="71" t="s">
        <v>404</v>
      </c>
      <c r="S153" s="88" t="s">
        <v>382</v>
      </c>
      <c r="T153" s="71"/>
    </row>
    <row r="154" spans="1:20" ht="13.5" customHeight="1" x14ac:dyDescent="0.3">
      <c r="A154" s="69" t="s">
        <v>267</v>
      </c>
      <c r="B154" s="10" t="s">
        <v>76</v>
      </c>
      <c r="C154" s="36">
        <v>48109006</v>
      </c>
      <c r="D154" s="70">
        <v>2024</v>
      </c>
      <c r="E154" s="70"/>
      <c r="F154" s="71" t="s">
        <v>402</v>
      </c>
      <c r="G154" s="72">
        <v>9</v>
      </c>
      <c r="H154" s="51"/>
      <c r="I154" s="98">
        <v>10000000</v>
      </c>
      <c r="J154" s="52">
        <v>0.2</v>
      </c>
      <c r="K154" s="51"/>
      <c r="L154" s="51"/>
      <c r="M154" s="103">
        <v>15000</v>
      </c>
      <c r="N154" s="52">
        <v>73.8</v>
      </c>
      <c r="O154" s="51"/>
      <c r="P154" s="51"/>
      <c r="Q154" s="51"/>
      <c r="R154" s="71" t="s">
        <v>403</v>
      </c>
      <c r="S154" s="88" t="s">
        <v>380</v>
      </c>
      <c r="T154" s="71" t="s">
        <v>384</v>
      </c>
    </row>
    <row r="155" spans="1:20" ht="13.5" customHeight="1" x14ac:dyDescent="0.3">
      <c r="A155" s="69" t="s">
        <v>267</v>
      </c>
      <c r="B155" s="10" t="s">
        <v>76</v>
      </c>
      <c r="C155" s="36">
        <v>49000000</v>
      </c>
      <c r="D155" s="70">
        <v>2025</v>
      </c>
      <c r="E155" s="70"/>
      <c r="F155" s="71" t="s">
        <v>402</v>
      </c>
      <c r="G155" s="72">
        <v>9</v>
      </c>
      <c r="H155" s="51"/>
      <c r="I155" s="97">
        <v>11000000</v>
      </c>
      <c r="J155" s="52">
        <v>0.2</v>
      </c>
      <c r="K155" s="51"/>
      <c r="L155" s="51"/>
      <c r="M155" s="103">
        <v>18000</v>
      </c>
      <c r="N155" s="52">
        <v>73.8</v>
      </c>
      <c r="O155" s="51"/>
      <c r="P155" s="51"/>
      <c r="Q155" s="51"/>
      <c r="R155" s="71" t="s">
        <v>401</v>
      </c>
      <c r="S155" s="88" t="s">
        <v>377</v>
      </c>
      <c r="T155" s="71"/>
    </row>
    <row r="156" spans="1:20" ht="13.5" customHeight="1" x14ac:dyDescent="0.3">
      <c r="A156" s="53" t="s">
        <v>279</v>
      </c>
      <c r="B156" s="10" t="s">
        <v>76</v>
      </c>
      <c r="C156" s="36">
        <v>13797457</v>
      </c>
      <c r="D156" s="54">
        <v>2015</v>
      </c>
      <c r="E156" s="54"/>
      <c r="F156" s="55" t="s">
        <v>379</v>
      </c>
      <c r="G156" s="56">
        <v>7</v>
      </c>
      <c r="H156" s="51"/>
      <c r="I156" s="90">
        <v>1100000</v>
      </c>
      <c r="J156" s="52">
        <v>0.247</v>
      </c>
      <c r="K156" s="51"/>
      <c r="L156" s="51"/>
      <c r="M156" s="103">
        <v>12000</v>
      </c>
      <c r="N156" s="52">
        <v>73.8</v>
      </c>
      <c r="O156" s="51"/>
      <c r="P156" s="51"/>
      <c r="Q156" s="51"/>
      <c r="R156" s="55" t="s">
        <v>400</v>
      </c>
      <c r="S156" s="84" t="s">
        <v>399</v>
      </c>
      <c r="T156" s="55"/>
    </row>
    <row r="157" spans="1:20" ht="13.5" customHeight="1" x14ac:dyDescent="0.3">
      <c r="A157" s="53" t="s">
        <v>279</v>
      </c>
      <c r="B157" s="10" t="s">
        <v>76</v>
      </c>
      <c r="C157" s="36">
        <v>14317996</v>
      </c>
      <c r="D157" s="54">
        <v>2016</v>
      </c>
      <c r="E157" s="54"/>
      <c r="F157" s="55" t="s">
        <v>379</v>
      </c>
      <c r="G157" s="56">
        <v>7</v>
      </c>
      <c r="H157" s="51"/>
      <c r="I157" s="90">
        <v>1200000</v>
      </c>
      <c r="J157" s="52">
        <v>0.247</v>
      </c>
      <c r="K157" s="51"/>
      <c r="L157" s="51"/>
      <c r="M157" s="103">
        <v>14000</v>
      </c>
      <c r="N157" s="52">
        <v>73.8</v>
      </c>
      <c r="O157" s="51"/>
      <c r="P157" s="51"/>
      <c r="Q157" s="51"/>
      <c r="R157" s="55" t="s">
        <v>398</v>
      </c>
      <c r="S157" s="84" t="s">
        <v>397</v>
      </c>
      <c r="T157" s="55"/>
    </row>
    <row r="158" spans="1:20" ht="13.5" customHeight="1" x14ac:dyDescent="0.3">
      <c r="A158" s="53" t="s">
        <v>279</v>
      </c>
      <c r="B158" s="10" t="s">
        <v>76</v>
      </c>
      <c r="C158" s="36">
        <v>14742523</v>
      </c>
      <c r="D158" s="54">
        <v>2017</v>
      </c>
      <c r="E158" s="54"/>
      <c r="F158" s="55" t="s">
        <v>379</v>
      </c>
      <c r="G158" s="54">
        <v>8</v>
      </c>
      <c r="H158" s="51"/>
      <c r="I158" s="90">
        <v>78000</v>
      </c>
      <c r="J158" s="52">
        <v>0.247</v>
      </c>
      <c r="K158" s="51"/>
      <c r="L158" s="51"/>
      <c r="M158" s="103">
        <v>3000</v>
      </c>
      <c r="N158" s="52">
        <v>73.8</v>
      </c>
      <c r="O158" s="51"/>
      <c r="P158" s="51"/>
      <c r="Q158" s="51"/>
      <c r="R158" s="55" t="s">
        <v>396</v>
      </c>
      <c r="S158" s="84" t="s">
        <v>395</v>
      </c>
      <c r="T158" s="55"/>
    </row>
    <row r="159" spans="1:20" ht="13.5" customHeight="1" x14ac:dyDescent="0.3">
      <c r="A159" s="53" t="s">
        <v>279</v>
      </c>
      <c r="B159" s="10" t="s">
        <v>76</v>
      </c>
      <c r="C159" s="37">
        <v>15181925</v>
      </c>
      <c r="D159" s="54">
        <v>2018</v>
      </c>
      <c r="E159" s="54"/>
      <c r="F159" s="55" t="s">
        <v>379</v>
      </c>
      <c r="G159" s="54">
        <v>7</v>
      </c>
      <c r="H159" s="51"/>
      <c r="I159" s="90">
        <v>900000</v>
      </c>
      <c r="J159" s="52">
        <v>0.247</v>
      </c>
      <c r="K159" s="51"/>
      <c r="L159" s="51"/>
      <c r="M159" s="103">
        <v>10000</v>
      </c>
      <c r="N159" s="52">
        <v>73.8</v>
      </c>
      <c r="O159" s="51"/>
      <c r="P159" s="51"/>
      <c r="Q159" s="51"/>
      <c r="R159" s="55" t="s">
        <v>394</v>
      </c>
      <c r="S159" s="84" t="s">
        <v>393</v>
      </c>
      <c r="T159" s="55"/>
    </row>
    <row r="160" spans="1:20" ht="13.5" customHeight="1" x14ac:dyDescent="0.3">
      <c r="A160" s="53" t="s">
        <v>279</v>
      </c>
      <c r="B160" s="10" t="s">
        <v>76</v>
      </c>
      <c r="C160" s="36">
        <v>15636171</v>
      </c>
      <c r="D160" s="54">
        <v>2019</v>
      </c>
      <c r="E160" s="54"/>
      <c r="F160" s="55" t="s">
        <v>379</v>
      </c>
      <c r="G160" s="54">
        <v>7</v>
      </c>
      <c r="H160" s="51"/>
      <c r="I160" s="90">
        <v>800000</v>
      </c>
      <c r="J160" s="52">
        <v>0.247</v>
      </c>
      <c r="K160" s="51"/>
      <c r="L160" s="51"/>
      <c r="M160" s="103">
        <v>9000</v>
      </c>
      <c r="N160" s="52">
        <v>73.8</v>
      </c>
      <c r="O160" s="51"/>
      <c r="P160" s="51"/>
      <c r="Q160" s="51"/>
      <c r="R160" s="55" t="s">
        <v>392</v>
      </c>
      <c r="S160" s="84" t="s">
        <v>391</v>
      </c>
      <c r="T160" s="55"/>
    </row>
    <row r="161" spans="1:20" ht="13.5" customHeight="1" x14ac:dyDescent="0.3">
      <c r="A161" s="53" t="s">
        <v>279</v>
      </c>
      <c r="B161" s="10" t="s">
        <v>76</v>
      </c>
      <c r="C161" s="36">
        <v>16326839</v>
      </c>
      <c r="D161" s="54">
        <v>2020</v>
      </c>
      <c r="E161" s="54"/>
      <c r="F161" s="55" t="s">
        <v>379</v>
      </c>
      <c r="G161" s="54">
        <v>7</v>
      </c>
      <c r="H161" s="51"/>
      <c r="I161" s="90">
        <v>1000000</v>
      </c>
      <c r="J161" s="52">
        <v>0.247</v>
      </c>
      <c r="K161" s="51"/>
      <c r="L161" s="51"/>
      <c r="M161" s="103">
        <v>11000</v>
      </c>
      <c r="N161" s="52">
        <v>73.8</v>
      </c>
      <c r="O161" s="51"/>
      <c r="P161" s="51"/>
      <c r="Q161" s="51"/>
      <c r="R161" s="55" t="s">
        <v>390</v>
      </c>
      <c r="S161" s="84" t="s">
        <v>389</v>
      </c>
      <c r="T161" s="55"/>
    </row>
    <row r="162" spans="1:20" ht="13.5" customHeight="1" x14ac:dyDescent="0.3">
      <c r="A162" s="53" t="s">
        <v>279</v>
      </c>
      <c r="B162" s="10" t="s">
        <v>76</v>
      </c>
      <c r="C162" s="37">
        <v>17065581</v>
      </c>
      <c r="D162" s="54">
        <v>2021</v>
      </c>
      <c r="E162" s="54"/>
      <c r="F162" s="55" t="s">
        <v>379</v>
      </c>
      <c r="G162" s="54">
        <v>7</v>
      </c>
      <c r="H162" s="51"/>
      <c r="I162" s="90">
        <v>1100000</v>
      </c>
      <c r="J162" s="52">
        <v>0.247</v>
      </c>
      <c r="K162" s="51"/>
      <c r="L162" s="51"/>
      <c r="M162" s="103">
        <v>12000</v>
      </c>
      <c r="N162" s="52">
        <v>73.8</v>
      </c>
      <c r="O162" s="51"/>
      <c r="P162" s="51"/>
      <c r="Q162" s="51"/>
      <c r="R162" s="55" t="s">
        <v>388</v>
      </c>
      <c r="S162" s="84" t="s">
        <v>387</v>
      </c>
      <c r="T162" s="55"/>
    </row>
    <row r="163" spans="1:20" ht="13.5" customHeight="1" x14ac:dyDescent="0.3">
      <c r="A163" s="53" t="s">
        <v>279</v>
      </c>
      <c r="B163" s="10" t="s">
        <v>76</v>
      </c>
      <c r="C163" s="36">
        <v>17065581</v>
      </c>
      <c r="D163" s="54">
        <v>2022</v>
      </c>
      <c r="E163" s="54"/>
      <c r="F163" s="55" t="s">
        <v>379</v>
      </c>
      <c r="G163" s="54">
        <v>8</v>
      </c>
      <c r="H163" s="51"/>
      <c r="I163" s="90">
        <v>1500000</v>
      </c>
      <c r="J163" s="52">
        <v>0.247</v>
      </c>
      <c r="K163" s="51"/>
      <c r="L163" s="51"/>
      <c r="M163" s="103">
        <v>18000</v>
      </c>
      <c r="N163" s="52">
        <v>73.8</v>
      </c>
      <c r="O163" s="51"/>
      <c r="P163" s="51"/>
      <c r="Q163" s="51"/>
      <c r="R163" s="55" t="s">
        <v>386</v>
      </c>
      <c r="S163" s="84" t="s">
        <v>385</v>
      </c>
      <c r="T163" s="55" t="s">
        <v>384</v>
      </c>
    </row>
    <row r="164" spans="1:20" ht="13.5" customHeight="1" x14ac:dyDescent="0.3">
      <c r="A164" s="53" t="s">
        <v>279</v>
      </c>
      <c r="B164" s="10" t="s">
        <v>76</v>
      </c>
      <c r="C164" s="37">
        <v>18143378</v>
      </c>
      <c r="D164" s="54">
        <v>2023</v>
      </c>
      <c r="E164" s="54"/>
      <c r="F164" s="55" t="s">
        <v>379</v>
      </c>
      <c r="G164" s="54">
        <v>7</v>
      </c>
      <c r="H164" s="51"/>
      <c r="I164" s="90">
        <v>1000000</v>
      </c>
      <c r="J164" s="52">
        <v>0.247</v>
      </c>
      <c r="K164" s="51"/>
      <c r="L164" s="51"/>
      <c r="M164" s="103">
        <v>12000</v>
      </c>
      <c r="N164" s="52">
        <v>73.8</v>
      </c>
      <c r="O164" s="51"/>
      <c r="P164" s="51"/>
      <c r="Q164" s="51"/>
      <c r="R164" s="55" t="s">
        <v>383</v>
      </c>
      <c r="S164" s="84" t="s">
        <v>382</v>
      </c>
      <c r="T164" s="55"/>
    </row>
    <row r="165" spans="1:20" ht="13.5" customHeight="1" x14ac:dyDescent="0.3">
      <c r="A165" s="53" t="s">
        <v>279</v>
      </c>
      <c r="B165" s="10" t="s">
        <v>76</v>
      </c>
      <c r="C165" s="36">
        <v>18697560</v>
      </c>
      <c r="D165" s="54">
        <v>2024</v>
      </c>
      <c r="E165" s="54"/>
      <c r="F165" s="55" t="s">
        <v>379</v>
      </c>
      <c r="G165" s="54">
        <v>7</v>
      </c>
      <c r="H165" s="51"/>
      <c r="I165" s="90">
        <v>900000</v>
      </c>
      <c r="J165" s="52">
        <v>0.247</v>
      </c>
      <c r="K165" s="51"/>
      <c r="L165" s="51"/>
      <c r="M165" s="103">
        <v>10000</v>
      </c>
      <c r="N165" s="52">
        <v>73.8</v>
      </c>
      <c r="O165" s="51"/>
      <c r="P165" s="51"/>
      <c r="Q165" s="51"/>
      <c r="R165" s="55" t="s">
        <v>381</v>
      </c>
      <c r="S165" s="84" t="s">
        <v>380</v>
      </c>
      <c r="T165" s="55"/>
    </row>
    <row r="166" spans="1:20" ht="13.5" customHeight="1" x14ac:dyDescent="0.3">
      <c r="A166" s="53" t="s">
        <v>279</v>
      </c>
      <c r="B166" s="10" t="s">
        <v>76</v>
      </c>
      <c r="C166" s="36">
        <v>19200000</v>
      </c>
      <c r="D166" s="54">
        <v>2025</v>
      </c>
      <c r="E166" s="54"/>
      <c r="F166" s="55" t="s">
        <v>379</v>
      </c>
      <c r="G166" s="56">
        <v>7</v>
      </c>
      <c r="H166" s="51"/>
      <c r="I166" s="91">
        <v>950000</v>
      </c>
      <c r="J166" s="52">
        <v>0.247</v>
      </c>
      <c r="K166" s="51"/>
      <c r="L166" s="51"/>
      <c r="M166" s="103">
        <v>11000</v>
      </c>
      <c r="N166" s="52">
        <v>73.8</v>
      </c>
      <c r="O166" s="51"/>
      <c r="P166" s="51"/>
      <c r="Q166" s="51"/>
      <c r="R166" s="55" t="s">
        <v>378</v>
      </c>
      <c r="S166" s="84" t="s">
        <v>377</v>
      </c>
      <c r="T166" s="55"/>
    </row>
    <row r="167" spans="1:20" x14ac:dyDescent="0.3">
      <c r="N167" s="1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D11"/>
  <sheetViews>
    <sheetView zoomScaleNormal="100" workbookViewId="0">
      <selection activeCell="A12" sqref="A12"/>
    </sheetView>
  </sheetViews>
  <sheetFormatPr defaultColWidth="8.6640625" defaultRowHeight="14.4" x14ac:dyDescent="0.3"/>
  <cols>
    <col min="1" max="1" width="18" customWidth="1"/>
    <col min="2" max="2" width="100" customWidth="1"/>
    <col min="3" max="3" width="40" customWidth="1"/>
    <col min="4" max="4" width="30" customWidth="1"/>
  </cols>
  <sheetData>
    <row r="1" spans="1:4" x14ac:dyDescent="0.3">
      <c r="A1" s="1" t="s">
        <v>344</v>
      </c>
      <c r="B1" s="1" t="s">
        <v>293</v>
      </c>
      <c r="C1" s="1" t="s">
        <v>294</v>
      </c>
      <c r="D1" s="1" t="s">
        <v>295</v>
      </c>
    </row>
    <row r="2" spans="1:4" ht="75" customHeight="1" x14ac:dyDescent="0.3">
      <c r="A2" s="2" t="s">
        <v>19</v>
      </c>
      <c r="B2" s="2" t="s">
        <v>296</v>
      </c>
      <c r="C2" s="2" t="s">
        <v>297</v>
      </c>
      <c r="D2" s="2" t="s">
        <v>298</v>
      </c>
    </row>
    <row r="3" spans="1:4" ht="43.5" customHeight="1" x14ac:dyDescent="0.3">
      <c r="A3" s="4" t="s">
        <v>299</v>
      </c>
      <c r="B3" s="4" t="s">
        <v>300</v>
      </c>
      <c r="C3" s="4" t="s">
        <v>301</v>
      </c>
      <c r="D3" s="4" t="s">
        <v>302</v>
      </c>
    </row>
    <row r="4" spans="1:4" ht="58.5" customHeight="1" x14ac:dyDescent="0.3">
      <c r="A4" s="2" t="s">
        <v>22</v>
      </c>
      <c r="B4" s="2" t="s">
        <v>303</v>
      </c>
      <c r="C4" s="2" t="s">
        <v>304</v>
      </c>
      <c r="D4" s="2" t="s">
        <v>305</v>
      </c>
    </row>
    <row r="5" spans="1:4" ht="30" customHeight="1" x14ac:dyDescent="0.3">
      <c r="A5" s="4" t="s">
        <v>306</v>
      </c>
      <c r="B5" s="4" t="s">
        <v>307</v>
      </c>
      <c r="C5" s="4" t="s">
        <v>308</v>
      </c>
      <c r="D5" s="4" t="s">
        <v>309</v>
      </c>
    </row>
    <row r="6" spans="1:4" ht="57" customHeight="1" x14ac:dyDescent="0.3">
      <c r="A6" s="2" t="s">
        <v>310</v>
      </c>
      <c r="B6" s="2" t="s">
        <v>311</v>
      </c>
      <c r="C6" s="2" t="s">
        <v>312</v>
      </c>
      <c r="D6" s="2" t="s">
        <v>313</v>
      </c>
    </row>
    <row r="7" spans="1:4" ht="47.25" customHeight="1" x14ac:dyDescent="0.3">
      <c r="A7" s="4" t="s">
        <v>314</v>
      </c>
      <c r="B7" s="4" t="s">
        <v>315</v>
      </c>
      <c r="C7" s="4" t="s">
        <v>316</v>
      </c>
      <c r="D7" s="4" t="s">
        <v>317</v>
      </c>
    </row>
    <row r="8" spans="1:4" ht="46.5" customHeight="1" x14ac:dyDescent="0.3">
      <c r="A8" s="2" t="s">
        <v>25</v>
      </c>
      <c r="B8" s="2" t="s">
        <v>318</v>
      </c>
      <c r="C8" s="2" t="s">
        <v>319</v>
      </c>
      <c r="D8" s="2" t="s">
        <v>320</v>
      </c>
    </row>
    <row r="9" spans="1:4" ht="52.5" customHeight="1" x14ac:dyDescent="0.3">
      <c r="A9" s="4" t="s">
        <v>321</v>
      </c>
      <c r="B9" s="4" t="s">
        <v>322</v>
      </c>
      <c r="C9" s="4" t="s">
        <v>323</v>
      </c>
      <c r="D9" s="4" t="s">
        <v>324</v>
      </c>
    </row>
    <row r="10" spans="1:4" ht="40.5" customHeight="1" x14ac:dyDescent="0.3">
      <c r="A10" s="2" t="s">
        <v>325</v>
      </c>
      <c r="B10" s="2" t="s">
        <v>326</v>
      </c>
      <c r="C10" s="2" t="s">
        <v>327</v>
      </c>
      <c r="D10" s="2" t="s">
        <v>328</v>
      </c>
    </row>
    <row r="11" spans="1:4" ht="42" customHeight="1" x14ac:dyDescent="0.3">
      <c r="A11" s="4" t="s">
        <v>329</v>
      </c>
      <c r="B11" s="4" t="s">
        <v>330</v>
      </c>
      <c r="C11" s="4" t="s">
        <v>331</v>
      </c>
      <c r="D11" s="4" t="s">
        <v>332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GTBI Panel</vt:lpstr>
      <vt:lpstr>Notes and Formula</vt:lpstr>
      <vt:lpstr>Severity Scale</vt:lpstr>
      <vt:lpstr>Public Health Threats</vt:lpstr>
      <vt:lpstr>APA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Hannah Toth</cp:lastModifiedBy>
  <cp:revision>0</cp:revision>
  <dcterms:created xsi:type="dcterms:W3CDTF">2026-06-01T01:58:13Z</dcterms:created>
  <dcterms:modified xsi:type="dcterms:W3CDTF">2026-07-16T19:50:19Z</dcterms:modified>
  <dc:language>en-US</dc:language>
</cp:coreProperties>
</file>