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kei\Downloads\"/>
    </mc:Choice>
  </mc:AlternateContent>
  <xr:revisionPtr revIDLastSave="0" documentId="13_ncr:1_{6C54811A-F80F-4188-882F-518B48E55BF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TBI Panel" sheetId="1" r:id="rId1"/>
    <sheet name="Notes and Formula" sheetId="2" r:id="rId2"/>
    <sheet name="Severity Scale" sheetId="3" r:id="rId3"/>
    <sheet name="Public Health Threats" sheetId="4" r:id="rId4"/>
    <sheet name="APA Sour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4" i="1" l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18" i="1"/>
  <c r="Q19" i="1"/>
  <c r="Q20" i="1"/>
  <c r="Q21" i="1"/>
  <c r="Q22" i="1"/>
  <c r="Q23" i="1"/>
  <c r="O925" i="1"/>
  <c r="L925" i="1"/>
  <c r="H925" i="1" s="1"/>
  <c r="P925" i="1" s="1"/>
  <c r="O924" i="1"/>
  <c r="L924" i="1"/>
  <c r="H924" i="1" s="1"/>
  <c r="P924" i="1" s="1"/>
  <c r="O923" i="1"/>
  <c r="L923" i="1"/>
  <c r="H923" i="1"/>
  <c r="P923" i="1" s="1"/>
  <c r="P922" i="1"/>
  <c r="O922" i="1"/>
  <c r="H922" i="1" s="1"/>
  <c r="L922" i="1"/>
  <c r="O921" i="1"/>
  <c r="L921" i="1"/>
  <c r="H921" i="1" s="1"/>
  <c r="P921" i="1" s="1"/>
  <c r="O919" i="1"/>
  <c r="H919" i="1" s="1"/>
  <c r="P919" i="1" s="1"/>
  <c r="L919" i="1"/>
  <c r="O918" i="1"/>
  <c r="L918" i="1"/>
  <c r="H918" i="1" s="1"/>
  <c r="P918" i="1" s="1"/>
  <c r="O917" i="1"/>
  <c r="H917" i="1" s="1"/>
  <c r="P917" i="1" s="1"/>
  <c r="L917" i="1"/>
  <c r="O916" i="1"/>
  <c r="L916" i="1"/>
  <c r="O915" i="1"/>
  <c r="L915" i="1"/>
  <c r="H915" i="1" s="1"/>
  <c r="P915" i="1" s="1"/>
  <c r="O913" i="1"/>
  <c r="L913" i="1"/>
  <c r="H913" i="1" s="1"/>
  <c r="P913" i="1" s="1"/>
  <c r="O912" i="1"/>
  <c r="L912" i="1"/>
  <c r="H912" i="1" s="1"/>
  <c r="P912" i="1" s="1"/>
  <c r="O911" i="1"/>
  <c r="L911" i="1"/>
  <c r="H911" i="1" s="1"/>
  <c r="P911" i="1" s="1"/>
  <c r="O910" i="1"/>
  <c r="L910" i="1"/>
  <c r="H910" i="1"/>
  <c r="P910" i="1" s="1"/>
  <c r="O909" i="1"/>
  <c r="L909" i="1"/>
  <c r="H909" i="1" s="1"/>
  <c r="P909" i="1" s="1"/>
  <c r="O907" i="1"/>
  <c r="L907" i="1"/>
  <c r="H907" i="1"/>
  <c r="P907" i="1" s="1"/>
  <c r="P906" i="1"/>
  <c r="O906" i="1"/>
  <c r="L906" i="1"/>
  <c r="H906" i="1"/>
  <c r="O905" i="1"/>
  <c r="L905" i="1"/>
  <c r="H905" i="1"/>
  <c r="P905" i="1" s="1"/>
  <c r="P904" i="1"/>
  <c r="O904" i="1"/>
  <c r="L904" i="1"/>
  <c r="H904" i="1"/>
  <c r="P903" i="1"/>
  <c r="O903" i="1"/>
  <c r="L903" i="1"/>
  <c r="H903" i="1" s="1"/>
  <c r="O901" i="1"/>
  <c r="L901" i="1"/>
  <c r="H901" i="1" s="1"/>
  <c r="P901" i="1" s="1"/>
  <c r="O900" i="1"/>
  <c r="L900" i="1"/>
  <c r="P899" i="1"/>
  <c r="O899" i="1"/>
  <c r="L899" i="1"/>
  <c r="H899" i="1" s="1"/>
  <c r="O898" i="1"/>
  <c r="H898" i="1" s="1"/>
  <c r="P898" i="1" s="1"/>
  <c r="L898" i="1"/>
  <c r="O897" i="1"/>
  <c r="L897" i="1"/>
  <c r="O895" i="1"/>
  <c r="L895" i="1"/>
  <c r="H895" i="1" s="1"/>
  <c r="P895" i="1" s="1"/>
  <c r="O894" i="1"/>
  <c r="L894" i="1"/>
  <c r="H894" i="1" s="1"/>
  <c r="P894" i="1" s="1"/>
  <c r="O893" i="1"/>
  <c r="L893" i="1"/>
  <c r="H893" i="1" s="1"/>
  <c r="P893" i="1" s="1"/>
  <c r="O892" i="1"/>
  <c r="H892" i="1" s="1"/>
  <c r="P892" i="1" s="1"/>
  <c r="L892" i="1"/>
  <c r="O891" i="1"/>
  <c r="L891" i="1"/>
  <c r="H891" i="1"/>
  <c r="P891" i="1" s="1"/>
  <c r="O889" i="1"/>
  <c r="L889" i="1"/>
  <c r="H889" i="1" s="1"/>
  <c r="P889" i="1" s="1"/>
  <c r="O888" i="1"/>
  <c r="L888" i="1"/>
  <c r="H888" i="1"/>
  <c r="P888" i="1" s="1"/>
  <c r="P887" i="1"/>
  <c r="O887" i="1"/>
  <c r="L887" i="1"/>
  <c r="H887" i="1"/>
  <c r="O886" i="1"/>
  <c r="L886" i="1"/>
  <c r="H886" i="1"/>
  <c r="P886" i="1" s="1"/>
  <c r="O885" i="1"/>
  <c r="L885" i="1"/>
  <c r="H885" i="1"/>
  <c r="P885" i="1" s="1"/>
  <c r="P883" i="1"/>
  <c r="O883" i="1"/>
  <c r="L883" i="1"/>
  <c r="H883" i="1" s="1"/>
  <c r="P882" i="1"/>
  <c r="O882" i="1"/>
  <c r="L882" i="1"/>
  <c r="H882" i="1" s="1"/>
  <c r="O881" i="1"/>
  <c r="L881" i="1"/>
  <c r="H881" i="1" s="1"/>
  <c r="P881" i="1" s="1"/>
  <c r="O880" i="1"/>
  <c r="L880" i="1"/>
  <c r="H880" i="1" s="1"/>
  <c r="P880" i="1" s="1"/>
  <c r="O879" i="1"/>
  <c r="H879" i="1" s="1"/>
  <c r="P879" i="1" s="1"/>
  <c r="L879" i="1"/>
  <c r="O877" i="1"/>
  <c r="L877" i="1"/>
  <c r="H877" i="1" s="1"/>
  <c r="P877" i="1" s="1"/>
  <c r="O876" i="1"/>
  <c r="L876" i="1"/>
  <c r="O875" i="1"/>
  <c r="L875" i="1"/>
  <c r="H875" i="1" s="1"/>
  <c r="P875" i="1" s="1"/>
  <c r="O874" i="1"/>
  <c r="L874" i="1"/>
  <c r="H874" i="1"/>
  <c r="P874" i="1" s="1"/>
  <c r="O873" i="1"/>
  <c r="L873" i="1"/>
  <c r="H873" i="1"/>
  <c r="P873" i="1" s="1"/>
  <c r="O871" i="1"/>
  <c r="L871" i="1"/>
  <c r="H871" i="1"/>
  <c r="P871" i="1" s="1"/>
  <c r="O870" i="1"/>
  <c r="L870" i="1"/>
  <c r="H870" i="1" s="1"/>
  <c r="P870" i="1" s="1"/>
  <c r="O869" i="1"/>
  <c r="L869" i="1"/>
  <c r="H869" i="1"/>
  <c r="P869" i="1" s="1"/>
  <c r="P868" i="1"/>
  <c r="O868" i="1"/>
  <c r="L868" i="1"/>
  <c r="H868" i="1"/>
  <c r="O867" i="1"/>
  <c r="L867" i="1"/>
  <c r="H867" i="1"/>
  <c r="P867" i="1" s="1"/>
  <c r="P866" i="1"/>
  <c r="O866" i="1"/>
  <c r="L866" i="1"/>
  <c r="H866" i="1"/>
  <c r="P865" i="1"/>
  <c r="O865" i="1"/>
  <c r="H865" i="1" s="1"/>
  <c r="L865" i="1"/>
  <c r="P864" i="1"/>
  <c r="O864" i="1"/>
  <c r="L864" i="1"/>
  <c r="H864" i="1" s="1"/>
  <c r="P863" i="1"/>
  <c r="O863" i="1"/>
  <c r="L863" i="1"/>
  <c r="H863" i="1" s="1"/>
  <c r="O862" i="1"/>
  <c r="L862" i="1"/>
  <c r="O861" i="1"/>
  <c r="H861" i="1" s="1"/>
  <c r="P861" i="1" s="1"/>
  <c r="L861" i="1"/>
  <c r="O860" i="1"/>
  <c r="L860" i="1"/>
  <c r="H860" i="1" s="1"/>
  <c r="P860" i="1" s="1"/>
  <c r="O859" i="1"/>
  <c r="L859" i="1"/>
  <c r="O858" i="1"/>
  <c r="L858" i="1"/>
  <c r="H858" i="1" s="1"/>
  <c r="P858" i="1" s="1"/>
  <c r="O857" i="1"/>
  <c r="L857" i="1"/>
  <c r="H857" i="1"/>
  <c r="P857" i="1" s="1"/>
  <c r="O856" i="1"/>
  <c r="L856" i="1"/>
  <c r="H856" i="1"/>
  <c r="P856" i="1" s="1"/>
  <c r="O855" i="1"/>
  <c r="L855" i="1"/>
  <c r="H855" i="1"/>
  <c r="P855" i="1" s="1"/>
  <c r="O854" i="1"/>
  <c r="L854" i="1"/>
  <c r="H854" i="1" s="1"/>
  <c r="P854" i="1" s="1"/>
  <c r="O853" i="1"/>
  <c r="L853" i="1"/>
  <c r="H853" i="1" s="1"/>
  <c r="P853" i="1" s="1"/>
  <c r="P852" i="1"/>
  <c r="O852" i="1"/>
  <c r="L852" i="1"/>
  <c r="H852" i="1"/>
  <c r="O851" i="1"/>
  <c r="L851" i="1"/>
  <c r="H851" i="1"/>
  <c r="P851" i="1" s="1"/>
  <c r="P850" i="1"/>
  <c r="O850" i="1"/>
  <c r="L850" i="1"/>
  <c r="H850" i="1"/>
  <c r="O849" i="1"/>
  <c r="H849" i="1" s="1"/>
  <c r="P849" i="1" s="1"/>
  <c r="L849" i="1"/>
  <c r="O848" i="1"/>
  <c r="L848" i="1"/>
  <c r="H848" i="1" s="1"/>
  <c r="P848" i="1" s="1"/>
  <c r="O847" i="1"/>
  <c r="L847" i="1"/>
  <c r="H847" i="1" s="1"/>
  <c r="P847" i="1" s="1"/>
  <c r="O846" i="1"/>
  <c r="L846" i="1"/>
  <c r="O845" i="1"/>
  <c r="H845" i="1" s="1"/>
  <c r="P845" i="1" s="1"/>
  <c r="L845" i="1"/>
  <c r="O844" i="1"/>
  <c r="L844" i="1"/>
  <c r="H844" i="1" s="1"/>
  <c r="P844" i="1" s="1"/>
  <c r="O843" i="1"/>
  <c r="L843" i="1"/>
  <c r="O842" i="1"/>
  <c r="L842" i="1"/>
  <c r="H842" i="1" s="1"/>
  <c r="P842" i="1" s="1"/>
  <c r="O841" i="1"/>
  <c r="L841" i="1"/>
  <c r="H841" i="1" s="1"/>
  <c r="P841" i="1" s="1"/>
  <c r="O840" i="1"/>
  <c r="L840" i="1"/>
  <c r="H840" i="1" s="1"/>
  <c r="P840" i="1" s="1"/>
  <c r="O839" i="1"/>
  <c r="L839" i="1"/>
  <c r="H839" i="1"/>
  <c r="P839" i="1" s="1"/>
  <c r="O838" i="1"/>
  <c r="L838" i="1"/>
  <c r="H838" i="1" s="1"/>
  <c r="P838" i="1" s="1"/>
  <c r="O837" i="1"/>
  <c r="L837" i="1"/>
  <c r="H837" i="1" s="1"/>
  <c r="P837" i="1" s="1"/>
  <c r="P836" i="1"/>
  <c r="O836" i="1"/>
  <c r="L836" i="1"/>
  <c r="H836" i="1"/>
  <c r="O835" i="1"/>
  <c r="L835" i="1"/>
  <c r="H835" i="1"/>
  <c r="P835" i="1" s="1"/>
  <c r="O834" i="1"/>
  <c r="L834" i="1"/>
  <c r="H834" i="1"/>
  <c r="P834" i="1" s="1"/>
  <c r="O833" i="1"/>
  <c r="L833" i="1"/>
  <c r="P832" i="1"/>
  <c r="O832" i="1"/>
  <c r="L832" i="1"/>
  <c r="H832" i="1" s="1"/>
  <c r="O831" i="1"/>
  <c r="L831" i="1"/>
  <c r="H831" i="1" s="1"/>
  <c r="P831" i="1" s="1"/>
  <c r="O830" i="1"/>
  <c r="L830" i="1"/>
  <c r="O829" i="1"/>
  <c r="H829" i="1" s="1"/>
  <c r="P829" i="1" s="1"/>
  <c r="L829" i="1"/>
  <c r="O828" i="1"/>
  <c r="L828" i="1"/>
  <c r="H828" i="1" s="1"/>
  <c r="P828" i="1" s="1"/>
  <c r="P827" i="1"/>
  <c r="O827" i="1"/>
  <c r="L827" i="1"/>
  <c r="H827" i="1"/>
  <c r="O826" i="1"/>
  <c r="L826" i="1"/>
  <c r="H826" i="1" s="1"/>
  <c r="P826" i="1" s="1"/>
  <c r="O825" i="1"/>
  <c r="L825" i="1"/>
  <c r="H825" i="1"/>
  <c r="P825" i="1" s="1"/>
  <c r="O824" i="1"/>
  <c r="L824" i="1"/>
  <c r="H824" i="1" s="1"/>
  <c r="P824" i="1" s="1"/>
  <c r="O823" i="1"/>
  <c r="L823" i="1"/>
  <c r="H823" i="1"/>
  <c r="P823" i="1" s="1"/>
  <c r="O822" i="1"/>
  <c r="L822" i="1"/>
  <c r="H822" i="1" s="1"/>
  <c r="P822" i="1" s="1"/>
  <c r="O821" i="1"/>
  <c r="L821" i="1"/>
  <c r="H821" i="1"/>
  <c r="P821" i="1" s="1"/>
  <c r="P820" i="1"/>
  <c r="O820" i="1"/>
  <c r="L820" i="1"/>
  <c r="H820" i="1"/>
  <c r="O819" i="1"/>
  <c r="L819" i="1"/>
  <c r="H819" i="1"/>
  <c r="P819" i="1" s="1"/>
  <c r="P818" i="1"/>
  <c r="O818" i="1"/>
  <c r="L818" i="1"/>
  <c r="H818" i="1"/>
  <c r="P817" i="1"/>
  <c r="O817" i="1"/>
  <c r="H817" i="1" s="1"/>
  <c r="L817" i="1"/>
  <c r="O816" i="1"/>
  <c r="L816" i="1"/>
  <c r="H816" i="1" s="1"/>
  <c r="P816" i="1" s="1"/>
  <c r="O815" i="1"/>
  <c r="L815" i="1"/>
  <c r="H815" i="1" s="1"/>
  <c r="P815" i="1" s="1"/>
  <c r="P814" i="1"/>
  <c r="O814" i="1"/>
  <c r="L814" i="1"/>
  <c r="H814" i="1" s="1"/>
  <c r="O813" i="1"/>
  <c r="H813" i="1" s="1"/>
  <c r="P813" i="1" s="1"/>
  <c r="L813" i="1"/>
  <c r="O812" i="1"/>
  <c r="L812" i="1"/>
  <c r="O811" i="1"/>
  <c r="L811" i="1"/>
  <c r="H811" i="1"/>
  <c r="P811" i="1" s="1"/>
  <c r="O810" i="1"/>
  <c r="L810" i="1"/>
  <c r="H810" i="1" s="1"/>
  <c r="P810" i="1" s="1"/>
  <c r="O809" i="1"/>
  <c r="H809" i="1" s="1"/>
  <c r="P809" i="1" s="1"/>
  <c r="L809" i="1"/>
  <c r="O808" i="1"/>
  <c r="L808" i="1"/>
  <c r="H808" i="1"/>
  <c r="P808" i="1" s="1"/>
  <c r="O807" i="1"/>
  <c r="L807" i="1"/>
  <c r="H807" i="1"/>
  <c r="P807" i="1" s="1"/>
  <c r="O806" i="1"/>
  <c r="L806" i="1"/>
  <c r="H806" i="1" s="1"/>
  <c r="P806" i="1" s="1"/>
  <c r="O805" i="1"/>
  <c r="L805" i="1"/>
  <c r="H805" i="1"/>
  <c r="P805" i="1" s="1"/>
  <c r="P804" i="1"/>
  <c r="O804" i="1"/>
  <c r="L804" i="1"/>
  <c r="H804" i="1"/>
  <c r="O803" i="1"/>
  <c r="L803" i="1"/>
  <c r="H803" i="1"/>
  <c r="P803" i="1" s="1"/>
  <c r="P802" i="1"/>
  <c r="O802" i="1"/>
  <c r="L802" i="1"/>
  <c r="H802" i="1"/>
  <c r="O801" i="1"/>
  <c r="L801" i="1"/>
  <c r="H801" i="1" s="1"/>
  <c r="P801" i="1" s="1"/>
  <c r="O800" i="1"/>
  <c r="L800" i="1"/>
  <c r="H800" i="1" s="1"/>
  <c r="P800" i="1" s="1"/>
  <c r="O799" i="1"/>
  <c r="L799" i="1"/>
  <c r="H799" i="1" s="1"/>
  <c r="P799" i="1" s="1"/>
  <c r="O798" i="1"/>
  <c r="L798" i="1"/>
  <c r="O797" i="1"/>
  <c r="H797" i="1" s="1"/>
  <c r="P797" i="1" s="1"/>
  <c r="L797" i="1"/>
  <c r="O796" i="1"/>
  <c r="L796" i="1"/>
  <c r="O795" i="1"/>
  <c r="L795" i="1"/>
  <c r="H795" i="1" s="1"/>
  <c r="P795" i="1" s="1"/>
  <c r="O794" i="1"/>
  <c r="L794" i="1"/>
  <c r="H794" i="1" s="1"/>
  <c r="P794" i="1" s="1"/>
  <c r="O793" i="1"/>
  <c r="L793" i="1"/>
  <c r="H793" i="1" s="1"/>
  <c r="P793" i="1" s="1"/>
  <c r="O792" i="1"/>
  <c r="L792" i="1"/>
  <c r="O790" i="1"/>
  <c r="L790" i="1"/>
  <c r="H790" i="1"/>
  <c r="P790" i="1" s="1"/>
  <c r="O789" i="1"/>
  <c r="L789" i="1"/>
  <c r="H789" i="1" s="1"/>
  <c r="P789" i="1" s="1"/>
  <c r="O787" i="1"/>
  <c r="L787" i="1"/>
  <c r="H787" i="1" s="1"/>
  <c r="P787" i="1" s="1"/>
  <c r="P786" i="1"/>
  <c r="O786" i="1"/>
  <c r="L786" i="1"/>
  <c r="H786" i="1"/>
  <c r="O784" i="1"/>
  <c r="H784" i="1" s="1"/>
  <c r="P784" i="1" s="1"/>
  <c r="L784" i="1"/>
  <c r="P783" i="1"/>
  <c r="O783" i="1"/>
  <c r="L783" i="1"/>
  <c r="H783" i="1"/>
  <c r="O781" i="1"/>
  <c r="L781" i="1"/>
  <c r="H781" i="1" s="1"/>
  <c r="P781" i="1" s="1"/>
  <c r="O780" i="1"/>
  <c r="L780" i="1"/>
  <c r="H780" i="1" s="1"/>
  <c r="P780" i="1" s="1"/>
  <c r="O778" i="1"/>
  <c r="L778" i="1"/>
  <c r="P777" i="1"/>
  <c r="O777" i="1"/>
  <c r="L777" i="1"/>
  <c r="H777" i="1" s="1"/>
  <c r="O775" i="1"/>
  <c r="L775" i="1"/>
  <c r="H775" i="1"/>
  <c r="P775" i="1" s="1"/>
  <c r="O774" i="1"/>
  <c r="L774" i="1"/>
  <c r="H774" i="1" s="1"/>
  <c r="P774" i="1" s="1"/>
  <c r="O772" i="1"/>
  <c r="L772" i="1"/>
  <c r="O771" i="1"/>
  <c r="L771" i="1"/>
  <c r="H771" i="1" s="1"/>
  <c r="P771" i="1" s="1"/>
  <c r="O769" i="1"/>
  <c r="L769" i="1"/>
  <c r="H769" i="1" s="1"/>
  <c r="P769" i="1" s="1"/>
  <c r="O768" i="1"/>
  <c r="L768" i="1"/>
  <c r="O766" i="1"/>
  <c r="L766" i="1"/>
  <c r="H766" i="1"/>
  <c r="P766" i="1" s="1"/>
  <c r="O765" i="1"/>
  <c r="L765" i="1"/>
  <c r="H765" i="1" s="1"/>
  <c r="P765" i="1" s="1"/>
  <c r="O763" i="1"/>
  <c r="L763" i="1"/>
  <c r="H763" i="1"/>
  <c r="P763" i="1" s="1"/>
  <c r="P762" i="1"/>
  <c r="O762" i="1"/>
  <c r="L762" i="1"/>
  <c r="H762" i="1"/>
  <c r="O760" i="1"/>
  <c r="H760" i="1" s="1"/>
  <c r="P760" i="1" s="1"/>
  <c r="L760" i="1"/>
  <c r="P759" i="1"/>
  <c r="O759" i="1"/>
  <c r="L759" i="1"/>
  <c r="H759" i="1"/>
  <c r="O757" i="1"/>
  <c r="L757" i="1"/>
  <c r="H757" i="1" s="1"/>
  <c r="P757" i="1" s="1"/>
  <c r="O756" i="1"/>
  <c r="L756" i="1"/>
  <c r="H756" i="1" s="1"/>
  <c r="P756" i="1" s="1"/>
  <c r="O755" i="1"/>
  <c r="L755" i="1"/>
  <c r="P754" i="1"/>
  <c r="O754" i="1"/>
  <c r="L754" i="1"/>
  <c r="H754" i="1" s="1"/>
  <c r="O753" i="1"/>
  <c r="L753" i="1"/>
  <c r="H753" i="1"/>
  <c r="P753" i="1" s="1"/>
  <c r="O751" i="1"/>
  <c r="L751" i="1"/>
  <c r="H751" i="1" s="1"/>
  <c r="P751" i="1" s="1"/>
  <c r="O750" i="1"/>
  <c r="L750" i="1"/>
  <c r="H750" i="1" s="1"/>
  <c r="P750" i="1" s="1"/>
  <c r="O748" i="1"/>
  <c r="L748" i="1"/>
  <c r="H748" i="1" s="1"/>
  <c r="P748" i="1" s="1"/>
  <c r="O747" i="1"/>
  <c r="L747" i="1"/>
  <c r="H747" i="1"/>
  <c r="P747" i="1" s="1"/>
  <c r="O745" i="1"/>
  <c r="L745" i="1"/>
  <c r="H745" i="1"/>
  <c r="P745" i="1" s="1"/>
  <c r="O744" i="1"/>
  <c r="L744" i="1"/>
  <c r="H744" i="1"/>
  <c r="P744" i="1" s="1"/>
  <c r="P742" i="1"/>
  <c r="O742" i="1"/>
  <c r="L742" i="1"/>
  <c r="H742" i="1"/>
  <c r="O741" i="1"/>
  <c r="L741" i="1"/>
  <c r="H741" i="1" s="1"/>
  <c r="P741" i="1" s="1"/>
  <c r="P739" i="1"/>
  <c r="O739" i="1"/>
  <c r="L739" i="1"/>
  <c r="H739" i="1"/>
  <c r="O738" i="1"/>
  <c r="H738" i="1" s="1"/>
  <c r="P738" i="1" s="1"/>
  <c r="L738" i="1"/>
  <c r="O736" i="1"/>
  <c r="L736" i="1"/>
  <c r="H736" i="1"/>
  <c r="P736" i="1" s="1"/>
  <c r="O735" i="1"/>
  <c r="L735" i="1"/>
  <c r="O733" i="1"/>
  <c r="L733" i="1"/>
  <c r="H733" i="1" s="1"/>
  <c r="P733" i="1" s="1"/>
  <c r="O732" i="1"/>
  <c r="L732" i="1"/>
  <c r="H732" i="1" s="1"/>
  <c r="P732" i="1" s="1"/>
  <c r="O730" i="1"/>
  <c r="L730" i="1"/>
  <c r="O729" i="1"/>
  <c r="H729" i="1" s="1"/>
  <c r="P729" i="1" s="1"/>
  <c r="L729" i="1"/>
  <c r="P727" i="1"/>
  <c r="O727" i="1"/>
  <c r="L727" i="1"/>
  <c r="H727" i="1" s="1"/>
  <c r="P726" i="1"/>
  <c r="O726" i="1"/>
  <c r="L726" i="1"/>
  <c r="H726" i="1"/>
  <c r="O724" i="1"/>
  <c r="L724" i="1"/>
  <c r="H724" i="1" s="1"/>
  <c r="P724" i="1" s="1"/>
  <c r="O723" i="1"/>
  <c r="L723" i="1"/>
  <c r="H723" i="1" s="1"/>
  <c r="P723" i="1" s="1"/>
  <c r="O721" i="1"/>
  <c r="L721" i="1"/>
  <c r="O720" i="1"/>
  <c r="L720" i="1"/>
  <c r="H720" i="1"/>
  <c r="P720" i="1" s="1"/>
  <c r="O718" i="1"/>
  <c r="L718" i="1"/>
  <c r="H718" i="1" s="1"/>
  <c r="P718" i="1" s="1"/>
  <c r="O717" i="1"/>
  <c r="L717" i="1"/>
  <c r="H717" i="1"/>
  <c r="P717" i="1" s="1"/>
  <c r="P715" i="1"/>
  <c r="O715" i="1"/>
  <c r="L715" i="1"/>
  <c r="H715" i="1"/>
  <c r="O714" i="1"/>
  <c r="H714" i="1" s="1"/>
  <c r="P714" i="1" s="1"/>
  <c r="L714" i="1"/>
  <c r="P712" i="1"/>
  <c r="O712" i="1"/>
  <c r="L712" i="1"/>
  <c r="H712" i="1"/>
  <c r="O711" i="1"/>
  <c r="L711" i="1"/>
  <c r="P709" i="1"/>
  <c r="O709" i="1"/>
  <c r="L709" i="1"/>
  <c r="H709" i="1" s="1"/>
  <c r="O708" i="1"/>
  <c r="L708" i="1"/>
  <c r="O706" i="1"/>
  <c r="L706" i="1"/>
  <c r="O705" i="1"/>
  <c r="L705" i="1"/>
  <c r="H705" i="1"/>
  <c r="P705" i="1" s="1"/>
  <c r="O703" i="1"/>
  <c r="L703" i="1"/>
  <c r="O702" i="1"/>
  <c r="H702" i="1" s="1"/>
  <c r="P702" i="1" s="1"/>
  <c r="L702" i="1"/>
  <c r="O700" i="1"/>
  <c r="L700" i="1"/>
  <c r="H700" i="1" s="1"/>
  <c r="P700" i="1" s="1"/>
  <c r="O699" i="1"/>
  <c r="L699" i="1"/>
  <c r="H699" i="1" s="1"/>
  <c r="P699" i="1" s="1"/>
  <c r="O697" i="1"/>
  <c r="L697" i="1"/>
  <c r="H697" i="1" s="1"/>
  <c r="P697" i="1" s="1"/>
  <c r="O696" i="1"/>
  <c r="L696" i="1"/>
  <c r="H696" i="1"/>
  <c r="P696" i="1" s="1"/>
  <c r="O694" i="1"/>
  <c r="L694" i="1"/>
  <c r="H694" i="1" s="1"/>
  <c r="P694" i="1" s="1"/>
  <c r="O693" i="1"/>
  <c r="L693" i="1"/>
  <c r="H693" i="1"/>
  <c r="P693" i="1" s="1"/>
  <c r="P691" i="1"/>
  <c r="O691" i="1"/>
  <c r="L691" i="1"/>
  <c r="H691" i="1"/>
  <c r="O690" i="1"/>
  <c r="L690" i="1"/>
  <c r="H690" i="1"/>
  <c r="P690" i="1" s="1"/>
  <c r="O688" i="1"/>
  <c r="L688" i="1"/>
  <c r="H688" i="1"/>
  <c r="P688" i="1" s="1"/>
  <c r="O687" i="1"/>
  <c r="L687" i="1"/>
  <c r="O685" i="1"/>
  <c r="L685" i="1"/>
  <c r="H685" i="1" s="1"/>
  <c r="P685" i="1" s="1"/>
  <c r="O684" i="1"/>
  <c r="L684" i="1"/>
  <c r="H684" i="1" s="1"/>
  <c r="P684" i="1" s="1"/>
  <c r="P682" i="1"/>
  <c r="O682" i="1"/>
  <c r="L682" i="1"/>
  <c r="H682" i="1" s="1"/>
  <c r="O681" i="1"/>
  <c r="H681" i="1" s="1"/>
  <c r="P681" i="1" s="1"/>
  <c r="L681" i="1"/>
  <c r="O679" i="1"/>
  <c r="L679" i="1"/>
  <c r="H679" i="1" s="1"/>
  <c r="P679" i="1" s="1"/>
  <c r="O678" i="1"/>
  <c r="L678" i="1"/>
  <c r="H678" i="1" s="1"/>
  <c r="P678" i="1" s="1"/>
  <c r="O676" i="1"/>
  <c r="L676" i="1"/>
  <c r="H676" i="1" s="1"/>
  <c r="P676" i="1" s="1"/>
  <c r="O675" i="1"/>
  <c r="L675" i="1"/>
  <c r="H675" i="1" s="1"/>
  <c r="P675" i="1" s="1"/>
  <c r="O673" i="1"/>
  <c r="L673" i="1"/>
  <c r="H673" i="1" s="1"/>
  <c r="P673" i="1" s="1"/>
  <c r="O672" i="1"/>
  <c r="L672" i="1"/>
  <c r="H672" i="1"/>
  <c r="P672" i="1" s="1"/>
  <c r="O670" i="1"/>
  <c r="L670" i="1"/>
  <c r="H670" i="1" s="1"/>
  <c r="P670" i="1" s="1"/>
  <c r="O669" i="1"/>
  <c r="L669" i="1"/>
  <c r="H669" i="1"/>
  <c r="P669" i="1" s="1"/>
  <c r="P667" i="1"/>
  <c r="O667" i="1"/>
  <c r="L667" i="1"/>
  <c r="H667" i="1"/>
  <c r="O666" i="1"/>
  <c r="H666" i="1" s="1"/>
  <c r="P666" i="1" s="1"/>
  <c r="L666" i="1"/>
  <c r="P664" i="1"/>
  <c r="O664" i="1"/>
  <c r="L664" i="1"/>
  <c r="H664" i="1"/>
  <c r="O663" i="1"/>
  <c r="L663" i="1"/>
  <c r="H663" i="1" s="1"/>
  <c r="P663" i="1" s="1"/>
  <c r="P661" i="1"/>
  <c r="O661" i="1"/>
  <c r="L661" i="1"/>
  <c r="H661" i="1" s="1"/>
  <c r="O660" i="1"/>
  <c r="L660" i="1"/>
  <c r="O659" i="1"/>
  <c r="L659" i="1"/>
  <c r="H659" i="1" s="1"/>
  <c r="P659" i="1" s="1"/>
  <c r="O658" i="1"/>
  <c r="L658" i="1"/>
  <c r="H658" i="1"/>
  <c r="P658" i="1" s="1"/>
  <c r="O657" i="1"/>
  <c r="L657" i="1"/>
  <c r="O655" i="1"/>
  <c r="L655" i="1"/>
  <c r="H655" i="1"/>
  <c r="P655" i="1" s="1"/>
  <c r="O654" i="1"/>
  <c r="L654" i="1"/>
  <c r="H654" i="1" s="1"/>
  <c r="P654" i="1" s="1"/>
  <c r="O653" i="1"/>
  <c r="L653" i="1"/>
  <c r="H653" i="1"/>
  <c r="P653" i="1" s="1"/>
  <c r="O652" i="1"/>
  <c r="L652" i="1"/>
  <c r="H652" i="1"/>
  <c r="P652" i="1" s="1"/>
  <c r="O651" i="1"/>
  <c r="L651" i="1"/>
  <c r="H651" i="1"/>
  <c r="P651" i="1" s="1"/>
  <c r="O649" i="1"/>
  <c r="L649" i="1"/>
  <c r="H649" i="1"/>
  <c r="P649" i="1" s="1"/>
  <c r="O648" i="1"/>
  <c r="L648" i="1"/>
  <c r="H648" i="1" s="1"/>
  <c r="P648" i="1" s="1"/>
  <c r="P647" i="1"/>
  <c r="O647" i="1"/>
  <c r="L647" i="1"/>
  <c r="H647" i="1"/>
  <c r="O646" i="1"/>
  <c r="H646" i="1" s="1"/>
  <c r="P646" i="1" s="1"/>
  <c r="L646" i="1"/>
  <c r="P645" i="1"/>
  <c r="O645" i="1"/>
  <c r="L645" i="1"/>
  <c r="H645" i="1"/>
  <c r="O643" i="1"/>
  <c r="L643" i="1"/>
  <c r="P642" i="1"/>
  <c r="O642" i="1"/>
  <c r="L642" i="1"/>
  <c r="H642" i="1" s="1"/>
  <c r="O641" i="1"/>
  <c r="L641" i="1"/>
  <c r="H641" i="1" s="1"/>
  <c r="P641" i="1" s="1"/>
  <c r="O640" i="1"/>
  <c r="L640" i="1"/>
  <c r="O639" i="1"/>
  <c r="H639" i="1" s="1"/>
  <c r="P639" i="1" s="1"/>
  <c r="L639" i="1"/>
  <c r="O637" i="1"/>
  <c r="L637" i="1"/>
  <c r="H637" i="1" s="1"/>
  <c r="P637" i="1" s="1"/>
  <c r="O636" i="1"/>
  <c r="L636" i="1"/>
  <c r="H636" i="1" s="1"/>
  <c r="P636" i="1" s="1"/>
  <c r="O635" i="1"/>
  <c r="L635" i="1"/>
  <c r="H635" i="1" s="1"/>
  <c r="P635" i="1" s="1"/>
  <c r="O634" i="1"/>
  <c r="L634" i="1"/>
  <c r="H634" i="1" s="1"/>
  <c r="P634" i="1" s="1"/>
  <c r="O633" i="1"/>
  <c r="L633" i="1"/>
  <c r="H633" i="1" s="1"/>
  <c r="P633" i="1" s="1"/>
  <c r="O631" i="1"/>
  <c r="L631" i="1"/>
  <c r="H631" i="1"/>
  <c r="P631" i="1" s="1"/>
  <c r="O630" i="1"/>
  <c r="L630" i="1"/>
  <c r="H630" i="1" s="1"/>
  <c r="P630" i="1" s="1"/>
  <c r="O629" i="1"/>
  <c r="L629" i="1"/>
  <c r="H629" i="1" s="1"/>
  <c r="P629" i="1" s="1"/>
  <c r="P628" i="1"/>
  <c r="O628" i="1"/>
  <c r="L628" i="1"/>
  <c r="H628" i="1"/>
  <c r="O627" i="1"/>
  <c r="L627" i="1"/>
  <c r="H627" i="1"/>
  <c r="P627" i="1" s="1"/>
  <c r="P625" i="1"/>
  <c r="O625" i="1"/>
  <c r="L625" i="1"/>
  <c r="H625" i="1"/>
  <c r="O624" i="1"/>
  <c r="L624" i="1"/>
  <c r="P623" i="1"/>
  <c r="O623" i="1"/>
  <c r="L623" i="1"/>
  <c r="H623" i="1" s="1"/>
  <c r="P622" i="1"/>
  <c r="O622" i="1"/>
  <c r="H622" i="1" s="1"/>
  <c r="L622" i="1"/>
  <c r="O621" i="1"/>
  <c r="L621" i="1"/>
  <c r="O619" i="1"/>
  <c r="H619" i="1" s="1"/>
  <c r="P619" i="1" s="1"/>
  <c r="L619" i="1"/>
  <c r="O618" i="1"/>
  <c r="L618" i="1"/>
  <c r="P617" i="1"/>
  <c r="O617" i="1"/>
  <c r="L617" i="1"/>
  <c r="H617" i="1"/>
  <c r="O616" i="1"/>
  <c r="L616" i="1"/>
  <c r="H616" i="1" s="1"/>
  <c r="P616" i="1" s="1"/>
  <c r="O615" i="1"/>
  <c r="L615" i="1"/>
  <c r="H615" i="1"/>
  <c r="P615" i="1" s="1"/>
  <c r="O613" i="1"/>
  <c r="L613" i="1"/>
  <c r="H613" i="1" s="1"/>
  <c r="P613" i="1" s="1"/>
  <c r="O612" i="1"/>
  <c r="L612" i="1"/>
  <c r="H612" i="1"/>
  <c r="P612" i="1" s="1"/>
  <c r="O611" i="1"/>
  <c r="L611" i="1"/>
  <c r="H611" i="1" s="1"/>
  <c r="P611" i="1" s="1"/>
  <c r="O610" i="1"/>
  <c r="L610" i="1"/>
  <c r="H610" i="1"/>
  <c r="P610" i="1" s="1"/>
  <c r="P609" i="1"/>
  <c r="O609" i="1"/>
  <c r="L609" i="1"/>
  <c r="H609" i="1"/>
  <c r="O607" i="1"/>
  <c r="L607" i="1"/>
  <c r="H607" i="1"/>
  <c r="P607" i="1" s="1"/>
  <c r="O606" i="1"/>
  <c r="L606" i="1"/>
  <c r="H606" i="1"/>
  <c r="P606" i="1" s="1"/>
  <c r="O605" i="1"/>
  <c r="L605" i="1"/>
  <c r="O604" i="1"/>
  <c r="L604" i="1"/>
  <c r="H604" i="1" s="1"/>
  <c r="P604" i="1" s="1"/>
  <c r="P603" i="1"/>
  <c r="O603" i="1"/>
  <c r="H603" i="1" s="1"/>
  <c r="L603" i="1"/>
  <c r="O601" i="1"/>
  <c r="L601" i="1"/>
  <c r="H601" i="1" s="1"/>
  <c r="P601" i="1" s="1"/>
  <c r="O600" i="1"/>
  <c r="L600" i="1"/>
  <c r="H600" i="1"/>
  <c r="P600" i="1" s="1"/>
  <c r="O599" i="1"/>
  <c r="L599" i="1"/>
  <c r="H599" i="1" s="1"/>
  <c r="P599" i="1" s="1"/>
  <c r="O598" i="1"/>
  <c r="H598" i="1" s="1"/>
  <c r="P598" i="1" s="1"/>
  <c r="L598" i="1"/>
  <c r="O597" i="1"/>
  <c r="L597" i="1"/>
  <c r="H597" i="1" s="1"/>
  <c r="P597" i="1" s="1"/>
  <c r="O595" i="1"/>
  <c r="L595" i="1"/>
  <c r="H595" i="1" s="1"/>
  <c r="P595" i="1" s="1"/>
  <c r="O594" i="1"/>
  <c r="L594" i="1"/>
  <c r="H594" i="1"/>
  <c r="P594" i="1" s="1"/>
  <c r="O593" i="1"/>
  <c r="L593" i="1"/>
  <c r="H593" i="1"/>
  <c r="P593" i="1" s="1"/>
  <c r="O592" i="1"/>
  <c r="L592" i="1"/>
  <c r="H592" i="1"/>
  <c r="P592" i="1" s="1"/>
  <c r="O591" i="1"/>
  <c r="L591" i="1"/>
  <c r="H591" i="1" s="1"/>
  <c r="P591" i="1" s="1"/>
  <c r="P590" i="1"/>
  <c r="O590" i="1"/>
  <c r="L590" i="1"/>
  <c r="H590" i="1"/>
  <c r="O589" i="1"/>
  <c r="H589" i="1" s="1"/>
  <c r="P589" i="1" s="1"/>
  <c r="L589" i="1"/>
  <c r="P588" i="1"/>
  <c r="O588" i="1"/>
  <c r="L588" i="1"/>
  <c r="H588" i="1"/>
  <c r="O587" i="1"/>
  <c r="L587" i="1"/>
  <c r="H587" i="1" s="1"/>
  <c r="P587" i="1" s="1"/>
  <c r="O586" i="1"/>
  <c r="L586" i="1"/>
  <c r="H586" i="1" s="1"/>
  <c r="P586" i="1" s="1"/>
  <c r="P585" i="1"/>
  <c r="O585" i="1"/>
  <c r="H585" i="1" s="1"/>
  <c r="L585" i="1"/>
  <c r="O584" i="1"/>
  <c r="L584" i="1"/>
  <c r="O583" i="1"/>
  <c r="L583" i="1"/>
  <c r="H583" i="1"/>
  <c r="P583" i="1" s="1"/>
  <c r="O582" i="1"/>
  <c r="L582" i="1"/>
  <c r="O581" i="1"/>
  <c r="H581" i="1" s="1"/>
  <c r="P581" i="1" s="1"/>
  <c r="L581" i="1"/>
  <c r="O580" i="1"/>
  <c r="L580" i="1"/>
  <c r="H580" i="1" s="1"/>
  <c r="P580" i="1" s="1"/>
  <c r="O579" i="1"/>
  <c r="L579" i="1"/>
  <c r="H579" i="1"/>
  <c r="P579" i="1" s="1"/>
  <c r="O578" i="1"/>
  <c r="L578" i="1"/>
  <c r="H578" i="1" s="1"/>
  <c r="P578" i="1" s="1"/>
  <c r="O577" i="1"/>
  <c r="L577" i="1"/>
  <c r="H577" i="1"/>
  <c r="P577" i="1" s="1"/>
  <c r="O576" i="1"/>
  <c r="L576" i="1"/>
  <c r="H576" i="1" s="1"/>
  <c r="P576" i="1" s="1"/>
  <c r="O575" i="1"/>
  <c r="L575" i="1"/>
  <c r="H575" i="1"/>
  <c r="P575" i="1" s="1"/>
  <c r="P574" i="1"/>
  <c r="O574" i="1"/>
  <c r="L574" i="1"/>
  <c r="H574" i="1"/>
  <c r="O573" i="1"/>
  <c r="L573" i="1"/>
  <c r="H573" i="1"/>
  <c r="P573" i="1" s="1"/>
  <c r="O572" i="1"/>
  <c r="L572" i="1"/>
  <c r="H572" i="1"/>
  <c r="P572" i="1" s="1"/>
  <c r="O571" i="1"/>
  <c r="L571" i="1"/>
  <c r="P570" i="1"/>
  <c r="O570" i="1"/>
  <c r="L570" i="1"/>
  <c r="H570" i="1" s="1"/>
  <c r="O569" i="1"/>
  <c r="H569" i="1" s="1"/>
  <c r="P569" i="1" s="1"/>
  <c r="L569" i="1"/>
  <c r="O568" i="1"/>
  <c r="L568" i="1"/>
  <c r="O567" i="1"/>
  <c r="L567" i="1"/>
  <c r="H567" i="1"/>
  <c r="P567" i="1" s="1"/>
  <c r="P566" i="1"/>
  <c r="O566" i="1"/>
  <c r="L566" i="1"/>
  <c r="H566" i="1" s="1"/>
  <c r="O565" i="1"/>
  <c r="L565" i="1"/>
  <c r="H565" i="1" s="1"/>
  <c r="P565" i="1" s="1"/>
  <c r="O564" i="1"/>
  <c r="L564" i="1"/>
  <c r="H564" i="1" s="1"/>
  <c r="P564" i="1" s="1"/>
  <c r="O563" i="1"/>
  <c r="L563" i="1"/>
  <c r="H563" i="1" s="1"/>
  <c r="P563" i="1" s="1"/>
  <c r="O562" i="1"/>
  <c r="H562" i="1" s="1"/>
  <c r="P562" i="1" s="1"/>
  <c r="L562" i="1"/>
  <c r="O561" i="1"/>
  <c r="L561" i="1"/>
  <c r="H561" i="1"/>
  <c r="P561" i="1" s="1"/>
  <c r="O560" i="1"/>
  <c r="L560" i="1"/>
  <c r="H560" i="1"/>
  <c r="P560" i="1" s="1"/>
  <c r="O559" i="1"/>
  <c r="L559" i="1"/>
  <c r="H559" i="1" s="1"/>
  <c r="P559" i="1" s="1"/>
  <c r="P558" i="1"/>
  <c r="O558" i="1"/>
  <c r="L558" i="1"/>
  <c r="H558" i="1"/>
  <c r="O557" i="1"/>
  <c r="L557" i="1"/>
  <c r="H557" i="1"/>
  <c r="P557" i="1" s="1"/>
  <c r="O556" i="1"/>
  <c r="L556" i="1"/>
  <c r="H556" i="1"/>
  <c r="P556" i="1" s="1"/>
  <c r="O555" i="1"/>
  <c r="L555" i="1"/>
  <c r="P554" i="1"/>
  <c r="O554" i="1"/>
  <c r="L554" i="1"/>
  <c r="H554" i="1" s="1"/>
  <c r="P553" i="1"/>
  <c r="O553" i="1"/>
  <c r="H553" i="1" s="1"/>
  <c r="L553" i="1"/>
  <c r="O552" i="1"/>
  <c r="L552" i="1"/>
  <c r="O551" i="1"/>
  <c r="H551" i="1" s="1"/>
  <c r="P551" i="1" s="1"/>
  <c r="L551" i="1"/>
  <c r="O550" i="1"/>
  <c r="L550" i="1"/>
  <c r="H550" i="1" s="1"/>
  <c r="P550" i="1" s="1"/>
  <c r="O549" i="1"/>
  <c r="L549" i="1"/>
  <c r="H549" i="1"/>
  <c r="P549" i="1" s="1"/>
  <c r="O548" i="1"/>
  <c r="L548" i="1"/>
  <c r="O547" i="1"/>
  <c r="L547" i="1"/>
  <c r="H547" i="1"/>
  <c r="P547" i="1" s="1"/>
  <c r="O546" i="1"/>
  <c r="L546" i="1"/>
  <c r="H546" i="1" s="1"/>
  <c r="P546" i="1" s="1"/>
  <c r="O545" i="1"/>
  <c r="L545" i="1"/>
  <c r="H545" i="1" s="1"/>
  <c r="P545" i="1" s="1"/>
  <c r="P544" i="1"/>
  <c r="O544" i="1"/>
  <c r="L544" i="1"/>
  <c r="H544" i="1"/>
  <c r="O543" i="1"/>
  <c r="L543" i="1"/>
  <c r="H543" i="1" s="1"/>
  <c r="P543" i="1" s="1"/>
  <c r="O542" i="1"/>
  <c r="L542" i="1"/>
  <c r="H542" i="1"/>
  <c r="P542" i="1" s="1"/>
  <c r="O541" i="1"/>
  <c r="H541" i="1" s="1"/>
  <c r="P541" i="1" s="1"/>
  <c r="L541" i="1"/>
  <c r="O540" i="1"/>
  <c r="L540" i="1"/>
  <c r="H540" i="1"/>
  <c r="P540" i="1" s="1"/>
  <c r="O539" i="1"/>
  <c r="L539" i="1"/>
  <c r="P538" i="1"/>
  <c r="O538" i="1"/>
  <c r="L538" i="1"/>
  <c r="H538" i="1" s="1"/>
  <c r="O537" i="1"/>
  <c r="H537" i="1" s="1"/>
  <c r="P537" i="1" s="1"/>
  <c r="L537" i="1"/>
  <c r="O536" i="1"/>
  <c r="L536" i="1"/>
  <c r="O535" i="1"/>
  <c r="L535" i="1"/>
  <c r="H535" i="1"/>
  <c r="P535" i="1" s="1"/>
  <c r="P534" i="1"/>
  <c r="O534" i="1"/>
  <c r="L534" i="1"/>
  <c r="H534" i="1" s="1"/>
  <c r="O533" i="1"/>
  <c r="H533" i="1" s="1"/>
  <c r="P533" i="1" s="1"/>
  <c r="L533" i="1"/>
  <c r="O532" i="1"/>
  <c r="L532" i="1"/>
  <c r="H532" i="1" s="1"/>
  <c r="P532" i="1" s="1"/>
  <c r="O531" i="1"/>
  <c r="L531" i="1"/>
  <c r="H531" i="1" s="1"/>
  <c r="P531" i="1" s="1"/>
  <c r="O530" i="1"/>
  <c r="L530" i="1"/>
  <c r="H530" i="1"/>
  <c r="P530" i="1" s="1"/>
  <c r="O529" i="1"/>
  <c r="L529" i="1"/>
  <c r="H529" i="1"/>
  <c r="P529" i="1" s="1"/>
  <c r="O528" i="1"/>
  <c r="L528" i="1"/>
  <c r="H528" i="1"/>
  <c r="P528" i="1" s="1"/>
  <c r="O526" i="1"/>
  <c r="L526" i="1"/>
  <c r="H526" i="1" s="1"/>
  <c r="P526" i="1" s="1"/>
  <c r="O525" i="1"/>
  <c r="L525" i="1"/>
  <c r="H525" i="1"/>
  <c r="P525" i="1" s="1"/>
  <c r="O523" i="1"/>
  <c r="H523" i="1" s="1"/>
  <c r="P523" i="1" s="1"/>
  <c r="L523" i="1"/>
  <c r="P522" i="1"/>
  <c r="O522" i="1"/>
  <c r="L522" i="1"/>
  <c r="H522" i="1"/>
  <c r="O520" i="1"/>
  <c r="L520" i="1"/>
  <c r="O519" i="1"/>
  <c r="L519" i="1"/>
  <c r="H519" i="1" s="1"/>
  <c r="P519" i="1" s="1"/>
  <c r="P517" i="1"/>
  <c r="O517" i="1"/>
  <c r="H517" i="1" s="1"/>
  <c r="L517" i="1"/>
  <c r="O516" i="1"/>
  <c r="L516" i="1"/>
  <c r="O514" i="1"/>
  <c r="H514" i="1" s="1"/>
  <c r="P514" i="1" s="1"/>
  <c r="L514" i="1"/>
  <c r="O513" i="1"/>
  <c r="L513" i="1"/>
  <c r="H513" i="1" s="1"/>
  <c r="P513" i="1" s="1"/>
  <c r="O511" i="1"/>
  <c r="L511" i="1"/>
  <c r="H511" i="1" s="1"/>
  <c r="P511" i="1" s="1"/>
  <c r="O510" i="1"/>
  <c r="L510" i="1"/>
  <c r="H510" i="1" s="1"/>
  <c r="P510" i="1" s="1"/>
  <c r="O508" i="1"/>
  <c r="L508" i="1"/>
  <c r="O507" i="1"/>
  <c r="L507" i="1"/>
  <c r="H507" i="1" s="1"/>
  <c r="P507" i="1" s="1"/>
  <c r="O505" i="1"/>
  <c r="L505" i="1"/>
  <c r="H505" i="1" s="1"/>
  <c r="P505" i="1" s="1"/>
  <c r="O504" i="1"/>
  <c r="L504" i="1"/>
  <c r="H504" i="1" s="1"/>
  <c r="P504" i="1" s="1"/>
  <c r="O502" i="1"/>
  <c r="L502" i="1"/>
  <c r="H502" i="1"/>
  <c r="P502" i="1" s="1"/>
  <c r="O501" i="1"/>
  <c r="L501" i="1"/>
  <c r="H501" i="1"/>
  <c r="P501" i="1" s="1"/>
  <c r="O499" i="1"/>
  <c r="L499" i="1"/>
  <c r="H499" i="1"/>
  <c r="P499" i="1" s="1"/>
  <c r="P498" i="1"/>
  <c r="O498" i="1"/>
  <c r="L498" i="1"/>
  <c r="H498" i="1"/>
  <c r="O496" i="1"/>
  <c r="L496" i="1"/>
  <c r="O495" i="1"/>
  <c r="L495" i="1"/>
  <c r="H495" i="1" s="1"/>
  <c r="P495" i="1" s="1"/>
  <c r="P493" i="1"/>
  <c r="O493" i="1"/>
  <c r="H493" i="1" s="1"/>
  <c r="L493" i="1"/>
  <c r="O492" i="1"/>
  <c r="L492" i="1"/>
  <c r="P490" i="1"/>
  <c r="O490" i="1"/>
  <c r="L490" i="1"/>
  <c r="H490" i="1"/>
  <c r="O489" i="1"/>
  <c r="L489" i="1"/>
  <c r="O487" i="1"/>
  <c r="L487" i="1"/>
  <c r="H487" i="1"/>
  <c r="P487" i="1" s="1"/>
  <c r="O486" i="1"/>
  <c r="L486" i="1"/>
  <c r="O484" i="1"/>
  <c r="L484" i="1"/>
  <c r="H484" i="1" s="1"/>
  <c r="P484" i="1" s="1"/>
  <c r="O483" i="1"/>
  <c r="H483" i="1" s="1"/>
  <c r="P483" i="1" s="1"/>
  <c r="L483" i="1"/>
  <c r="O481" i="1"/>
  <c r="L481" i="1"/>
  <c r="H481" i="1" s="1"/>
  <c r="P481" i="1" s="1"/>
  <c r="O480" i="1"/>
  <c r="L480" i="1"/>
  <c r="H480" i="1"/>
  <c r="P480" i="1" s="1"/>
  <c r="O478" i="1"/>
  <c r="L478" i="1"/>
  <c r="H478" i="1"/>
  <c r="P478" i="1" s="1"/>
  <c r="O477" i="1"/>
  <c r="L477" i="1"/>
  <c r="H477" i="1"/>
  <c r="P477" i="1" s="1"/>
  <c r="O475" i="1"/>
  <c r="H475" i="1" s="1"/>
  <c r="P475" i="1" s="1"/>
  <c r="L475" i="1"/>
  <c r="P474" i="1"/>
  <c r="O474" i="1"/>
  <c r="L474" i="1"/>
  <c r="H474" i="1"/>
  <c r="P472" i="1"/>
  <c r="O472" i="1"/>
  <c r="H472" i="1" s="1"/>
  <c r="L472" i="1"/>
  <c r="P471" i="1"/>
  <c r="O471" i="1"/>
  <c r="L471" i="1"/>
  <c r="H471" i="1" s="1"/>
  <c r="P469" i="1"/>
  <c r="O469" i="1"/>
  <c r="H469" i="1" s="1"/>
  <c r="L469" i="1"/>
  <c r="O468" i="1"/>
  <c r="L468" i="1"/>
  <c r="O466" i="1"/>
  <c r="H466" i="1" s="1"/>
  <c r="P466" i="1" s="1"/>
  <c r="L466" i="1"/>
  <c r="O465" i="1"/>
  <c r="L465" i="1"/>
  <c r="H465" i="1" s="1"/>
  <c r="P465" i="1" s="1"/>
  <c r="P463" i="1"/>
  <c r="O463" i="1"/>
  <c r="L463" i="1"/>
  <c r="H463" i="1"/>
  <c r="O462" i="1"/>
  <c r="L462" i="1"/>
  <c r="H462" i="1" s="1"/>
  <c r="P462" i="1" s="1"/>
  <c r="O461" i="1"/>
  <c r="L461" i="1"/>
  <c r="H461" i="1"/>
  <c r="P461" i="1" s="1"/>
  <c r="O460" i="1"/>
  <c r="H460" i="1" s="1"/>
  <c r="P460" i="1" s="1"/>
  <c r="L460" i="1"/>
  <c r="O459" i="1"/>
  <c r="L459" i="1"/>
  <c r="H459" i="1" s="1"/>
  <c r="P459" i="1" s="1"/>
  <c r="O458" i="1"/>
  <c r="L458" i="1"/>
  <c r="H458" i="1"/>
  <c r="P458" i="1" s="1"/>
  <c r="O457" i="1"/>
  <c r="L457" i="1"/>
  <c r="H457" i="1"/>
  <c r="P457" i="1" s="1"/>
  <c r="P456" i="1"/>
  <c r="O456" i="1"/>
  <c r="L456" i="1"/>
  <c r="H456" i="1"/>
  <c r="O455" i="1"/>
  <c r="H455" i="1" s="1"/>
  <c r="P455" i="1" s="1"/>
  <c r="L455" i="1"/>
  <c r="O454" i="1"/>
  <c r="L454" i="1"/>
  <c r="H454" i="1" s="1"/>
  <c r="P454" i="1" s="1"/>
  <c r="O453" i="1"/>
  <c r="H453" i="1" s="1"/>
  <c r="P453" i="1" s="1"/>
  <c r="L453" i="1"/>
  <c r="O452" i="1"/>
  <c r="L452" i="1"/>
  <c r="H452" i="1" s="1"/>
  <c r="P452" i="1" s="1"/>
  <c r="P451" i="1"/>
  <c r="O451" i="1"/>
  <c r="L451" i="1"/>
  <c r="H451" i="1"/>
  <c r="P450" i="1"/>
  <c r="O450" i="1"/>
  <c r="L450" i="1"/>
  <c r="H450" i="1" s="1"/>
  <c r="O449" i="1"/>
  <c r="L449" i="1"/>
  <c r="H449" i="1"/>
  <c r="P449" i="1" s="1"/>
  <c r="O448" i="1"/>
  <c r="L448" i="1"/>
  <c r="P447" i="1"/>
  <c r="O447" i="1"/>
  <c r="L447" i="1"/>
  <c r="H447" i="1"/>
  <c r="O446" i="1"/>
  <c r="L446" i="1"/>
  <c r="H446" i="1" s="1"/>
  <c r="P446" i="1" s="1"/>
  <c r="O445" i="1"/>
  <c r="H445" i="1" s="1"/>
  <c r="P445" i="1" s="1"/>
  <c r="L445" i="1"/>
  <c r="O444" i="1"/>
  <c r="L444" i="1"/>
  <c r="H444" i="1"/>
  <c r="P444" i="1" s="1"/>
  <c r="O443" i="1"/>
  <c r="L443" i="1"/>
  <c r="H443" i="1"/>
  <c r="P443" i="1" s="1"/>
  <c r="O442" i="1"/>
  <c r="L442" i="1"/>
  <c r="H442" i="1" s="1"/>
  <c r="P442" i="1" s="1"/>
  <c r="O441" i="1"/>
  <c r="L441" i="1"/>
  <c r="H441" i="1" s="1"/>
  <c r="P441" i="1" s="1"/>
  <c r="P440" i="1"/>
  <c r="O440" i="1"/>
  <c r="L440" i="1"/>
  <c r="H440" i="1"/>
  <c r="O439" i="1"/>
  <c r="L439" i="1"/>
  <c r="H439" i="1"/>
  <c r="P439" i="1" s="1"/>
  <c r="O438" i="1"/>
  <c r="L438" i="1"/>
  <c r="H438" i="1"/>
  <c r="P438" i="1" s="1"/>
  <c r="O437" i="1"/>
  <c r="L437" i="1"/>
  <c r="H437" i="1" s="1"/>
  <c r="P437" i="1" s="1"/>
  <c r="P436" i="1"/>
  <c r="O436" i="1"/>
  <c r="L436" i="1"/>
  <c r="H436" i="1" s="1"/>
  <c r="O435" i="1"/>
  <c r="H435" i="1" s="1"/>
  <c r="P435" i="1" s="1"/>
  <c r="L435" i="1"/>
  <c r="O434" i="1"/>
  <c r="L434" i="1"/>
  <c r="H434" i="1" s="1"/>
  <c r="P434" i="1" s="1"/>
  <c r="P433" i="1"/>
  <c r="O433" i="1"/>
  <c r="L433" i="1"/>
  <c r="H433" i="1"/>
  <c r="O432" i="1"/>
  <c r="L432" i="1"/>
  <c r="H432" i="1" s="1"/>
  <c r="P432" i="1" s="1"/>
  <c r="O431" i="1"/>
  <c r="L431" i="1"/>
  <c r="H431" i="1" s="1"/>
  <c r="P431" i="1" s="1"/>
  <c r="O430" i="1"/>
  <c r="L430" i="1"/>
  <c r="O429" i="1"/>
  <c r="L429" i="1"/>
  <c r="O428" i="1"/>
  <c r="L428" i="1"/>
  <c r="H428" i="1" s="1"/>
  <c r="P428" i="1" s="1"/>
  <c r="O427" i="1"/>
  <c r="L427" i="1"/>
  <c r="H427" i="1"/>
  <c r="P427" i="1" s="1"/>
  <c r="P426" i="1"/>
  <c r="O426" i="1"/>
  <c r="L426" i="1"/>
  <c r="H426" i="1"/>
  <c r="P425" i="1"/>
  <c r="O425" i="1"/>
  <c r="L425" i="1"/>
  <c r="H425" i="1"/>
  <c r="P424" i="1"/>
  <c r="O424" i="1"/>
  <c r="L424" i="1"/>
  <c r="H424" i="1"/>
  <c r="O423" i="1"/>
  <c r="H423" i="1" s="1"/>
  <c r="P423" i="1" s="1"/>
  <c r="L423" i="1"/>
  <c r="O422" i="1"/>
  <c r="L422" i="1"/>
  <c r="H422" i="1"/>
  <c r="P422" i="1" s="1"/>
  <c r="O421" i="1"/>
  <c r="H421" i="1" s="1"/>
  <c r="P421" i="1" s="1"/>
  <c r="L421" i="1"/>
  <c r="O420" i="1"/>
  <c r="L420" i="1"/>
  <c r="H420" i="1" s="1"/>
  <c r="P420" i="1" s="1"/>
  <c r="P419" i="1"/>
  <c r="O419" i="1"/>
  <c r="L419" i="1"/>
  <c r="H419" i="1"/>
  <c r="O418" i="1"/>
  <c r="L418" i="1"/>
  <c r="O417" i="1"/>
  <c r="L417" i="1"/>
  <c r="H417" i="1"/>
  <c r="P417" i="1" s="1"/>
  <c r="O416" i="1"/>
  <c r="L416" i="1"/>
  <c r="O415" i="1"/>
  <c r="L415" i="1"/>
  <c r="H415" i="1" s="1"/>
  <c r="P415" i="1" s="1"/>
  <c r="O414" i="1"/>
  <c r="L414" i="1"/>
  <c r="O413" i="1"/>
  <c r="L413" i="1"/>
  <c r="H413" i="1" s="1"/>
  <c r="P413" i="1" s="1"/>
  <c r="O412" i="1"/>
  <c r="L412" i="1"/>
  <c r="H412" i="1" s="1"/>
  <c r="P412" i="1" s="1"/>
  <c r="O411" i="1"/>
  <c r="L411" i="1"/>
  <c r="H411" i="1"/>
  <c r="P411" i="1" s="1"/>
  <c r="O410" i="1"/>
  <c r="L410" i="1"/>
  <c r="H410" i="1" s="1"/>
  <c r="P410" i="1" s="1"/>
  <c r="O409" i="1"/>
  <c r="L409" i="1"/>
  <c r="H409" i="1" s="1"/>
  <c r="P409" i="1" s="1"/>
  <c r="P408" i="1"/>
  <c r="O408" i="1"/>
  <c r="L408" i="1"/>
  <c r="H408" i="1"/>
  <c r="O407" i="1"/>
  <c r="H407" i="1" s="1"/>
  <c r="P407" i="1" s="1"/>
  <c r="L407" i="1"/>
  <c r="P406" i="1"/>
  <c r="O406" i="1"/>
  <c r="L406" i="1"/>
  <c r="H406" i="1"/>
  <c r="O405" i="1"/>
  <c r="H405" i="1" s="1"/>
  <c r="P405" i="1" s="1"/>
  <c r="L405" i="1"/>
  <c r="P404" i="1"/>
  <c r="O404" i="1"/>
  <c r="L404" i="1"/>
  <c r="H404" i="1" s="1"/>
  <c r="O403" i="1"/>
  <c r="L403" i="1"/>
  <c r="H403" i="1"/>
  <c r="P403" i="1" s="1"/>
  <c r="O402" i="1"/>
  <c r="L402" i="1"/>
  <c r="O401" i="1"/>
  <c r="L401" i="1"/>
  <c r="H401" i="1"/>
  <c r="P401" i="1" s="1"/>
  <c r="O400" i="1"/>
  <c r="H400" i="1" s="1"/>
  <c r="P400" i="1" s="1"/>
  <c r="L400" i="1"/>
  <c r="O399" i="1"/>
  <c r="L399" i="1"/>
  <c r="H399" i="1" s="1"/>
  <c r="P399" i="1" s="1"/>
  <c r="O398" i="1"/>
  <c r="L398" i="1"/>
  <c r="O397" i="1"/>
  <c r="L397" i="1"/>
  <c r="H397" i="1" s="1"/>
  <c r="P397" i="1" s="1"/>
  <c r="O396" i="1"/>
  <c r="H396" i="1" s="1"/>
  <c r="P396" i="1" s="1"/>
  <c r="L396" i="1"/>
  <c r="O394" i="1"/>
  <c r="L394" i="1"/>
  <c r="H394" i="1"/>
  <c r="P394" i="1" s="1"/>
  <c r="O393" i="1"/>
  <c r="L393" i="1"/>
  <c r="H393" i="1" s="1"/>
  <c r="P393" i="1" s="1"/>
  <c r="O391" i="1"/>
  <c r="L391" i="1"/>
  <c r="O390" i="1"/>
  <c r="L390" i="1"/>
  <c r="H390" i="1"/>
  <c r="P390" i="1" s="1"/>
  <c r="O388" i="1"/>
  <c r="H388" i="1" s="1"/>
  <c r="P388" i="1" s="1"/>
  <c r="L388" i="1"/>
  <c r="O387" i="1"/>
  <c r="L387" i="1"/>
  <c r="H387" i="1"/>
  <c r="P387" i="1" s="1"/>
  <c r="P385" i="1"/>
  <c r="O385" i="1"/>
  <c r="L385" i="1"/>
  <c r="H385" i="1"/>
  <c r="O384" i="1"/>
  <c r="L384" i="1"/>
  <c r="H384" i="1"/>
  <c r="P384" i="1" s="1"/>
  <c r="O382" i="1"/>
  <c r="L382" i="1"/>
  <c r="H382" i="1" s="1"/>
  <c r="P382" i="1" s="1"/>
  <c r="O381" i="1"/>
  <c r="L381" i="1"/>
  <c r="O379" i="1"/>
  <c r="L379" i="1"/>
  <c r="H379" i="1" s="1"/>
  <c r="P379" i="1" s="1"/>
  <c r="O378" i="1"/>
  <c r="L378" i="1"/>
  <c r="H378" i="1"/>
  <c r="P378" i="1" s="1"/>
  <c r="O376" i="1"/>
  <c r="H376" i="1" s="1"/>
  <c r="P376" i="1" s="1"/>
  <c r="L376" i="1"/>
  <c r="O375" i="1"/>
  <c r="L375" i="1"/>
  <c r="H375" i="1" s="1"/>
  <c r="P375" i="1" s="1"/>
  <c r="O373" i="1"/>
  <c r="L373" i="1"/>
  <c r="O372" i="1"/>
  <c r="H372" i="1" s="1"/>
  <c r="P372" i="1" s="1"/>
  <c r="L372" i="1"/>
  <c r="O370" i="1"/>
  <c r="H370" i="1" s="1"/>
  <c r="P370" i="1" s="1"/>
  <c r="L370" i="1"/>
  <c r="O369" i="1"/>
  <c r="L369" i="1"/>
  <c r="H369" i="1"/>
  <c r="P369" i="1" s="1"/>
  <c r="O367" i="1"/>
  <c r="L367" i="1"/>
  <c r="H367" i="1" s="1"/>
  <c r="P367" i="1" s="1"/>
  <c r="P366" i="1"/>
  <c r="O366" i="1"/>
  <c r="L366" i="1"/>
  <c r="H366" i="1" s="1"/>
  <c r="O364" i="1"/>
  <c r="L364" i="1"/>
  <c r="H364" i="1" s="1"/>
  <c r="P364" i="1" s="1"/>
  <c r="P363" i="1"/>
  <c r="O363" i="1"/>
  <c r="L363" i="1"/>
  <c r="H363" i="1"/>
  <c r="O361" i="1"/>
  <c r="H361" i="1" s="1"/>
  <c r="P361" i="1" s="1"/>
  <c r="L361" i="1"/>
  <c r="P360" i="1"/>
  <c r="O360" i="1"/>
  <c r="L360" i="1"/>
  <c r="H360" i="1"/>
  <c r="P358" i="1"/>
  <c r="O358" i="1"/>
  <c r="H358" i="1" s="1"/>
  <c r="L358" i="1"/>
  <c r="O357" i="1"/>
  <c r="L357" i="1"/>
  <c r="H357" i="1" s="1"/>
  <c r="P357" i="1" s="1"/>
  <c r="P355" i="1"/>
  <c r="O355" i="1"/>
  <c r="L355" i="1"/>
  <c r="H355" i="1" s="1"/>
  <c r="O354" i="1"/>
  <c r="L354" i="1"/>
  <c r="H354" i="1"/>
  <c r="P354" i="1" s="1"/>
  <c r="O352" i="1"/>
  <c r="L352" i="1"/>
  <c r="P351" i="1"/>
  <c r="O351" i="1"/>
  <c r="L351" i="1"/>
  <c r="H351" i="1" s="1"/>
  <c r="O349" i="1"/>
  <c r="L349" i="1"/>
  <c r="H349" i="1" s="1"/>
  <c r="P349" i="1" s="1"/>
  <c r="O348" i="1"/>
  <c r="L348" i="1"/>
  <c r="H348" i="1" s="1"/>
  <c r="P348" i="1" s="1"/>
  <c r="O346" i="1"/>
  <c r="L346" i="1"/>
  <c r="H346" i="1"/>
  <c r="P346" i="1" s="1"/>
  <c r="O345" i="1"/>
  <c r="L345" i="1"/>
  <c r="O343" i="1"/>
  <c r="L343" i="1"/>
  <c r="H343" i="1" s="1"/>
  <c r="P343" i="1" s="1"/>
  <c r="O342" i="1"/>
  <c r="L342" i="1"/>
  <c r="H342" i="1"/>
  <c r="P342" i="1" s="1"/>
  <c r="O340" i="1"/>
  <c r="L340" i="1"/>
  <c r="H340" i="1" s="1"/>
  <c r="P340" i="1" s="1"/>
  <c r="O339" i="1"/>
  <c r="L339" i="1"/>
  <c r="H339" i="1" s="1"/>
  <c r="P339" i="1" s="1"/>
  <c r="O337" i="1"/>
  <c r="L337" i="1"/>
  <c r="H337" i="1"/>
  <c r="P337" i="1" s="1"/>
  <c r="O336" i="1"/>
  <c r="H336" i="1" s="1"/>
  <c r="P336" i="1" s="1"/>
  <c r="L336" i="1"/>
  <c r="O334" i="1"/>
  <c r="L334" i="1"/>
  <c r="H334" i="1"/>
  <c r="P334" i="1" s="1"/>
  <c r="O333" i="1"/>
  <c r="L333" i="1"/>
  <c r="O331" i="1"/>
  <c r="L331" i="1"/>
  <c r="H331" i="1"/>
  <c r="P331" i="1" s="1"/>
  <c r="O330" i="1"/>
  <c r="L330" i="1"/>
  <c r="H330" i="1"/>
  <c r="P330" i="1" s="1"/>
  <c r="O329" i="1"/>
  <c r="L329" i="1"/>
  <c r="H329" i="1"/>
  <c r="P329" i="1" s="1"/>
  <c r="O328" i="1"/>
  <c r="L328" i="1"/>
  <c r="H328" i="1" s="1"/>
  <c r="P328" i="1" s="1"/>
  <c r="O327" i="1"/>
  <c r="L327" i="1"/>
  <c r="H327" i="1" s="1"/>
  <c r="P327" i="1" s="1"/>
  <c r="O326" i="1"/>
  <c r="L326" i="1"/>
  <c r="H326" i="1"/>
  <c r="P326" i="1" s="1"/>
  <c r="O325" i="1"/>
  <c r="L325" i="1"/>
  <c r="H325" i="1"/>
  <c r="P325" i="1" s="1"/>
  <c r="O324" i="1"/>
  <c r="L324" i="1"/>
  <c r="O323" i="1"/>
  <c r="L323" i="1"/>
  <c r="H323" i="1" s="1"/>
  <c r="P323" i="1" s="1"/>
  <c r="P322" i="1"/>
  <c r="O322" i="1"/>
  <c r="L322" i="1"/>
  <c r="H322" i="1"/>
  <c r="O321" i="1"/>
  <c r="L321" i="1"/>
  <c r="H321" i="1"/>
  <c r="P321" i="1" s="1"/>
  <c r="P320" i="1"/>
  <c r="O320" i="1"/>
  <c r="L320" i="1"/>
  <c r="H320" i="1"/>
  <c r="O319" i="1"/>
  <c r="L319" i="1"/>
  <c r="H319" i="1"/>
  <c r="P319" i="1" s="1"/>
  <c r="O318" i="1"/>
  <c r="L318" i="1"/>
  <c r="H318" i="1" s="1"/>
  <c r="P318" i="1" s="1"/>
  <c r="O317" i="1"/>
  <c r="L317" i="1"/>
  <c r="H317" i="1" s="1"/>
  <c r="P317" i="1" s="1"/>
  <c r="O316" i="1"/>
  <c r="L316" i="1"/>
  <c r="O315" i="1"/>
  <c r="L315" i="1"/>
  <c r="H315" i="1"/>
  <c r="P315" i="1" s="1"/>
  <c r="O314" i="1"/>
  <c r="L314" i="1"/>
  <c r="H314" i="1"/>
  <c r="P314" i="1" s="1"/>
  <c r="O313" i="1"/>
  <c r="L313" i="1"/>
  <c r="H313" i="1"/>
  <c r="P313" i="1" s="1"/>
  <c r="O312" i="1"/>
  <c r="L312" i="1"/>
  <c r="H312" i="1" s="1"/>
  <c r="P312" i="1" s="1"/>
  <c r="O311" i="1"/>
  <c r="L311" i="1"/>
  <c r="H311" i="1"/>
  <c r="P311" i="1" s="1"/>
  <c r="O310" i="1"/>
  <c r="L310" i="1"/>
  <c r="H310" i="1"/>
  <c r="P310" i="1" s="1"/>
  <c r="O309" i="1"/>
  <c r="L309" i="1"/>
  <c r="H309" i="1" s="1"/>
  <c r="P309" i="1" s="1"/>
  <c r="O308" i="1"/>
  <c r="L308" i="1"/>
  <c r="H308" i="1" s="1"/>
  <c r="P308" i="1" s="1"/>
  <c r="O307" i="1"/>
  <c r="L307" i="1"/>
  <c r="H307" i="1" s="1"/>
  <c r="P307" i="1" s="1"/>
  <c r="P306" i="1"/>
  <c r="O306" i="1"/>
  <c r="L306" i="1"/>
  <c r="H306" i="1"/>
  <c r="O305" i="1"/>
  <c r="L305" i="1"/>
  <c r="H305" i="1"/>
  <c r="P305" i="1" s="1"/>
  <c r="O304" i="1"/>
  <c r="H304" i="1" s="1"/>
  <c r="P304" i="1" s="1"/>
  <c r="L304" i="1"/>
  <c r="O303" i="1"/>
  <c r="L303" i="1"/>
  <c r="H303" i="1"/>
  <c r="P303" i="1" s="1"/>
  <c r="O302" i="1"/>
  <c r="H302" i="1" s="1"/>
  <c r="P302" i="1" s="1"/>
  <c r="L302" i="1"/>
  <c r="O301" i="1"/>
  <c r="L301" i="1"/>
  <c r="H301" i="1" s="1"/>
  <c r="P301" i="1" s="1"/>
  <c r="O300" i="1"/>
  <c r="L300" i="1"/>
  <c r="H300" i="1" s="1"/>
  <c r="P300" i="1" s="1"/>
  <c r="P299" i="1"/>
  <c r="O299" i="1"/>
  <c r="L299" i="1"/>
  <c r="H299" i="1"/>
  <c r="O298" i="1"/>
  <c r="H298" i="1" s="1"/>
  <c r="P298" i="1" s="1"/>
  <c r="L298" i="1"/>
  <c r="O297" i="1"/>
  <c r="L297" i="1"/>
  <c r="H297" i="1" s="1"/>
  <c r="P297" i="1" s="1"/>
  <c r="O296" i="1"/>
  <c r="L296" i="1"/>
  <c r="H296" i="1" s="1"/>
  <c r="P296" i="1" s="1"/>
  <c r="P295" i="1"/>
  <c r="O295" i="1"/>
  <c r="L295" i="1"/>
  <c r="H295" i="1"/>
  <c r="O294" i="1"/>
  <c r="H294" i="1" s="1"/>
  <c r="P294" i="1" s="1"/>
  <c r="L294" i="1"/>
  <c r="O293" i="1"/>
  <c r="L293" i="1"/>
  <c r="H293" i="1" s="1"/>
  <c r="P293" i="1" s="1"/>
  <c r="O292" i="1"/>
  <c r="L292" i="1"/>
  <c r="H292" i="1" s="1"/>
  <c r="P292" i="1" s="1"/>
  <c r="O291" i="1"/>
  <c r="L291" i="1"/>
  <c r="H291" i="1"/>
  <c r="P291" i="1" s="1"/>
  <c r="O290" i="1"/>
  <c r="L290" i="1"/>
  <c r="H290" i="1"/>
  <c r="P290" i="1" s="1"/>
  <c r="O289" i="1"/>
  <c r="L289" i="1"/>
  <c r="H289" i="1"/>
  <c r="P289" i="1" s="1"/>
  <c r="O288" i="1"/>
  <c r="H288" i="1" s="1"/>
  <c r="P288" i="1" s="1"/>
  <c r="L288" i="1"/>
  <c r="O287" i="1"/>
  <c r="H287" i="1" s="1"/>
  <c r="P287" i="1" s="1"/>
  <c r="L287" i="1"/>
  <c r="O286" i="1"/>
  <c r="L286" i="1"/>
  <c r="H286" i="1" s="1"/>
  <c r="P286" i="1" s="1"/>
  <c r="O285" i="1"/>
  <c r="L285" i="1"/>
  <c r="H285" i="1"/>
  <c r="P285" i="1" s="1"/>
  <c r="P284" i="1"/>
  <c r="O284" i="1"/>
  <c r="L284" i="1"/>
  <c r="H284" i="1" s="1"/>
  <c r="O283" i="1"/>
  <c r="L283" i="1"/>
  <c r="H283" i="1"/>
  <c r="P283" i="1" s="1"/>
  <c r="O282" i="1"/>
  <c r="L282" i="1"/>
  <c r="H282" i="1"/>
  <c r="P282" i="1" s="1"/>
  <c r="O281" i="1"/>
  <c r="L281" i="1"/>
  <c r="H281" i="1" s="1"/>
  <c r="P281" i="1" s="1"/>
  <c r="O280" i="1"/>
  <c r="H280" i="1" s="1"/>
  <c r="P280" i="1" s="1"/>
  <c r="L280" i="1"/>
  <c r="O279" i="1"/>
  <c r="L279" i="1"/>
  <c r="H279" i="1"/>
  <c r="P279" i="1" s="1"/>
  <c r="O278" i="1"/>
  <c r="L278" i="1"/>
  <c r="H278" i="1" s="1"/>
  <c r="P278" i="1" s="1"/>
  <c r="O277" i="1"/>
  <c r="L277" i="1"/>
  <c r="H277" i="1"/>
  <c r="P277" i="1" s="1"/>
  <c r="P276" i="1"/>
  <c r="O276" i="1"/>
  <c r="L276" i="1"/>
  <c r="H276" i="1"/>
  <c r="O275" i="1"/>
  <c r="L275" i="1"/>
  <c r="H275" i="1" s="1"/>
  <c r="P275" i="1" s="1"/>
  <c r="O274" i="1"/>
  <c r="L274" i="1"/>
  <c r="H274" i="1"/>
  <c r="P274" i="1" s="1"/>
  <c r="O273" i="1"/>
  <c r="H273" i="1" s="1"/>
  <c r="P273" i="1" s="1"/>
  <c r="L273" i="1"/>
  <c r="O272" i="1"/>
  <c r="L272" i="1"/>
  <c r="H272" i="1"/>
  <c r="P272" i="1" s="1"/>
  <c r="P271" i="1"/>
  <c r="O271" i="1"/>
  <c r="H271" i="1" s="1"/>
  <c r="L271" i="1"/>
  <c r="P270" i="1"/>
  <c r="O270" i="1"/>
  <c r="L270" i="1"/>
  <c r="H270" i="1" s="1"/>
  <c r="O269" i="1"/>
  <c r="L269" i="1"/>
  <c r="H269" i="1" s="1"/>
  <c r="P269" i="1" s="1"/>
  <c r="O268" i="1"/>
  <c r="L268" i="1"/>
  <c r="H268" i="1" s="1"/>
  <c r="P268" i="1" s="1"/>
  <c r="O267" i="1"/>
  <c r="L267" i="1"/>
  <c r="O266" i="1"/>
  <c r="L266" i="1"/>
  <c r="P265" i="1"/>
  <c r="O265" i="1"/>
  <c r="L265" i="1"/>
  <c r="H265" i="1" s="1"/>
  <c r="P264" i="1"/>
  <c r="O264" i="1"/>
  <c r="L264" i="1"/>
  <c r="H264" i="1"/>
  <c r="O263" i="1"/>
  <c r="H263" i="1" s="1"/>
  <c r="P263" i="1" s="1"/>
  <c r="L263" i="1"/>
  <c r="O262" i="1"/>
  <c r="H262" i="1" s="1"/>
  <c r="P262" i="1" s="1"/>
  <c r="L262" i="1"/>
  <c r="O261" i="1"/>
  <c r="L261" i="1"/>
  <c r="H261" i="1" s="1"/>
  <c r="P261" i="1" s="1"/>
  <c r="P259" i="1"/>
  <c r="O259" i="1"/>
  <c r="L259" i="1"/>
  <c r="H259" i="1"/>
  <c r="O258" i="1"/>
  <c r="H258" i="1" s="1"/>
  <c r="P258" i="1" s="1"/>
  <c r="L258" i="1"/>
  <c r="O257" i="1"/>
  <c r="L257" i="1"/>
  <c r="H257" i="1"/>
  <c r="P257" i="1" s="1"/>
  <c r="O256" i="1"/>
  <c r="L256" i="1"/>
  <c r="H256" i="1" s="1"/>
  <c r="P256" i="1" s="1"/>
  <c r="O255" i="1"/>
  <c r="L255" i="1"/>
  <c r="H255" i="1" s="1"/>
  <c r="P255" i="1" s="1"/>
  <c r="O253" i="1"/>
  <c r="H253" i="1" s="1"/>
  <c r="P253" i="1" s="1"/>
  <c r="L253" i="1"/>
  <c r="O252" i="1"/>
  <c r="L252" i="1"/>
  <c r="H252" i="1" s="1"/>
  <c r="P252" i="1" s="1"/>
  <c r="P251" i="1"/>
  <c r="O251" i="1"/>
  <c r="L251" i="1"/>
  <c r="H251" i="1"/>
  <c r="O250" i="1"/>
  <c r="L250" i="1"/>
  <c r="H250" i="1" s="1"/>
  <c r="P250" i="1" s="1"/>
  <c r="O249" i="1"/>
  <c r="L249" i="1"/>
  <c r="H249" i="1" s="1"/>
  <c r="P249" i="1" s="1"/>
  <c r="O247" i="1"/>
  <c r="L247" i="1"/>
  <c r="H247" i="1" s="1"/>
  <c r="P247" i="1" s="1"/>
  <c r="P246" i="1"/>
  <c r="O246" i="1"/>
  <c r="L246" i="1"/>
  <c r="H246" i="1"/>
  <c r="O245" i="1"/>
  <c r="L245" i="1"/>
  <c r="H245" i="1" s="1"/>
  <c r="P245" i="1" s="1"/>
  <c r="O244" i="1"/>
  <c r="L244" i="1"/>
  <c r="H244" i="1" s="1"/>
  <c r="P244" i="1" s="1"/>
  <c r="O243" i="1"/>
  <c r="L243" i="1"/>
  <c r="O241" i="1"/>
  <c r="L241" i="1"/>
  <c r="H241" i="1" s="1"/>
  <c r="P241" i="1" s="1"/>
  <c r="O240" i="1"/>
  <c r="H240" i="1" s="1"/>
  <c r="P240" i="1" s="1"/>
  <c r="L240" i="1"/>
  <c r="O239" i="1"/>
  <c r="H239" i="1" s="1"/>
  <c r="P239" i="1" s="1"/>
  <c r="L239" i="1"/>
  <c r="O238" i="1"/>
  <c r="L238" i="1"/>
  <c r="H238" i="1" s="1"/>
  <c r="P238" i="1" s="1"/>
  <c r="O237" i="1"/>
  <c r="L237" i="1"/>
  <c r="H237" i="1" s="1"/>
  <c r="P237" i="1" s="1"/>
  <c r="O235" i="1"/>
  <c r="L235" i="1"/>
  <c r="O234" i="1"/>
  <c r="L234" i="1"/>
  <c r="H234" i="1"/>
  <c r="P234" i="1" s="1"/>
  <c r="O233" i="1"/>
  <c r="L233" i="1"/>
  <c r="H233" i="1" s="1"/>
  <c r="P233" i="1" s="1"/>
  <c r="O232" i="1"/>
  <c r="L232" i="1"/>
  <c r="H232" i="1" s="1"/>
  <c r="P232" i="1" s="1"/>
  <c r="O231" i="1"/>
  <c r="L231" i="1"/>
  <c r="O229" i="1"/>
  <c r="L229" i="1"/>
  <c r="H229" i="1" s="1"/>
  <c r="P229" i="1" s="1"/>
  <c r="P228" i="1"/>
  <c r="O228" i="1"/>
  <c r="L228" i="1"/>
  <c r="H228" i="1"/>
  <c r="O227" i="1"/>
  <c r="L227" i="1"/>
  <c r="H227" i="1" s="1"/>
  <c r="P227" i="1" s="1"/>
  <c r="O226" i="1"/>
  <c r="L226" i="1"/>
  <c r="H226" i="1" s="1"/>
  <c r="P226" i="1" s="1"/>
  <c r="O225" i="1"/>
  <c r="L225" i="1"/>
  <c r="H225" i="1" s="1"/>
  <c r="P225" i="1" s="1"/>
  <c r="P223" i="1"/>
  <c r="O223" i="1"/>
  <c r="L223" i="1"/>
  <c r="H223" i="1" s="1"/>
  <c r="O222" i="1"/>
  <c r="H222" i="1" s="1"/>
  <c r="P222" i="1" s="1"/>
  <c r="L222" i="1"/>
  <c r="O221" i="1"/>
  <c r="H221" i="1" s="1"/>
  <c r="P221" i="1" s="1"/>
  <c r="L221" i="1"/>
  <c r="O220" i="1"/>
  <c r="L220" i="1"/>
  <c r="H220" i="1" s="1"/>
  <c r="P220" i="1" s="1"/>
  <c r="O219" i="1"/>
  <c r="L219" i="1"/>
  <c r="H219" i="1" s="1"/>
  <c r="P219" i="1" s="1"/>
  <c r="O217" i="1"/>
  <c r="L217" i="1"/>
  <c r="H217" i="1" s="1"/>
  <c r="P217" i="1" s="1"/>
  <c r="O216" i="1"/>
  <c r="L216" i="1"/>
  <c r="H216" i="1"/>
  <c r="P216" i="1" s="1"/>
  <c r="P215" i="1"/>
  <c r="O215" i="1"/>
  <c r="L215" i="1"/>
  <c r="H215" i="1"/>
  <c r="O214" i="1"/>
  <c r="L214" i="1"/>
  <c r="H214" i="1"/>
  <c r="P214" i="1" s="1"/>
  <c r="O213" i="1"/>
  <c r="H213" i="1" s="1"/>
  <c r="P213" i="1" s="1"/>
  <c r="L213" i="1"/>
  <c r="O211" i="1"/>
  <c r="L211" i="1"/>
  <c r="P210" i="1"/>
  <c r="O210" i="1"/>
  <c r="L210" i="1"/>
  <c r="H210" i="1"/>
  <c r="O209" i="1"/>
  <c r="H209" i="1" s="1"/>
  <c r="P209" i="1" s="1"/>
  <c r="L209" i="1"/>
  <c r="O208" i="1"/>
  <c r="L208" i="1"/>
  <c r="H208" i="1"/>
  <c r="P208" i="1" s="1"/>
  <c r="O207" i="1"/>
  <c r="L207" i="1"/>
  <c r="H207" i="1" s="1"/>
  <c r="P207" i="1" s="1"/>
  <c r="P205" i="1"/>
  <c r="O205" i="1"/>
  <c r="L205" i="1"/>
  <c r="H205" i="1"/>
  <c r="P204" i="1"/>
  <c r="O204" i="1"/>
  <c r="L204" i="1"/>
  <c r="H204" i="1"/>
  <c r="O203" i="1"/>
  <c r="L203" i="1"/>
  <c r="H203" i="1"/>
  <c r="P203" i="1" s="1"/>
  <c r="O202" i="1"/>
  <c r="L202" i="1"/>
  <c r="H202" i="1" s="1"/>
  <c r="P202" i="1" s="1"/>
  <c r="O201" i="1"/>
  <c r="L201" i="1"/>
  <c r="H201" i="1" s="1"/>
  <c r="P201" i="1" s="1"/>
  <c r="P199" i="1"/>
  <c r="O199" i="1"/>
  <c r="L199" i="1"/>
  <c r="H199" i="1" s="1"/>
  <c r="O198" i="1"/>
  <c r="L198" i="1"/>
  <c r="H198" i="1"/>
  <c r="P198" i="1" s="1"/>
  <c r="O197" i="1"/>
  <c r="H197" i="1" s="1"/>
  <c r="P197" i="1" s="1"/>
  <c r="L197" i="1"/>
  <c r="O196" i="1"/>
  <c r="H196" i="1" s="1"/>
  <c r="P196" i="1" s="1"/>
  <c r="L196" i="1"/>
  <c r="O195" i="1"/>
  <c r="H195" i="1" s="1"/>
  <c r="P195" i="1" s="1"/>
  <c r="L195" i="1"/>
  <c r="O194" i="1"/>
  <c r="L194" i="1"/>
  <c r="H194" i="1" s="1"/>
  <c r="P194" i="1" s="1"/>
  <c r="O193" i="1"/>
  <c r="L193" i="1"/>
  <c r="H193" i="1" s="1"/>
  <c r="P193" i="1" s="1"/>
  <c r="O192" i="1"/>
  <c r="L192" i="1"/>
  <c r="H192" i="1" s="1"/>
  <c r="P192" i="1" s="1"/>
  <c r="O191" i="1"/>
  <c r="H191" i="1" s="1"/>
  <c r="P191" i="1" s="1"/>
  <c r="L191" i="1"/>
  <c r="O190" i="1"/>
  <c r="H190" i="1" s="1"/>
  <c r="P190" i="1" s="1"/>
  <c r="L190" i="1"/>
  <c r="O189" i="1"/>
  <c r="L189" i="1"/>
  <c r="H189" i="1" s="1"/>
  <c r="P189" i="1" s="1"/>
  <c r="P188" i="1"/>
  <c r="O188" i="1"/>
  <c r="H188" i="1" s="1"/>
  <c r="L188" i="1"/>
  <c r="O187" i="1"/>
  <c r="L187" i="1"/>
  <c r="H187" i="1" s="1"/>
  <c r="P187" i="1" s="1"/>
  <c r="O186" i="1"/>
  <c r="L186" i="1"/>
  <c r="H186" i="1" s="1"/>
  <c r="P186" i="1" s="1"/>
  <c r="O185" i="1"/>
  <c r="L185" i="1"/>
  <c r="H185" i="1"/>
  <c r="P185" i="1" s="1"/>
  <c r="O184" i="1"/>
  <c r="L184" i="1"/>
  <c r="H184" i="1"/>
  <c r="P184" i="1" s="1"/>
  <c r="O183" i="1"/>
  <c r="L183" i="1"/>
  <c r="H183" i="1" s="1"/>
  <c r="P183" i="1" s="1"/>
  <c r="P182" i="1"/>
  <c r="O182" i="1"/>
  <c r="L182" i="1"/>
  <c r="H182" i="1"/>
  <c r="O181" i="1"/>
  <c r="H181" i="1" s="1"/>
  <c r="P181" i="1" s="1"/>
  <c r="L181" i="1"/>
  <c r="O180" i="1"/>
  <c r="L180" i="1"/>
  <c r="H180" i="1"/>
  <c r="P180" i="1" s="1"/>
  <c r="O179" i="1"/>
  <c r="H179" i="1" s="1"/>
  <c r="P179" i="1" s="1"/>
  <c r="L179" i="1"/>
  <c r="O178" i="1"/>
  <c r="L178" i="1"/>
  <c r="P177" i="1"/>
  <c r="O177" i="1"/>
  <c r="L177" i="1"/>
  <c r="H177" i="1" s="1"/>
  <c r="O176" i="1"/>
  <c r="L176" i="1"/>
  <c r="H176" i="1" s="1"/>
  <c r="P176" i="1" s="1"/>
  <c r="P175" i="1"/>
  <c r="O175" i="1"/>
  <c r="L175" i="1"/>
  <c r="H175" i="1"/>
  <c r="O174" i="1"/>
  <c r="H174" i="1" s="1"/>
  <c r="P174" i="1" s="1"/>
  <c r="L174" i="1"/>
  <c r="O173" i="1"/>
  <c r="L173" i="1"/>
  <c r="H173" i="1"/>
  <c r="P173" i="1" s="1"/>
  <c r="O172" i="1"/>
  <c r="L172" i="1"/>
  <c r="H172" i="1" s="1"/>
  <c r="P172" i="1" s="1"/>
  <c r="O171" i="1"/>
  <c r="L171" i="1"/>
  <c r="H171" i="1" s="1"/>
  <c r="P171" i="1" s="1"/>
  <c r="O170" i="1"/>
  <c r="L170" i="1"/>
  <c r="H170" i="1" s="1"/>
  <c r="P170" i="1" s="1"/>
  <c r="O169" i="1"/>
  <c r="L169" i="1"/>
  <c r="H169" i="1" s="1"/>
  <c r="P169" i="1" s="1"/>
  <c r="O168" i="1"/>
  <c r="H168" i="1" s="1"/>
  <c r="P168" i="1" s="1"/>
  <c r="L168" i="1"/>
  <c r="O167" i="1"/>
  <c r="L167" i="1"/>
  <c r="H167" i="1" s="1"/>
  <c r="P167" i="1" s="1"/>
  <c r="O166" i="1"/>
  <c r="H166" i="1" s="1"/>
  <c r="P166" i="1" s="1"/>
  <c r="L166" i="1"/>
  <c r="O165" i="1"/>
  <c r="L165" i="1"/>
  <c r="H165" i="1" s="1"/>
  <c r="P165" i="1" s="1"/>
  <c r="O164" i="1"/>
  <c r="L164" i="1"/>
  <c r="H164" i="1"/>
  <c r="P164" i="1" s="1"/>
  <c r="O163" i="1"/>
  <c r="H163" i="1" s="1"/>
  <c r="P163" i="1" s="1"/>
  <c r="L163" i="1"/>
  <c r="O162" i="1"/>
  <c r="L162" i="1"/>
  <c r="H162" i="1"/>
  <c r="P162" i="1" s="1"/>
  <c r="O161" i="1"/>
  <c r="L161" i="1"/>
  <c r="O160" i="1"/>
  <c r="L160" i="1"/>
  <c r="H160" i="1"/>
  <c r="P160" i="1" s="1"/>
  <c r="O159" i="1"/>
  <c r="H159" i="1" s="1"/>
  <c r="P159" i="1" s="1"/>
  <c r="L159" i="1"/>
  <c r="O158" i="1"/>
  <c r="L158" i="1"/>
  <c r="H158" i="1" s="1"/>
  <c r="P158" i="1" s="1"/>
  <c r="P157" i="1"/>
  <c r="O157" i="1"/>
  <c r="L157" i="1"/>
  <c r="H157" i="1"/>
  <c r="O156" i="1"/>
  <c r="L156" i="1"/>
  <c r="O155" i="1"/>
  <c r="H155" i="1" s="1"/>
  <c r="P155" i="1" s="1"/>
  <c r="L155" i="1"/>
  <c r="O154" i="1"/>
  <c r="L154" i="1"/>
  <c r="H154" i="1" s="1"/>
  <c r="P154" i="1" s="1"/>
  <c r="O153" i="1"/>
  <c r="L153" i="1"/>
  <c r="H153" i="1"/>
  <c r="P153" i="1" s="1"/>
  <c r="O152" i="1"/>
  <c r="L152" i="1"/>
  <c r="H152" i="1"/>
  <c r="P152" i="1" s="1"/>
  <c r="O151" i="1"/>
  <c r="L151" i="1"/>
  <c r="H151" i="1"/>
  <c r="P151" i="1" s="1"/>
  <c r="P150" i="1"/>
  <c r="O150" i="1"/>
  <c r="L150" i="1"/>
  <c r="H150" i="1"/>
  <c r="P149" i="1"/>
  <c r="O149" i="1"/>
  <c r="H149" i="1" s="1"/>
  <c r="L149" i="1"/>
  <c r="O148" i="1"/>
  <c r="L148" i="1"/>
  <c r="H148" i="1"/>
  <c r="P148" i="1" s="1"/>
  <c r="O147" i="1"/>
  <c r="L147" i="1"/>
  <c r="O146" i="1"/>
  <c r="L146" i="1"/>
  <c r="O145" i="1"/>
  <c r="L145" i="1"/>
  <c r="H145" i="1" s="1"/>
  <c r="P145" i="1" s="1"/>
  <c r="O144" i="1"/>
  <c r="L144" i="1"/>
  <c r="H144" i="1"/>
  <c r="P144" i="1" s="1"/>
  <c r="O143" i="1"/>
  <c r="H143" i="1" s="1"/>
  <c r="P143" i="1" s="1"/>
  <c r="L143" i="1"/>
  <c r="O142" i="1"/>
  <c r="L142" i="1"/>
  <c r="H142" i="1" s="1"/>
  <c r="P142" i="1" s="1"/>
  <c r="O141" i="1"/>
  <c r="L141" i="1"/>
  <c r="H141" i="1" s="1"/>
  <c r="P141" i="1" s="1"/>
  <c r="P140" i="1"/>
  <c r="O140" i="1"/>
  <c r="H140" i="1" s="1"/>
  <c r="L140" i="1"/>
  <c r="O139" i="1"/>
  <c r="L139" i="1"/>
  <c r="H139" i="1"/>
  <c r="P139" i="1" s="1"/>
  <c r="O138" i="1"/>
  <c r="H138" i="1" s="1"/>
  <c r="P138" i="1" s="1"/>
  <c r="L138" i="1"/>
  <c r="O137" i="1"/>
  <c r="L137" i="1"/>
  <c r="H137" i="1"/>
  <c r="P137" i="1" s="1"/>
  <c r="O136" i="1"/>
  <c r="L136" i="1"/>
  <c r="H136" i="1" s="1"/>
  <c r="P136" i="1" s="1"/>
  <c r="O135" i="1"/>
  <c r="L135" i="1"/>
  <c r="H135" i="1" s="1"/>
  <c r="P135" i="1" s="1"/>
  <c r="O134" i="1"/>
  <c r="L134" i="1"/>
  <c r="H134" i="1" s="1"/>
  <c r="P134" i="1" s="1"/>
  <c r="O133" i="1"/>
  <c r="L133" i="1"/>
  <c r="H133" i="1"/>
  <c r="P133" i="1" s="1"/>
  <c r="O131" i="1"/>
  <c r="H131" i="1" s="1"/>
  <c r="P131" i="1" s="1"/>
  <c r="L131" i="1"/>
  <c r="P130" i="1"/>
  <c r="O130" i="1"/>
  <c r="L130" i="1"/>
  <c r="H130" i="1" s="1"/>
  <c r="O129" i="1"/>
  <c r="L129" i="1"/>
  <c r="H129" i="1"/>
  <c r="P129" i="1" s="1"/>
  <c r="P128" i="1"/>
  <c r="O128" i="1"/>
  <c r="L128" i="1"/>
  <c r="H128" i="1" s="1"/>
  <c r="O127" i="1"/>
  <c r="L127" i="1"/>
  <c r="H127" i="1"/>
  <c r="P127" i="1" s="1"/>
  <c r="O125" i="1"/>
  <c r="L125" i="1"/>
  <c r="H125" i="1" s="1"/>
  <c r="P125" i="1" s="1"/>
  <c r="O124" i="1"/>
  <c r="L124" i="1"/>
  <c r="O123" i="1"/>
  <c r="H123" i="1" s="1"/>
  <c r="P123" i="1" s="1"/>
  <c r="L123" i="1"/>
  <c r="O122" i="1"/>
  <c r="L122" i="1"/>
  <c r="O121" i="1"/>
  <c r="H121" i="1" s="1"/>
  <c r="P121" i="1" s="1"/>
  <c r="L121" i="1"/>
  <c r="O119" i="1"/>
  <c r="L119" i="1"/>
  <c r="H119" i="1" s="1"/>
  <c r="P119" i="1" s="1"/>
  <c r="O118" i="1"/>
  <c r="L118" i="1"/>
  <c r="H118" i="1"/>
  <c r="P118" i="1" s="1"/>
  <c r="O117" i="1"/>
  <c r="H117" i="1" s="1"/>
  <c r="P117" i="1" s="1"/>
  <c r="L117" i="1"/>
  <c r="O116" i="1"/>
  <c r="L116" i="1"/>
  <c r="H116" i="1"/>
  <c r="P116" i="1" s="1"/>
  <c r="O115" i="1"/>
  <c r="L115" i="1"/>
  <c r="H115" i="1" s="1"/>
  <c r="P115" i="1" s="1"/>
  <c r="O113" i="1"/>
  <c r="L113" i="1"/>
  <c r="H113" i="1" s="1"/>
  <c r="P113" i="1" s="1"/>
  <c r="O112" i="1"/>
  <c r="L112" i="1"/>
  <c r="H112" i="1"/>
  <c r="P112" i="1" s="1"/>
  <c r="O111" i="1"/>
  <c r="L111" i="1"/>
  <c r="H111" i="1" s="1"/>
  <c r="P111" i="1" s="1"/>
  <c r="O110" i="1"/>
  <c r="L110" i="1"/>
  <c r="H110" i="1"/>
  <c r="P110" i="1" s="1"/>
  <c r="O109" i="1"/>
  <c r="H109" i="1" s="1"/>
  <c r="P109" i="1" s="1"/>
  <c r="L109" i="1"/>
  <c r="O107" i="1"/>
  <c r="L107" i="1"/>
  <c r="H107" i="1"/>
  <c r="P107" i="1" s="1"/>
  <c r="O106" i="1"/>
  <c r="L106" i="1"/>
  <c r="H106" i="1" s="1"/>
  <c r="P106" i="1" s="1"/>
  <c r="O105" i="1"/>
  <c r="L105" i="1"/>
  <c r="O104" i="1"/>
  <c r="L104" i="1"/>
  <c r="H104" i="1"/>
  <c r="P104" i="1" s="1"/>
  <c r="O103" i="1"/>
  <c r="L103" i="1"/>
  <c r="O101" i="1"/>
  <c r="L101" i="1"/>
  <c r="H101" i="1"/>
  <c r="P101" i="1" s="1"/>
  <c r="O100" i="1"/>
  <c r="L100" i="1"/>
  <c r="H100" i="1" s="1"/>
  <c r="P100" i="1" s="1"/>
  <c r="P99" i="1"/>
  <c r="O99" i="1"/>
  <c r="L99" i="1"/>
  <c r="H99" i="1"/>
  <c r="O98" i="1"/>
  <c r="L98" i="1"/>
  <c r="H98" i="1"/>
  <c r="P98" i="1" s="1"/>
  <c r="O97" i="1"/>
  <c r="L97" i="1"/>
  <c r="H97" i="1"/>
  <c r="P97" i="1" s="1"/>
  <c r="O95" i="1"/>
  <c r="L95" i="1"/>
  <c r="H95" i="1"/>
  <c r="P95" i="1" s="1"/>
  <c r="P94" i="1"/>
  <c r="O94" i="1"/>
  <c r="L94" i="1"/>
  <c r="H94" i="1"/>
  <c r="O93" i="1"/>
  <c r="H93" i="1" s="1"/>
  <c r="P93" i="1" s="1"/>
  <c r="L93" i="1"/>
  <c r="O92" i="1"/>
  <c r="L92" i="1"/>
  <c r="H92" i="1" s="1"/>
  <c r="P92" i="1" s="1"/>
  <c r="O91" i="1"/>
  <c r="H91" i="1" s="1"/>
  <c r="P91" i="1" s="1"/>
  <c r="L91" i="1"/>
  <c r="O89" i="1"/>
  <c r="L89" i="1"/>
  <c r="O88" i="1"/>
  <c r="L88" i="1"/>
  <c r="H88" i="1"/>
  <c r="P88" i="1" s="1"/>
  <c r="O87" i="1"/>
  <c r="L87" i="1"/>
  <c r="H87" i="1" s="1"/>
  <c r="P87" i="1" s="1"/>
  <c r="O86" i="1"/>
  <c r="L86" i="1"/>
  <c r="H86" i="1"/>
  <c r="P86" i="1" s="1"/>
  <c r="O85" i="1"/>
  <c r="H85" i="1" s="1"/>
  <c r="P85" i="1" s="1"/>
  <c r="L85" i="1"/>
  <c r="P83" i="1"/>
  <c r="O83" i="1"/>
  <c r="L83" i="1"/>
  <c r="H83" i="1" s="1"/>
  <c r="O82" i="1"/>
  <c r="L82" i="1"/>
  <c r="H82" i="1"/>
  <c r="P82" i="1" s="1"/>
  <c r="O81" i="1"/>
  <c r="L81" i="1"/>
  <c r="H81" i="1" s="1"/>
  <c r="P81" i="1" s="1"/>
  <c r="O80" i="1"/>
  <c r="L80" i="1"/>
  <c r="H80" i="1"/>
  <c r="P80" i="1" s="1"/>
  <c r="O79" i="1"/>
  <c r="L79" i="1"/>
  <c r="H79" i="1"/>
  <c r="P79" i="1" s="1"/>
  <c r="O77" i="1"/>
  <c r="L77" i="1"/>
  <c r="H77" i="1"/>
  <c r="P77" i="1" s="1"/>
  <c r="O76" i="1"/>
  <c r="L76" i="1"/>
  <c r="H76" i="1" s="1"/>
  <c r="P76" i="1" s="1"/>
  <c r="P75" i="1"/>
  <c r="O75" i="1"/>
  <c r="L75" i="1"/>
  <c r="H75" i="1"/>
  <c r="O74" i="1"/>
  <c r="H74" i="1" s="1"/>
  <c r="P74" i="1" s="1"/>
  <c r="L74" i="1"/>
  <c r="O73" i="1"/>
  <c r="L73" i="1"/>
  <c r="H73" i="1"/>
  <c r="P73" i="1" s="1"/>
  <c r="P71" i="1"/>
  <c r="O71" i="1"/>
  <c r="H71" i="1" s="1"/>
  <c r="L71" i="1"/>
  <c r="O70" i="1"/>
  <c r="L70" i="1"/>
  <c r="H70" i="1" s="1"/>
  <c r="P70" i="1" s="1"/>
  <c r="O69" i="1"/>
  <c r="L69" i="1"/>
  <c r="H69" i="1"/>
  <c r="P69" i="1" s="1"/>
  <c r="O68" i="1"/>
  <c r="L68" i="1"/>
  <c r="H68" i="1" s="1"/>
  <c r="P68" i="1" s="1"/>
  <c r="O67" i="1"/>
  <c r="L67" i="1"/>
  <c r="H67" i="1" s="1"/>
  <c r="P67" i="1" s="1"/>
  <c r="O65" i="1"/>
  <c r="H65" i="1" s="1"/>
  <c r="P65" i="1" s="1"/>
  <c r="L65" i="1"/>
  <c r="O64" i="1"/>
  <c r="L64" i="1"/>
  <c r="H64" i="1" s="1"/>
  <c r="P64" i="1" s="1"/>
  <c r="O63" i="1"/>
  <c r="L63" i="1"/>
  <c r="H63" i="1"/>
  <c r="P63" i="1" s="1"/>
  <c r="O62" i="1"/>
  <c r="L62" i="1"/>
  <c r="H62" i="1" s="1"/>
  <c r="P62" i="1" s="1"/>
  <c r="O61" i="1"/>
  <c r="L61" i="1"/>
  <c r="H61" i="1" s="1"/>
  <c r="P61" i="1" s="1"/>
  <c r="O59" i="1"/>
  <c r="L59" i="1"/>
  <c r="H59" i="1"/>
  <c r="P59" i="1" s="1"/>
  <c r="O58" i="1"/>
  <c r="L58" i="1"/>
  <c r="H58" i="1"/>
  <c r="P58" i="1" s="1"/>
  <c r="O57" i="1"/>
  <c r="L57" i="1"/>
  <c r="H57" i="1" s="1"/>
  <c r="P57" i="1" s="1"/>
  <c r="P56" i="1"/>
  <c r="O56" i="1"/>
  <c r="L56" i="1"/>
  <c r="H56" i="1"/>
  <c r="O55" i="1"/>
  <c r="H55" i="1" s="1"/>
  <c r="P55" i="1" s="1"/>
  <c r="L55" i="1"/>
  <c r="O53" i="1"/>
  <c r="L53" i="1"/>
  <c r="H53" i="1"/>
  <c r="P53" i="1" s="1"/>
  <c r="P52" i="1"/>
  <c r="O52" i="1"/>
  <c r="H52" i="1" s="1"/>
  <c r="L52" i="1"/>
  <c r="O51" i="1"/>
  <c r="L51" i="1"/>
  <c r="H51" i="1" s="1"/>
  <c r="P51" i="1" s="1"/>
  <c r="P50" i="1"/>
  <c r="O50" i="1"/>
  <c r="L50" i="1"/>
  <c r="H50" i="1"/>
  <c r="O49" i="1"/>
  <c r="L49" i="1"/>
  <c r="H49" i="1" s="1"/>
  <c r="P49" i="1" s="1"/>
  <c r="O47" i="1"/>
  <c r="L47" i="1"/>
  <c r="H47" i="1"/>
  <c r="P47" i="1" s="1"/>
  <c r="O46" i="1"/>
  <c r="H46" i="1" s="1"/>
  <c r="P46" i="1" s="1"/>
  <c r="L46" i="1"/>
  <c r="O45" i="1"/>
  <c r="L45" i="1"/>
  <c r="H45" i="1" s="1"/>
  <c r="P45" i="1" s="1"/>
  <c r="O44" i="1"/>
  <c r="L44" i="1"/>
  <c r="H44" i="1" s="1"/>
  <c r="P44" i="1" s="1"/>
  <c r="O43" i="1"/>
  <c r="L43" i="1"/>
  <c r="H43" i="1" s="1"/>
  <c r="P43" i="1" s="1"/>
  <c r="O41" i="1"/>
  <c r="L41" i="1"/>
  <c r="H41" i="1" s="1"/>
  <c r="P41" i="1" s="1"/>
  <c r="O40" i="1"/>
  <c r="L40" i="1"/>
  <c r="H40" i="1"/>
  <c r="P40" i="1" s="1"/>
  <c r="P39" i="1"/>
  <c r="O39" i="1"/>
  <c r="L39" i="1"/>
  <c r="H39" i="1"/>
  <c r="O38" i="1"/>
  <c r="L38" i="1"/>
  <c r="H38" i="1"/>
  <c r="P38" i="1" s="1"/>
  <c r="P37" i="1"/>
  <c r="O37" i="1"/>
  <c r="L37" i="1"/>
  <c r="H37" i="1"/>
  <c r="O35" i="1"/>
  <c r="H35" i="1" s="1"/>
  <c r="P35" i="1" s="1"/>
  <c r="L35" i="1"/>
  <c r="O34" i="1"/>
  <c r="L34" i="1"/>
  <c r="H34" i="1" s="1"/>
  <c r="P34" i="1" s="1"/>
  <c r="O33" i="1"/>
  <c r="H33" i="1" s="1"/>
  <c r="P33" i="1" s="1"/>
  <c r="L33" i="1"/>
  <c r="O32" i="1"/>
  <c r="L32" i="1"/>
  <c r="O31" i="1"/>
  <c r="L31" i="1"/>
  <c r="H31" i="1"/>
  <c r="P31" i="1" s="1"/>
  <c r="O29" i="1"/>
  <c r="L29" i="1"/>
  <c r="H29" i="1" s="1"/>
  <c r="P29" i="1" s="1"/>
  <c r="O28" i="1"/>
  <c r="L28" i="1"/>
  <c r="H28" i="1"/>
  <c r="P28" i="1" s="1"/>
  <c r="O27" i="1"/>
  <c r="H27" i="1" s="1"/>
  <c r="P27" i="1" s="1"/>
  <c r="L27" i="1"/>
  <c r="P26" i="1"/>
  <c r="O26" i="1"/>
  <c r="L26" i="1"/>
  <c r="H26" i="1"/>
  <c r="O25" i="1"/>
  <c r="L25" i="1"/>
  <c r="H25" i="1" s="1"/>
  <c r="P25" i="1" s="1"/>
  <c r="O23" i="1"/>
  <c r="L23" i="1"/>
  <c r="H23" i="1" s="1"/>
  <c r="P23" i="1" s="1"/>
  <c r="O22" i="1"/>
  <c r="L22" i="1"/>
  <c r="H22" i="1"/>
  <c r="P22" i="1" s="1"/>
  <c r="O21" i="1"/>
  <c r="L21" i="1"/>
  <c r="H21" i="1"/>
  <c r="P21" i="1" s="1"/>
  <c r="O20" i="1"/>
  <c r="L20" i="1"/>
  <c r="H20" i="1"/>
  <c r="P20" i="1" s="1"/>
  <c r="O19" i="1"/>
  <c r="L19" i="1"/>
  <c r="H19" i="1"/>
  <c r="P19" i="1" s="1"/>
  <c r="P17" i="1"/>
  <c r="Q17" i="1" s="1"/>
  <c r="O17" i="1"/>
  <c r="L17" i="1"/>
  <c r="H17" i="1"/>
  <c r="P16" i="1"/>
  <c r="Q16" i="1" s="1"/>
  <c r="O16" i="1"/>
  <c r="H16" i="1" s="1"/>
  <c r="L16" i="1"/>
  <c r="O15" i="1"/>
  <c r="L15" i="1"/>
  <c r="H15" i="1" s="1"/>
  <c r="P15" i="1" s="1"/>
  <c r="Q15" i="1" s="1"/>
  <c r="O14" i="1"/>
  <c r="H14" i="1" s="1"/>
  <c r="P14" i="1" s="1"/>
  <c r="Q14" i="1" s="1"/>
  <c r="L14" i="1"/>
  <c r="O13" i="1"/>
  <c r="L13" i="1"/>
  <c r="H13" i="1" s="1"/>
  <c r="P13" i="1" s="1"/>
  <c r="Q13" i="1" s="1"/>
  <c r="P12" i="1"/>
  <c r="Q12" i="1" s="1"/>
  <c r="O12" i="1"/>
  <c r="L12" i="1"/>
  <c r="H12" i="1"/>
  <c r="O11" i="1"/>
  <c r="L11" i="1"/>
  <c r="H11" i="1" s="1"/>
  <c r="P11" i="1" s="1"/>
  <c r="Q11" i="1" s="1"/>
  <c r="O10" i="1"/>
  <c r="L10" i="1"/>
  <c r="H10" i="1" s="1"/>
  <c r="P10" i="1" s="1"/>
  <c r="Q10" i="1" s="1"/>
  <c r="O9" i="1"/>
  <c r="H9" i="1" s="1"/>
  <c r="P9" i="1" s="1"/>
  <c r="Q9" i="1" s="1"/>
  <c r="L9" i="1"/>
  <c r="O8" i="1"/>
  <c r="L8" i="1"/>
  <c r="H8" i="1"/>
  <c r="P8" i="1" s="1"/>
  <c r="Q8" i="1" s="1"/>
  <c r="O7" i="1"/>
  <c r="L7" i="1"/>
  <c r="H7" i="1"/>
  <c r="P7" i="1" s="1"/>
  <c r="Q7" i="1" s="1"/>
  <c r="O6" i="1"/>
  <c r="L6" i="1"/>
  <c r="H6" i="1" s="1"/>
  <c r="P6" i="1" s="1"/>
  <c r="Q6" i="1" s="1"/>
  <c r="P5" i="1"/>
  <c r="Q5" i="1" s="1"/>
  <c r="O5" i="1"/>
  <c r="L5" i="1"/>
  <c r="H5" i="1"/>
  <c r="O4" i="1"/>
  <c r="L4" i="1"/>
  <c r="H4" i="1"/>
  <c r="P4" i="1" s="1"/>
  <c r="Q4" i="1" s="1"/>
  <c r="P3" i="1"/>
  <c r="Q3" i="1" s="1"/>
  <c r="O3" i="1"/>
  <c r="L3" i="1"/>
  <c r="H3" i="1"/>
  <c r="O2" i="1"/>
  <c r="L2" i="1"/>
  <c r="H2" i="1"/>
  <c r="P2" i="1" s="1"/>
  <c r="Q2" i="1" s="1"/>
  <c r="H103" i="1" l="1"/>
  <c r="P103" i="1" s="1"/>
  <c r="H146" i="1"/>
  <c r="P146" i="1" s="1"/>
  <c r="H156" i="1"/>
  <c r="P156" i="1" s="1"/>
  <c r="H178" i="1"/>
  <c r="P178" i="1" s="1"/>
  <c r="H122" i="1"/>
  <c r="P122" i="1" s="1"/>
  <c r="H243" i="1"/>
  <c r="P243" i="1" s="1"/>
  <c r="H352" i="1"/>
  <c r="P352" i="1" s="1"/>
  <c r="H621" i="1"/>
  <c r="P621" i="1" s="1"/>
  <c r="H768" i="1"/>
  <c r="P768" i="1" s="1"/>
  <c r="H32" i="1"/>
  <c r="P32" i="1" s="1"/>
  <c r="H89" i="1"/>
  <c r="P89" i="1" s="1"/>
  <c r="H124" i="1"/>
  <c r="P124" i="1" s="1"/>
  <c r="H161" i="1"/>
  <c r="P161" i="1" s="1"/>
  <c r="H316" i="1"/>
  <c r="P316" i="1" s="1"/>
  <c r="H324" i="1"/>
  <c r="P324" i="1" s="1"/>
  <c r="H333" i="1"/>
  <c r="P333" i="1" s="1"/>
  <c r="H552" i="1"/>
  <c r="P552" i="1" s="1"/>
  <c r="H792" i="1"/>
  <c r="P792" i="1" s="1"/>
  <c r="H830" i="1"/>
  <c r="P830" i="1" s="1"/>
  <c r="H516" i="1"/>
  <c r="P516" i="1" s="1"/>
  <c r="H584" i="1"/>
  <c r="P584" i="1" s="1"/>
  <c r="H706" i="1"/>
  <c r="P706" i="1" s="1"/>
  <c r="H721" i="1"/>
  <c r="P721" i="1" s="1"/>
  <c r="H266" i="1"/>
  <c r="P266" i="1" s="1"/>
  <c r="H391" i="1"/>
  <c r="P391" i="1" s="1"/>
  <c r="H398" i="1"/>
  <c r="P398" i="1" s="1"/>
  <c r="H508" i="1"/>
  <c r="P508" i="1" s="1"/>
  <c r="H105" i="1"/>
  <c r="P105" i="1" s="1"/>
  <c r="H235" i="1"/>
  <c r="P235" i="1" s="1"/>
  <c r="H267" i="1"/>
  <c r="P267" i="1" s="1"/>
  <c r="H448" i="1"/>
  <c r="P448" i="1" s="1"/>
  <c r="H539" i="1"/>
  <c r="P539" i="1" s="1"/>
  <c r="H605" i="1"/>
  <c r="P605" i="1" s="1"/>
  <c r="H687" i="1"/>
  <c r="P687" i="1" s="1"/>
  <c r="H772" i="1"/>
  <c r="P772" i="1" s="1"/>
  <c r="H833" i="1"/>
  <c r="P833" i="1" s="1"/>
  <c r="H862" i="1"/>
  <c r="P862" i="1" s="1"/>
  <c r="H900" i="1"/>
  <c r="P900" i="1" s="1"/>
  <c r="H373" i="1"/>
  <c r="P373" i="1" s="1"/>
  <c r="H414" i="1"/>
  <c r="P414" i="1" s="1"/>
  <c r="H147" i="1"/>
  <c r="P147" i="1" s="1"/>
  <c r="H345" i="1"/>
  <c r="P345" i="1" s="1"/>
  <c r="H416" i="1"/>
  <c r="P416" i="1" s="1"/>
  <c r="H429" i="1"/>
  <c r="P429" i="1" s="1"/>
  <c r="H657" i="1"/>
  <c r="P657" i="1" s="1"/>
  <c r="H796" i="1"/>
  <c r="P796" i="1" s="1"/>
  <c r="H843" i="1"/>
  <c r="P843" i="1" s="1"/>
  <c r="H402" i="1"/>
  <c r="P402" i="1" s="1"/>
  <c r="H492" i="1"/>
  <c r="P492" i="1" s="1"/>
  <c r="H555" i="1"/>
  <c r="P555" i="1" s="1"/>
  <c r="H568" i="1"/>
  <c r="P568" i="1" s="1"/>
  <c r="H708" i="1"/>
  <c r="P708" i="1" s="1"/>
  <c r="H778" i="1"/>
  <c r="P778" i="1" s="1"/>
  <c r="H231" i="1"/>
  <c r="P231" i="1" s="1"/>
  <c r="H418" i="1"/>
  <c r="P418" i="1" s="1"/>
  <c r="H486" i="1"/>
  <c r="P486" i="1" s="1"/>
  <c r="H798" i="1"/>
  <c r="P798" i="1" s="1"/>
  <c r="H211" i="1"/>
  <c r="P211" i="1" s="1"/>
  <c r="H582" i="1"/>
  <c r="P582" i="1" s="1"/>
  <c r="H703" i="1"/>
  <c r="P703" i="1" s="1"/>
  <c r="H711" i="1"/>
  <c r="P711" i="1" s="1"/>
  <c r="H730" i="1"/>
  <c r="P730" i="1" s="1"/>
  <c r="H755" i="1"/>
  <c r="P755" i="1" s="1"/>
  <c r="H812" i="1"/>
  <c r="P812" i="1" s="1"/>
  <c r="H520" i="1"/>
  <c r="P520" i="1" s="1"/>
  <c r="H548" i="1"/>
  <c r="P548" i="1" s="1"/>
  <c r="H489" i="1"/>
  <c r="P489" i="1" s="1"/>
  <c r="H536" i="1"/>
  <c r="P536" i="1" s="1"/>
  <c r="H916" i="1"/>
  <c r="P916" i="1" s="1"/>
  <c r="H381" i="1"/>
  <c r="P381" i="1" s="1"/>
  <c r="H496" i="1"/>
  <c r="P496" i="1" s="1"/>
  <c r="H618" i="1"/>
  <c r="P618" i="1" s="1"/>
  <c r="H624" i="1"/>
  <c r="P624" i="1" s="1"/>
  <c r="H640" i="1"/>
  <c r="P640" i="1" s="1"/>
  <c r="H660" i="1"/>
  <c r="P660" i="1" s="1"/>
  <c r="H859" i="1"/>
  <c r="P859" i="1" s="1"/>
  <c r="H430" i="1"/>
  <c r="P430" i="1" s="1"/>
  <c r="H468" i="1"/>
  <c r="P468" i="1" s="1"/>
  <c r="H571" i="1"/>
  <c r="P571" i="1" s="1"/>
  <c r="H643" i="1"/>
  <c r="P643" i="1" s="1"/>
  <c r="H735" i="1"/>
  <c r="P735" i="1" s="1"/>
  <c r="H846" i="1"/>
  <c r="P846" i="1" s="1"/>
  <c r="H897" i="1"/>
  <c r="P897" i="1" s="1"/>
  <c r="H876" i="1"/>
  <c r="P876" i="1" s="1"/>
</calcChain>
</file>

<file path=xl/sharedStrings.xml><?xml version="1.0" encoding="utf-8"?>
<sst xmlns="http://schemas.openxmlformats.org/spreadsheetml/2006/main" count="7656" uniqueCount="569">
  <si>
    <t>Country</t>
  </si>
  <si>
    <t>Region</t>
  </si>
  <si>
    <t>Population</t>
  </si>
  <si>
    <t>Year</t>
  </si>
  <si>
    <t>Exposure Type</t>
  </si>
  <si>
    <t>Estimated Exposed Prevalence %</t>
  </si>
  <si>
    <t>Severity Weight</t>
  </si>
  <si>
    <t>Trauma Burden Unit</t>
  </si>
  <si>
    <t>Incidents (I)</t>
  </si>
  <si>
    <t>Disability Weight (DW)</t>
  </si>
  <si>
    <t>Duration (Ls)</t>
  </si>
  <si>
    <t>Trauma Morbidity (YLD)</t>
  </si>
  <si>
    <t>Deaths (S)</t>
  </si>
  <si>
    <t>Standard Life Expectancy (La)</t>
  </si>
  <si>
    <t>Trauma Mortality (YLL)</t>
  </si>
  <si>
    <t>Per Capita Burden Rate</t>
  </si>
  <si>
    <t>Final GTBI Score</t>
  </si>
  <si>
    <t>Key Event</t>
  </si>
  <si>
    <t>Primary Source</t>
  </si>
  <si>
    <t>Secondary Source</t>
  </si>
  <si>
    <t>United States</t>
  </si>
  <si>
    <t>North America</t>
  </si>
  <si>
    <t>Armed Conflict</t>
  </si>
  <si>
    <t>Low-level militia/extremist incidents</t>
  </si>
  <si>
    <t>CFR Global Conflict Tracker</t>
  </si>
  <si>
    <t>ACLED, OWID 2024, UCDP PC v24</t>
  </si>
  <si>
    <t>Political Repression</t>
  </si>
  <si>
    <t>Ferguson protests; police use-of-force incidents</t>
  </si>
  <si>
    <t>ACLED 2025</t>
  </si>
  <si>
    <t>-</t>
  </si>
  <si>
    <t>Commu-l Violence</t>
  </si>
  <si>
    <t>San Ber-rdino; Charleston church shooting</t>
  </si>
  <si>
    <t>GBD 2019</t>
  </si>
  <si>
    <t>Terrorism</t>
  </si>
  <si>
    <t>Domestic extremist incidents</t>
  </si>
  <si>
    <t>GTI 2025</t>
  </si>
  <si>
    <t>ACLED</t>
  </si>
  <si>
    <t>Forced Displacement</t>
  </si>
  <si>
    <t>Inter-l displacement minimal; border asylum seekers</t>
  </si>
  <si>
    <t>UNHCR</t>
  </si>
  <si>
    <t>OWID</t>
  </si>
  <si>
    <t>Disaster (Trauma-Linked)</t>
  </si>
  <si>
    <t>Severe storms; wildfires</t>
  </si>
  <si>
    <t>FEMA / OWID</t>
  </si>
  <si>
    <t>WHO</t>
  </si>
  <si>
    <t>Standing Rock protests; police incidents</t>
  </si>
  <si>
    <t>Orlando Pulse; Dallas police shooting</t>
  </si>
  <si>
    <t>Orlando classified terrorism; domestic plots</t>
  </si>
  <si>
    <t>Louisia- flooding; Hurricane Matthew</t>
  </si>
  <si>
    <t>Charlottesville; travel ban protests</t>
  </si>
  <si>
    <t>Las Vegas massacre; Sutherland Springs</t>
  </si>
  <si>
    <t>NYC truck attack; Charlottesville vehicle attack</t>
  </si>
  <si>
    <t>Hurricanes Harvey/Irma/Maria; California wildfires</t>
  </si>
  <si>
    <t>Immigration detention protests; family separation</t>
  </si>
  <si>
    <t>Parkland; Pittsburgh sy-gogue shooting</t>
  </si>
  <si>
    <t>Pipe bombs; sy-gogue attack with terrorism classification</t>
  </si>
  <si>
    <t>Camp Fire (Paradise CA); Hurricane Florence</t>
  </si>
  <si>
    <t>Hong Kong solidarity; Epstein protests</t>
  </si>
  <si>
    <t>El Paso; Dayton mass shootings</t>
  </si>
  <si>
    <t>Domestic right-wing terrorism incidents</t>
  </si>
  <si>
    <t>Midwest flooding; tor-do outbreaks</t>
  </si>
  <si>
    <t>George Floyd / BLM protests; federal crackdown</t>
  </si>
  <si>
    <t>UCDP</t>
  </si>
  <si>
    <t>COVID-linked hate crimes; increased gun violence</t>
  </si>
  <si>
    <t>Boogaloo; militia plots during BLM period</t>
  </si>
  <si>
    <t>Record wildfire season; Hurricane Laura</t>
  </si>
  <si>
    <t>Jan 6 Capitol attack; post-election unrest</t>
  </si>
  <si>
    <t>Atlanta spa; Boulder; surge in mass shootings</t>
  </si>
  <si>
    <t>Jan 6 classified terrorism by some agencies; domestic plots</t>
  </si>
  <si>
    <t>Texas freeze; Hurricane Ida; western wildfires</t>
  </si>
  <si>
    <t>Dobbs decision protests; ongoing political unrest</t>
  </si>
  <si>
    <t>Uvalde; Buffalo supermarket; Club Q</t>
  </si>
  <si>
    <t>Right-wing and a-rchist domestic terrorism</t>
  </si>
  <si>
    <t>Hurricane Ian; Kentucky floods</t>
  </si>
  <si>
    <t>Protest crackdowns; university demonstrations</t>
  </si>
  <si>
    <t>-shville; Lewiston; ongoing mass shooting wave</t>
  </si>
  <si>
    <t>Domestic extremism incidents</t>
  </si>
  <si>
    <t>Maui wildfires; severe storms</t>
  </si>
  <si>
    <t>Election-related unrest; Gaza solidarity protests</t>
  </si>
  <si>
    <t>Ongoing mass shooting incidents</t>
  </si>
  <si>
    <t>Election-adjacent extremist incidents</t>
  </si>
  <si>
    <t>Hurricane Helene; ongoing severe weather</t>
  </si>
  <si>
    <t>Deportation protests; federal policy unrest</t>
  </si>
  <si>
    <t>Ongoing gun violence events</t>
  </si>
  <si>
    <t>Domestic terrorism incidents</t>
  </si>
  <si>
    <t>Ongoing severe weather events</t>
  </si>
  <si>
    <t>Nigeria</t>
  </si>
  <si>
    <t>Sub-Saharan Africa</t>
  </si>
  <si>
    <t>Boko Haram NE Nigeria; military offensive</t>
  </si>
  <si>
    <t>UCDP BRD</t>
  </si>
  <si>
    <t>State repression; #EndSARS 2020 peak</t>
  </si>
  <si>
    <t>Farmer-herder clashes; ethnic violence Middle Belt</t>
  </si>
  <si>
    <t>Boko Haram/ISWAP IED; suicide bombings</t>
  </si>
  <si>
    <t>3M+ IDPs NE Nigeria (UNHCR)</t>
  </si>
  <si>
    <t>OCHA</t>
  </si>
  <si>
    <t>Annual flooding; Benue River floods</t>
  </si>
  <si>
    <t>Boko Haram continued; Lake Chad basin</t>
  </si>
  <si>
    <t>Boko Haram/ISWAP split; NE Nigeria</t>
  </si>
  <si>
    <t>ISWAP rise; Boko Haram rural attacks</t>
  </si>
  <si>
    <t>ISWAP offensive; military losses; NE crisis</t>
  </si>
  <si>
    <t>ISWAP peak attacks; COVID restrictions compound</t>
  </si>
  <si>
    <t>#EndSARS protests; Lekki Toll Gate shooting</t>
  </si>
  <si>
    <t>ISWAP/Boko Haram; bandits NW Nigeria</t>
  </si>
  <si>
    <t>NW banditry surge; NE ISWAP ongoing</t>
  </si>
  <si>
    <t>Continued NW/NE armed conflict</t>
  </si>
  <si>
    <t>NE/NW conflict; humanitarian crisis</t>
  </si>
  <si>
    <t>Ongoing NE/NW conflict</t>
  </si>
  <si>
    <t>Rwanda</t>
  </si>
  <si>
    <t>Low-level insurgency; DRC border tension</t>
  </si>
  <si>
    <t>RPF political control; opposition suppression</t>
  </si>
  <si>
    <t>CFR</t>
  </si>
  <si>
    <t>Low-level commu-l incidents</t>
  </si>
  <si>
    <t>Minimal terrorism incidents</t>
  </si>
  <si>
    <t>DRC refugee influx; historical IDP residual</t>
  </si>
  <si>
    <t>Landslides; flooding; seaso-l disasters</t>
  </si>
  <si>
    <t>M23 support allegations; DRC-Rwanda tension</t>
  </si>
  <si>
    <t>Continued DRC border; RDF operations in DRC</t>
  </si>
  <si>
    <t>RDF in eastern DRC; Goma offensive support</t>
  </si>
  <si>
    <t>Ongoing DRC involvement</t>
  </si>
  <si>
    <t>South Africa</t>
  </si>
  <si>
    <t>No active armed conflict</t>
  </si>
  <si>
    <t>Service delivery protests; state response</t>
  </si>
  <si>
    <t>High homicide rate; gang violence; GBV</t>
  </si>
  <si>
    <t>Isolated extremist incidents</t>
  </si>
  <si>
    <t>Xenophobic displacement; refugee flows</t>
  </si>
  <si>
    <t>Floods; drought; KZN floods 2022 peak</t>
  </si>
  <si>
    <t>July 2021 unrest; Zuma arrest riots; looting</t>
  </si>
  <si>
    <t>KwaZulu--tal floods; deadliest in decades</t>
  </si>
  <si>
    <t>Iran</t>
  </si>
  <si>
    <t>Middle East &amp; North Africa</t>
  </si>
  <si>
    <t>Kurdish insurgency; border skirmishes; proxy ops</t>
  </si>
  <si>
    <t>Post-nuclear deal; political prisoners</t>
  </si>
  <si>
    <t>Ethnic/sectarian incidents; Baloch Sistan</t>
  </si>
  <si>
    <t>IRGC targets; MEK; Baloch attacks</t>
  </si>
  <si>
    <t>Afghan refugee hosting; inter-l minimal</t>
  </si>
  <si>
    <t>Earthquakes; floods; drought</t>
  </si>
  <si>
    <t>Election restrictions; activist arrests</t>
  </si>
  <si>
    <t>Dec 2017 protests; crackdown</t>
  </si>
  <si>
    <t>Economic protest crackdowns; Ahvaz protests</t>
  </si>
  <si>
    <t>Nov 2019 fuel protests; ~1,500 killed (Amnesty)</t>
  </si>
  <si>
    <t>Amnesty Inter-tio-l</t>
  </si>
  <si>
    <t>COVID; Soleimani protests; election boycott</t>
  </si>
  <si>
    <t>Khuzestan water protests</t>
  </si>
  <si>
    <t>Mahsa Amini/Woman Life Freedom uprising</t>
  </si>
  <si>
    <t>Continued Women Life Freedom crackdown</t>
  </si>
  <si>
    <t>Post-Amini repression; executions surge</t>
  </si>
  <si>
    <t>Ongoing dissent suppression</t>
  </si>
  <si>
    <t>Brazil</t>
  </si>
  <si>
    <t>Latin America &amp; Caribbean</t>
  </si>
  <si>
    <t>Protest policing incidents; 2013-style unrest recurrence</t>
  </si>
  <si>
    <t>CFR GCT 2025</t>
  </si>
  <si>
    <t>Communal Violence</t>
  </si>
  <si>
    <t>Gang and favela-related urban violence; organized crime homicides</t>
  </si>
  <si>
    <t>No significant domestic terrorism incidents</t>
  </si>
  <si>
    <t>Venezuelan migrant/refugee inflow via Roraima border</t>
  </si>
  <si>
    <t>UNHCR 2024</t>
  </si>
  <si>
    <t>OCHA 2024</t>
  </si>
  <si>
    <t>Seasonal flooding and landslides; Rio de Janeiro state</t>
  </si>
  <si>
    <t>OWID 2024</t>
  </si>
  <si>
    <t>WHO GHE 2024</t>
  </si>
  <si>
    <t>Petropolis landslides (Feb 2022), 233+ deaths</t>
  </si>
  <si>
    <t>Congo</t>
  </si>
  <si>
    <t>Eastern DRC militia conflict; ADF, CODECO, Mai-Mai groups</t>
  </si>
  <si>
    <t>UCDP BRD v24</t>
  </si>
  <si>
    <t>Electoral unrest; opposition crackdowns (2018, 2023 elections)</t>
  </si>
  <si>
    <t>Ituri ethnic violence (Hema-Lendu); inter-communal clashes</t>
  </si>
  <si>
    <t>ADF (ISIS-CAP) attacks in North Kivu/Ituri</t>
  </si>
  <si>
    <t>6M+ internally displaced; eastern Congo humanitarian crisis</t>
  </si>
  <si>
    <t>Seasonal flooding; Congo River basin</t>
  </si>
  <si>
    <t>Nyiragongo volcanic eruption (May 2021)</t>
  </si>
  <si>
    <t>M23 resurgence; eastern DRC clashes intensify</t>
  </si>
  <si>
    <t>M23 offensive; Goma captured (Jan 2025)</t>
  </si>
  <si>
    <t>Ghana</t>
  </si>
  <si>
    <t>Isolated election-period protest incidents</t>
  </si>
  <si>
    <t>Localized land/chieftaincy disputes</t>
  </si>
  <si>
    <t>No domestic terrorism incidents recorded</t>
  </si>
  <si>
    <t>Bawku-linked internal displacement; regional refugee hosting</t>
  </si>
  <si>
    <t>Seasonal flooding; northern Ghana</t>
  </si>
  <si>
    <t>Bawku chieftaincy conflict escalation</t>
  </si>
  <si>
    <t>Akosombo Dam spillage floods (Oct 2023)</t>
  </si>
  <si>
    <t>Indonesia</t>
  </si>
  <si>
    <t>Southeast Asia</t>
  </si>
  <si>
    <t>Papua conflict; OPM/TPNPB clashes with security forces</t>
  </si>
  <si>
    <t>Papua unrest crackdowns; press freedom restrictions</t>
  </si>
  <si>
    <t>Localized religious/ethnic clashes</t>
  </si>
  <si>
    <t>Jolo/Sulu-linked and JAD-affiliated small-scale attacks</t>
  </si>
  <si>
    <t>Papua conflict and natural-disaster-linked internal displacement</t>
  </si>
  <si>
    <t>Recurring seismic activity, flooding, volcanic hazards</t>
  </si>
  <si>
    <t>Surabaya church bombings (May 2018), 13 civilians killed</t>
  </si>
  <si>
    <t>Palu earthquake and tsunami (Sept 2018)</t>
  </si>
  <si>
    <t>Mount Semeru eruption and Cianjur-region flooding</t>
  </si>
  <si>
    <t>Cianjur earthquake (Nov 2022)</t>
  </si>
  <si>
    <t>Kenya</t>
  </si>
  <si>
    <t>No active internal armed conflict</t>
  </si>
  <si>
    <t>Isolated protest-policing incidents</t>
  </si>
  <si>
    <t>Cattle-rustling and land-based ethnic clashes; Rift Valley/North Eastern</t>
  </si>
  <si>
    <t>Garissa University College attack (April 2015), 148 killed</t>
  </si>
  <si>
    <t>Dadaab/Kakuma refugee camp hosting; Somali and South Sudanese refugees</t>
  </si>
  <si>
    <t>Seasonal flooding; localized landslides</t>
  </si>
  <si>
    <t>Al-Shabaab cross-border attacks; Lamu/Garissa/Mandera counties</t>
  </si>
  <si>
    <t>Post-election violence and security-force crackdowns (2017 annulled election)</t>
  </si>
  <si>
    <t>DusitD2 hotel complex attack, Nairobi (Jan 2019)</t>
  </si>
  <si>
    <t>Multi-season drought; Horn of Africa crisis</t>
  </si>
  <si>
    <t>2022 general election period unrest</t>
  </si>
  <si>
    <t>Gen Z-led anti-finance-bill protests; Nairobi crackdown (June-July 2024)</t>
  </si>
  <si>
    <t>El Nino-driven floods (April-May 2024); Mai Mahiu dam collapse</t>
  </si>
  <si>
    <t>Mexico</t>
  </si>
  <si>
    <t>No classified armed conflict (organized-crime violence coded separately)</t>
  </si>
  <si>
    <t>Journalist and activist killings; impunity concerns</t>
  </si>
  <si>
    <t>Cartel and organized-crime violence; territorial disputes</t>
  </si>
  <si>
    <t>No incidents meeting terrorism classification threshold</t>
  </si>
  <si>
    <t>Cartel-violence-driven internal displacement; migrant transit corridor</t>
  </si>
  <si>
    <t>Seasonal hurricanes and flooding; Pacific/Gulf coasts</t>
  </si>
  <si>
    <t>Puebla/Morelos earthquake (Sept 19, 2017), M7.1</t>
  </si>
  <si>
    <t>Hurricane Otis, Acapulco (Oct 2023), rapid intensification</t>
  </si>
  <si>
    <t>Sri Lanka</t>
  </si>
  <si>
    <t>South Asia</t>
  </si>
  <si>
    <t>Civil war concluded 2009; no active armed conflict</t>
  </si>
  <si>
    <t>Sporadic inter-communal tension, largely contained</t>
  </si>
  <si>
    <t>No terrorism incidents recorded</t>
  </si>
  <si>
    <t>Residual Northern Province IDPs from civil war; gradual resettlement</t>
  </si>
  <si>
    <t>Monsoon flooding and landslides</t>
  </si>
  <si>
    <t>2017 Sri Lanka floods and landslides (May 2017)</t>
  </si>
  <si>
    <t>Kandy anti-Muslim riots (March 2018)</t>
  </si>
  <si>
    <t>Easter Sunday bombings (April 21, 2019), coordinated church/hotel attacks</t>
  </si>
  <si>
    <t>Aragalaya protests; economic-crisis-driven unrest, state of emergency</t>
  </si>
  <si>
    <t>Thailand</t>
  </si>
  <si>
    <t>Deep South insurgency; Pattani/Yala/Narathiwat low-intensity conflict</t>
  </si>
  <si>
    <t>Isolated protest-policing incidents; political tension</t>
  </si>
  <si>
    <t>Localized ethnic-minority and land-dispute incidents</t>
  </si>
  <si>
    <t>Deep South bombings and IED attacks (BRN-linked)</t>
  </si>
  <si>
    <t>Myanmar border refugee camps; Deep South internal displacement</t>
  </si>
  <si>
    <t>Annual monsoon flooding; central/northeastern provinces</t>
  </si>
  <si>
    <t>2020-2021 pro-democracy protests; lese-majeste prosecutions</t>
  </si>
  <si>
    <t>Tunisia</t>
  </si>
  <si>
    <t>Chaambi Mountains counter-insurgency operations</t>
  </si>
  <si>
    <t>Isolated protest-related incidents</t>
  </si>
  <si>
    <t>Sporadic localized clashes; largely contained</t>
  </si>
  <si>
    <t>Bardo Museum attack (March, 22 killed) and Sousse beach attack (June, 38 killed)</t>
  </si>
  <si>
    <t>Libyan refugee/migrant hosting near western border</t>
  </si>
  <si>
    <t>Seasonal flash flooding; Nabeul/Cap Bon region</t>
  </si>
  <si>
    <t>Ben Guerdane attack (March 2016)</t>
  </si>
  <si>
    <t>Residual counter-terrorism operations; isolated incidents</t>
  </si>
  <si>
    <t>Kais Saied power consolidation (July 2021); opposition arrests, judiciary purge</t>
  </si>
  <si>
    <t>Continued political crackdowns; detained opposition figures</t>
  </si>
  <si>
    <t>FORMULAS</t>
  </si>
  <si>
    <t>YLD = Incidents_I x Disability_Weight_DW x Duration_Ls</t>
  </si>
  <si>
    <t>YLL = Deaths_S x 73.8  (WHO world average life expectancy)</t>
  </si>
  <si>
    <t>TBU = Sum(YLL) + Sum(YLD) + Sum(Severity x Exposure%/100)  per Country-Year [on Summary tab]</t>
  </si>
  <si>
    <t>B_ct = (TBU / Population) x 100,000  [per capita burden rate]</t>
  </si>
  <si>
    <t>GTBI = 100 x (1 - e^(-B_ct / K))  [K = 100, cell B5 above]</t>
  </si>
  <si>
    <t>severity scale</t>
  </si>
  <si>
    <t>Substance Use Disorder = 0.329, HIV/AIDS = 0.330, TB active = 0.333</t>
  </si>
  <si>
    <t>Infectious Disease (COVID/acute) = 0.133, Cholera = 0.247, Malaria = 0.190</t>
  </si>
  <si>
    <t>NCD/Cardiovascular = 0.193, Conflict health collapse (composite) = 0.200</t>
  </si>
  <si>
    <t>DATA QUALITY NOTE</t>
  </si>
  <si>
    <t>Rows for United States, Nigeria, Rwanda, South Africa, and Iran are</t>
  </si>
  <si>
    <t>reproduced verbatim from the verified original workbook (source-cited per row).</t>
  </si>
  <si>
    <t>Rows for Brazil, Congo, Ghana, Indonesia, Kenya, Mexico, Sri Lanka, Thailand, and</t>
  </si>
  <si>
    <t>Tunisia are illustrative estimates constructed for this exercise, anchored to named,</t>
  </si>
  <si>
    <t>real, verifiable events (e.g., Garissa 2015, Easter Sunday bombings 2019, Goma</t>
  </si>
  <si>
    <t>offensive 2022-2025) but not independently verified against primary datasets</t>
  </si>
  <si>
    <t>(ACLED, UCDP, GBD) row-by-row. Treat as directional/representative, not audited data.</t>
  </si>
  <si>
    <t>Event Type</t>
  </si>
  <si>
    <t>Severity Weight 1 to 10</t>
  </si>
  <si>
    <t>Interpretation</t>
  </si>
  <si>
    <t>Direct Victim</t>
  </si>
  <si>
    <t>Extreme: mass atrocity victim; genocide witness; sustained siege conditions; targeted political killing.</t>
  </si>
  <si>
    <t>Bereavement</t>
  </si>
  <si>
    <t>Very high: direct victim in lethal conflict/terrorism; systematic detention with abuse; mass displacement.</t>
  </si>
  <si>
    <t>Detention</t>
  </si>
  <si>
    <t>Witness</t>
  </si>
  <si>
    <t>High: severe direct victimization or witnessing of lethal events; bereavement in armed conflict.</t>
  </si>
  <si>
    <t>Displaced</t>
  </si>
  <si>
    <t>Responder Exposure</t>
  </si>
  <si>
    <t>Moderate-high: direct exposure in non-mass events; political repression with force; responder in conflict.</t>
  </si>
  <si>
    <t>Moderate: moderate direct or repeated exposure; displacement without acute violence.</t>
  </si>
  <si>
    <t>Low-moderate: repeated indirect exposure; economic/bureaucratic repression; non-violent detention.</t>
  </si>
  <si>
    <t>Low: low-intensity indirect trauma; minor witnessing; infrequent displacement.</t>
  </si>
  <si>
    <t>SCALE LEGEND</t>
  </si>
  <si>
    <t>9–10 = Extreme/Maximum</t>
  </si>
  <si>
    <t>7–8 = High/Very High</t>
  </si>
  <si>
    <t>5–6 = Moderate/Moderate-High</t>
  </si>
  <si>
    <t>1–4 = Low/Minimal</t>
  </si>
  <si>
    <t>Incidents(I)</t>
  </si>
  <si>
    <t>Key Events</t>
  </si>
  <si>
    <t>Missing Flag</t>
  </si>
  <si>
    <t>Substance Use Disorder</t>
  </si>
  <si>
    <t>Opioid crisis: 52,404 drug overdose deaths; fentanyl emergence accelerating mortality</t>
  </si>
  <si>
    <t>CDC WONDER Mortality Database (2015)</t>
  </si>
  <si>
    <t>Opioid deaths surpass 63,000; fentanyl-involved deaths double from prior year</t>
  </si>
  <si>
    <t>CDC WONDER Mortality Database (2016)</t>
  </si>
  <si>
    <t>70,237 overdose deaths; declared national public health emergency (Oct 2017)</t>
  </si>
  <si>
    <t>CDC WONDER Mortality Database (2017)</t>
  </si>
  <si>
    <t>HHS</t>
  </si>
  <si>
    <t>Slight decline to 67,367 deaths; synthetic opioids 69% of all overdose deaths</t>
  </si>
  <si>
    <t>CDC WONDER Mortality Database (2018)</t>
  </si>
  <si>
    <t>Record pre-COVID high; 70,630 deaths; methamphetamine co-use rising</t>
  </si>
  <si>
    <t>CDC WONDER Mortality Database (2019)</t>
  </si>
  <si>
    <t>Infectious Disease</t>
  </si>
  <si>
    <t>First pandemic year; 385,343 COVID deaths; lockdowns; healthcare system strain</t>
  </si>
  <si>
    <t>CDC COVID Data Tracker (2020)</t>
  </si>
  <si>
    <t>Delta wave; 461,823 deaths; vaccine rollout; breakthrough infections</t>
  </si>
  <si>
    <t>CDC COVID Data Tracker (2021)</t>
  </si>
  <si>
    <t>Infectious Disease / Substance Use</t>
  </si>
  <si>
    <t>Omicron wave; COVID deaths declining; drug overdose deaths reach record 109,680</t>
  </si>
  <si>
    <t>CDC COVID Data Tracker; CDC WONDER (2022)</t>
  </si>
  <si>
    <t>Record 112,000 estimated overdose deaths; xylazine adulterant emergence</t>
  </si>
  <si>
    <t>CDC WONDER Provisional Mortality (2023)</t>
  </si>
  <si>
    <t>NIH NIDA</t>
  </si>
  <si>
    <t>First decline in overdose deaths since 2018; ~101,000 estimated deaths</t>
  </si>
  <si>
    <t>CDC WONDER Provisional Mortality (2024)</t>
  </si>
  <si>
    <t>Largest measles outbreak since 2000; Texas/New Mexico cluster; vaccine refusal driving spread</t>
  </si>
  <si>
    <t>CDC Morbidity and Mortality Weekly Report (2025)</t>
  </si>
  <si>
    <t>WHO IHR</t>
  </si>
  <si>
    <t xml:space="preserve">     </t>
  </si>
  <si>
    <t>Lassa fever endemic in south; cholera outbreaks in displacement-affected NE Nigeria</t>
  </si>
  <si>
    <t>WHO AFRO Disease Outbreak News (2015)</t>
  </si>
  <si>
    <t>Nigeria NCDC</t>
  </si>
  <si>
    <t>Lassa fever spike; cerebrospinal meningitis C outbreak NW Nigeria</t>
  </si>
  <si>
    <t>WHO AFRO (2016)</t>
  </si>
  <si>
    <t>Largest meningitis C outbreak in Nigeria history; 18,000+ cases; 1,166 deaths</t>
  </si>
  <si>
    <t>WHO AFRO (2017); Nigeria NCDC</t>
  </si>
  <si>
    <t>Lassa fever; first confirmed large-scale monkeypox outbreak since 1978</t>
  </si>
  <si>
    <t>WHO AFRO (2018); Nigeria NCDC</t>
  </si>
  <si>
    <t>4,731 Lassa cases; cholera continues in conflict-displaced NE Nigeria</t>
  </si>
  <si>
    <t>WHO AFRO (2019); Nigeria NCDC</t>
  </si>
  <si>
    <t>COVID-19 first wave; concurrent Lassa fever emergency; healthcare capacity overwhelmed</t>
  </si>
  <si>
    <t>WHO AFRO (2020); Nigeria NCDC</t>
  </si>
  <si>
    <t>Delta wave hits Nigeria; Lassa fever concurrent; vaccine access limited</t>
  </si>
  <si>
    <t>Nigeria NCDC (2021)</t>
  </si>
  <si>
    <t>Worst cholera outbreak in years; 95,480 cases; 3,617 deaths; 32 states affected</t>
  </si>
  <si>
    <t>Nigeria NCDC (2022); WHO AFRO</t>
  </si>
  <si>
    <t>Cholera continued; diphtheria outbreak with 16,000+ cases declared emergency</t>
  </si>
  <si>
    <t>Nigeria NCDC (2023); WHO AFRO</t>
  </si>
  <si>
    <t>Mpox cases rising in context of clade Ib spread; cholera ongoing</t>
  </si>
  <si>
    <t>WHO AFRO (2024); Nigeria NCDC</t>
  </si>
  <si>
    <t>Endemic Lassa fever; cholera in displacement-affected northern states</t>
  </si>
  <si>
    <t>WHO AFRO (2025); Nigeria NCDC</t>
  </si>
  <si>
    <t>Malaria remains leading cause of morbidity; WHO-tracked elimination progress</t>
  </si>
  <si>
    <t>WHO GHE 2024; Rwanda Ministry of Health</t>
  </si>
  <si>
    <t>Malaria morbidity; Rwanda national malaria control program data</t>
  </si>
  <si>
    <t>Rift Valley Fever outbreak in eastern Rwanda; malaria ongoing</t>
  </si>
  <si>
    <t>WHO AFRO (2017)</t>
  </si>
  <si>
    <t>Rwanda MoH</t>
  </si>
  <si>
    <t>Continued malaria burden; declining trend from control measures</t>
  </si>
  <si>
    <t>Three confirmed Ebola cases imported from DRC; rapid containment; no sustained transmission</t>
  </si>
  <si>
    <t>WHO AFRO (2019)</t>
  </si>
  <si>
    <t>COVID-19; strict early lockdown; relatively low mortality</t>
  </si>
  <si>
    <t>Rwanda MoH (2020); WHO AFRO</t>
  </si>
  <si>
    <t>Delta wave; third wave August 2021; vaccine rollout underway</t>
  </si>
  <si>
    <t>Rwanda MoH (2021)</t>
  </si>
  <si>
    <t>Rwanda first confirmed Marburg outbreak; 12 cases, 9 deaths; rapid WHO response</t>
  </si>
  <si>
    <t>WHO AFRO (2022)</t>
  </si>
  <si>
    <t>Malaria cases increasing after COVID-era disruption of vector control</t>
  </si>
  <si>
    <t>WHO GHE 2024; Rwanda MoH</t>
  </si>
  <si>
    <t>Second Marburg outbreak Sept 2024; 66 cases, 15 deaths; concurrent malaria burden</t>
  </si>
  <si>
    <t>WHO AFRO (2024)</t>
  </si>
  <si>
    <t>Ongoing malaria; mpox monitoring in DRC border regions</t>
  </si>
  <si>
    <t>WHO AFRO (2025)</t>
  </si>
  <si>
    <t>Chronic/Infectious Disease</t>
  </si>
  <si>
    <t>7.1M people living with HIV; TB incidence 834/100,000 — highest in world; co-epidemic burden</t>
  </si>
  <si>
    <t>UNAIDS (2015); WHO TB Report (2015)</t>
  </si>
  <si>
    <t>HIV prevalence 18.9%; TB remains leading cause of death</t>
  </si>
  <si>
    <t>UNAIDS (2016); WHO TB Report (2016)</t>
  </si>
  <si>
    <t>Antiretroviral scale-up; TB/HIV co-infection 59% of TB cases</t>
  </si>
  <si>
    <t>UNAIDS (2017); WHO TB Report (2017)</t>
  </si>
  <si>
    <t>7.5M PLHIV; TB incidence declining slowly; drug-resistant TB rising</t>
  </si>
  <si>
    <t>UNAIDS (2018); WHO TB Report (2018)</t>
  </si>
  <si>
    <t>7.7M PLHIV; TB incidence 615/100,000; MDR-TB significant burden</t>
  </si>
  <si>
    <t>UNAIDS (2019); WHO TB Report (2019)</t>
  </si>
  <si>
    <t>First COVID wave; co-epidemic triple burden; lockdowns disrupted HIV/TB treatment</t>
  </si>
  <si>
    <t>South Africa NICD (2020); WHO GHE</t>
  </si>
  <si>
    <t>UNAIDS</t>
  </si>
  <si>
    <t>Beta variant first detected SA; severe Delta wave; 89,920 COVID deaths</t>
  </si>
  <si>
    <t>South Africa NICD (2021)</t>
  </si>
  <si>
    <t>Omicron first detected SA; cumulative COVID deaths exceed 101,000; ongoing HIV-TB</t>
  </si>
  <si>
    <t>South Africa NICD (2022); UNAIDS</t>
  </si>
  <si>
    <t>7.8M PLHIV; TB elimination progress stalled; GBV-HIV intersection severe</t>
  </si>
  <si>
    <t>UNAIDS (2023); WHO TB Report (2023)</t>
  </si>
  <si>
    <t>Ongoing HIV-TB; mpox cases; NCD burden rising</t>
  </si>
  <si>
    <t>UNAIDS (2024); WHO AFRO (2024)</t>
  </si>
  <si>
    <t>Continued HIV-TB co-epidemic; PEPFAR funding uncertainty impacting ART programs</t>
  </si>
  <si>
    <t>UNAIDS (2025); WHO TB Report</t>
  </si>
  <si>
    <t>Non-Communicable Disease</t>
  </si>
  <si>
    <t>Road traffic deaths 16,000+; cardiovascular disease leading NCD burden</t>
  </si>
  <si>
    <t>WHO GHE 2024; Iran Ministry of Health</t>
  </si>
  <si>
    <t>Tehran air pollution crisis; cardiovascular and respiratory mortality</t>
  </si>
  <si>
    <t>Ongoing NCD and road traffic burden</t>
  </si>
  <si>
    <t>Cardiovascular disease primary mortality driver</t>
  </si>
  <si>
    <t>Ongoing NCD burden; sanctions impact healthcare supply chain</t>
  </si>
  <si>
    <t>WHO GHE 2024; Lancet</t>
  </si>
  <si>
    <t>One of worst early COVID outbreaks; 55,095 official deaths (likely undercount); sanctions hampered response</t>
  </si>
  <si>
    <t>WHO GHE 2024; Iran MoH</t>
  </si>
  <si>
    <t>Lancet COVID commission</t>
  </si>
  <si>
    <t>Delta wave devastating; 127,000 cumulative deaths; oxygen shortages</t>
  </si>
  <si>
    <t>Omicron wave; sanctions continue to affect medicine supply; NCD burden ongoing</t>
  </si>
  <si>
    <t>Post-protest mental health crisis; NCD burden; sanctions-driven healthcare gaps</t>
  </si>
  <si>
    <t>GBD 2019; WHO GHE 2024</t>
  </si>
  <si>
    <t>Lancet</t>
  </si>
  <si>
    <t>Ongoing NCD burden; mental health impact from civil unrest</t>
  </si>
  <si>
    <t>Cardiovascular and mental health burden; medication shortages from sanctions</t>
  </si>
  <si>
    <t>Zika virus epidemic; microcephaly cases surge</t>
  </si>
  <si>
    <t>PAHO/WHO</t>
  </si>
  <si>
    <t>Zika continues; Rio Olympics public health response</t>
  </si>
  <si>
    <t>NCD/Cardiovascular</t>
  </si>
  <si>
    <t>Cardiovascular disease leading cause of death</t>
  </si>
  <si>
    <t>Brazil Ministry of Health</t>
  </si>
  <si>
    <t>Dengue outbreak; yellow fever resurgence</t>
  </si>
  <si>
    <t>Continued NCD burden; obesity-linked disease rise</t>
  </si>
  <si>
    <t>COVID-19 first wave; healthcare system strain</t>
  </si>
  <si>
    <t>Brazil Ministry of Health COVID Panel</t>
  </si>
  <si>
    <t>Gamma variant wave; Manaus oxygen crisis</t>
  </si>
  <si>
    <t>Omicron wave; vaccination campaign matures</t>
  </si>
  <si>
    <t>Record dengue outbreak; Aedes aegypti expansion</t>
  </si>
  <si>
    <t>Worst dengue epidemic on record; national emergency declared</t>
  </si>
  <si>
    <t>NCD burden remains leading cause of mortality</t>
  </si>
  <si>
    <t>Malaria</t>
  </si>
  <si>
    <t>Malaria endemic; leading cause of under-5 mortality</t>
  </si>
  <si>
    <t>WHO Malaria Report</t>
  </si>
  <si>
    <t>Conflict health collapse</t>
  </si>
  <si>
    <t>Health system collapse amid Kasai conflict</t>
  </si>
  <si>
    <t>OCHA DRC</t>
  </si>
  <si>
    <t>Cholera</t>
  </si>
  <si>
    <t>Major cholera epidemic; 24 of 26 provinces affected</t>
  </si>
  <si>
    <t>WHO GHE</t>
  </si>
  <si>
    <t>North Kivu Ebola epidemic begins (2nd largest in history)</t>
  </si>
  <si>
    <t>WHO Ebola Situation Reports</t>
  </si>
  <si>
    <t>Ebola epidemic continues; also worst measles outbreak globally (310,000+ cases)</t>
  </si>
  <si>
    <t>Measles epidemic peak; COVID-19 onset compounds crisis</t>
  </si>
  <si>
    <t>Malaria remains leading cause of death; conflict disrupts care access</t>
  </si>
  <si>
    <t>Recurrent cholera outbreaks in conflict-affected eastern provinces</t>
  </si>
  <si>
    <t>M23 conflict displaces health system; Goma-area facility closures</t>
  </si>
  <si>
    <t>Mpox (clade I) outbreak declared PHEIC; conflict compounds response</t>
  </si>
  <si>
    <t>Goma humanitarian crisis following M23 capture (Jan 2025)</t>
  </si>
  <si>
    <t>Malaria remains leading cause of outpatient visits</t>
  </si>
  <si>
    <t>2014-2016 cholera outbreak tail; Accra epicenter</t>
  </si>
  <si>
    <t>Continued malaria burden; bed-net distribution campaigns</t>
  </si>
  <si>
    <t>Rising NCD burden amid urbanization</t>
  </si>
  <si>
    <t>Ghana Health Service</t>
  </si>
  <si>
    <t>Malaria incidence declining but still leading cause of morbidity</t>
  </si>
  <si>
    <t>COVID-19 first wave; comparatively low mortality</t>
  </si>
  <si>
    <t>Ghana Health Service COVID Dashboard</t>
  </si>
  <si>
    <t>Delta wave; vaccine rollout begins (COVAX)</t>
  </si>
  <si>
    <t>Malaria resurgence post-pandemic disruption to services</t>
  </si>
  <si>
    <t>Localized cholera cases linked to Akosombo dam floods</t>
  </si>
  <si>
    <t>Continued malaria burden despite vaccine rollout (RTS,S)</t>
  </si>
  <si>
    <t>NCD share of mortality burden continues rising</t>
  </si>
  <si>
    <t>Dengue fever surge; TB burden among world highest</t>
  </si>
  <si>
    <t>Major dengue outbreak year</t>
  </si>
  <si>
    <t>Indonesia Ministry of Health</t>
  </si>
  <si>
    <t>TB active</t>
  </si>
  <si>
    <t>TB burden among top-3 globally; case-finding gaps</t>
  </si>
  <si>
    <t>WHO Global TB Report</t>
  </si>
  <si>
    <t>Diphtheria outbreak amid vaccine hesitancy</t>
  </si>
  <si>
    <t>Continued high TB incidence; drug-resistant TB concerns</t>
  </si>
  <si>
    <t>COVID-19 first wave; testing capacity constraints</t>
  </si>
  <si>
    <t>Indonesia COVID-19 Task Force</t>
  </si>
  <si>
    <t>Delta variant wave; oxygen shortage crisis (July 2021)</t>
  </si>
  <si>
    <t>World's 2nd-highest TB burden; post-pandemic case backlog</t>
  </si>
  <si>
    <t>Dengue resurgence following El Nino conditions</t>
  </si>
  <si>
    <t>Continued TB elimination program gaps</t>
  </si>
  <si>
    <t>HIV/AIDS</t>
  </si>
  <si>
    <t>HIV prevalence ~5.9%; ART scale-up continues</t>
  </si>
  <si>
    <t>UNAIDS Kenya</t>
  </si>
  <si>
    <t>Recurrent cholera outbreaks; Nairobi and border counties</t>
  </si>
  <si>
    <t>Continued HIV burden; PEPFAR-supported ART programs</t>
  </si>
  <si>
    <t>Localized cholera outbreak; Garissa and Nairobi counties</t>
  </si>
  <si>
    <t>HIV incidence declining; PrEP rollout expands</t>
  </si>
  <si>
    <t>COVID-19 first wave; drought-linked malnutrition compounds</t>
  </si>
  <si>
    <t>Kenya MOH COVID Dashboard</t>
  </si>
  <si>
    <t>Delta wave; vaccine access constraints</t>
  </si>
  <si>
    <t>Historic 5-season drought; Horn of Africa food crisis</t>
  </si>
  <si>
    <t>OCHA Kenya</t>
  </si>
  <si>
    <t>Cholera outbreak linked to flooding and IDP camps</t>
  </si>
  <si>
    <t>El Nino floods; Mai Mahiu dam collapse; displacement-linked health impacts</t>
  </si>
  <si>
    <t>HIV program funding disruptions amid aid cuts</t>
  </si>
  <si>
    <t>Diabetes and cardiovascular disease leading causes of death</t>
  </si>
  <si>
    <t>Mexico Secretaria de Salud</t>
  </si>
  <si>
    <t>Zika virus transmission; travel advisories issued</t>
  </si>
  <si>
    <t>Diabetes prevalence among highest in OECD</t>
  </si>
  <si>
    <t>Dengue outbreak; southern states most affected</t>
  </si>
  <si>
    <t>Continued high NCD mortality burden</t>
  </si>
  <si>
    <t>COVID-19 first wave; among highest per-capita death tolls globally</t>
  </si>
  <si>
    <t>Mexico Secretaria de Salud COVID Dashboard</t>
  </si>
  <si>
    <t>Delta wave; cumulative deaths surpass 300,000</t>
  </si>
  <si>
    <t>NCD burden resumes as leading mortality driver post-pandemic</t>
  </si>
  <si>
    <t>Dengue outbreak amid record heat; Southern Pacific states</t>
  </si>
  <si>
    <t>Diabetes and cardiovascular disease remain leading causes</t>
  </si>
  <si>
    <t>Dengue outbreak; monsoon-linked transmission</t>
  </si>
  <si>
    <t>Record dengue epidemic year</t>
  </si>
  <si>
    <t>Sri Lanka Ministry of Health</t>
  </si>
  <si>
    <t>NCDs account for ~75% of deaths</t>
  </si>
  <si>
    <t>Continued high dengue incidence</t>
  </si>
  <si>
    <t>Continued NCD mortality burden</t>
  </si>
  <si>
    <t>COVID-19 first wave; strict lockdown response</t>
  </si>
  <si>
    <t>Sri Lanka Epidemiology Unit</t>
  </si>
  <si>
    <t>Delta wave overwhelms health system</t>
  </si>
  <si>
    <t>Economic collapse; acute medicine and medical-supply shortages nationwide</t>
  </si>
  <si>
    <t>WHO Sri Lanka Health System Alert</t>
  </si>
  <si>
    <t>NCD care disrupted by continued economic recovery constraints</t>
  </si>
  <si>
    <t>Dengue resurgence; climate-linked vector expansion</t>
  </si>
  <si>
    <t>NCDs remain leading cause of mortality</t>
  </si>
  <si>
    <t>Dengue outbreak; tourism-region transmission</t>
  </si>
  <si>
    <t>TB burden among WHO high-burden countries</t>
  </si>
  <si>
    <t>Continued dengue transmission; vector control campaigns</t>
  </si>
  <si>
    <t>TB elimination program gaps in migrant populations</t>
  </si>
  <si>
    <t>Thailand Ministry of Public Health</t>
  </si>
  <si>
    <t>COVID-19 first wave; early containment success</t>
  </si>
  <si>
    <t>Thailand MOPH COVID Dashboard</t>
  </si>
  <si>
    <t>Delta wave; major outbreak after early containment</t>
  </si>
  <si>
    <t>Continued TB burden despite elimination targets</t>
  </si>
  <si>
    <t>Dengue resurgence following heavy monsoon season</t>
  </si>
  <si>
    <t>TB program recovery post-pandemic disruption</t>
  </si>
  <si>
    <t>NCDs account for majority of mortality burden</t>
  </si>
  <si>
    <t>Tunisia Ministry of Health</t>
  </si>
  <si>
    <t>Continued NCD burden; aging population</t>
  </si>
  <si>
    <t>Localized measles cases amid vaccination gaps</t>
  </si>
  <si>
    <t>Diabetes and cardiovascular disease leading causes</t>
  </si>
  <si>
    <t>Tunisia Ministry of Health COVID Dashboard</t>
  </si>
  <si>
    <t>Delta wave; among highest per-capita death tolls in region</t>
  </si>
  <si>
    <t>Continued NCD burden amid economic constraints on care access</t>
  </si>
  <si>
    <t>Source ID</t>
  </si>
  <si>
    <t>Full APA 7th Edition Citation</t>
  </si>
  <si>
    <t>Data Used For</t>
  </si>
  <si>
    <t>Notes</t>
  </si>
  <si>
    <t>Armed Conflict Location &amp; Event Data Project (ACLED). (2025). ACLED data export tool [Data set]. ACLED. https://acleddata.com</t>
  </si>
  <si>
    <t>Incidents_I; Deaths_S; Event_Type; Primary_Source</t>
  </si>
  <si>
    <t>Primary source for all conflict metrics. Filter by country, year, event_type. Sum fatalities for Deaths_S; count events for Incidents_I.</t>
  </si>
  <si>
    <t>Uppsala Conflict Data Program. (2024). UCDP battle-related deaths dataset v24.1 [Data set]. Uppsala University. https://ucdp.uu.se/downloads/</t>
  </si>
  <si>
    <t>Deaths_S (when ACLED incomplete)</t>
  </si>
  <si>
    <t>Use as Secondary_Source for battle deaths. Mark in Secondary_Source column.</t>
  </si>
  <si>
    <t>GBD 2019 Diseases and Injuries Collaborators. (2020). Global burden of 369 diseases and injuries in 204 countries and territories, 1990-2019. The Lancet, 396(10258), 1204-1222. https://doi.org/10.1016/S0140-6736(20)30925-9</t>
  </si>
  <si>
    <t>Disability_Weight_DW; Duration_Ls; YLD parameters</t>
  </si>
  <si>
    <t>DW pre-filled: PTSD/conflict=0.133, Displacement=0.128, Disaster=0.120, Substance Use=0.329, HIV/AIDS=0.330, TB=0.333. Ls pre-filled 4-8 years by event type.</t>
  </si>
  <si>
    <t>World Health Organization. (2024). Global health estimates 2024 [Data set]. WHO. https://www.who.int/data/global-health-estimates</t>
  </si>
  <si>
    <t>Mortality cross-check; disability burden; infectious disease and NCD figures</t>
  </si>
  <si>
    <t>Use to cross-validate YLL estimates and public health threat rows. WHO GHE covers through 2021, extended here with national ministry data for 2022-2025.</t>
  </si>
  <si>
    <t>United Nations High Commissioner for Refugees. (2024). UNHCR refugee population statistics database [Data set]. UNHCR. https://www.unhcr.org/refugee-statistics</t>
  </si>
  <si>
    <t>Exposure_Prevalence_% for Forced Displacement</t>
  </si>
  <si>
    <t>Convert absolute displacement figures to % of population for Exposure_Prevalence_% column.</t>
  </si>
  <si>
    <t>Roser, M., Nagdy, M., &amp; Ritchie, H. (2024). War and peace. Our World in Data. https://ourworldindata.org/war-and-peace</t>
  </si>
  <si>
    <t>Population; conflict death series cross-check; disaster mortality</t>
  </si>
  <si>
    <t>Population column drawn from UN World Population Prospects via OWID. Used as denominator for B_ct calculation.</t>
  </si>
  <si>
    <t>Institute for Economics and Peace. (2025). Global terrorism index 2025. IEP. https://www.economicsandpeace.org/research/gti/</t>
  </si>
  <si>
    <t>Terrorism incident counts; deaths</t>
  </si>
  <si>
    <t>Used for Terrorism event-type rows where ACLED terrorism classification is incomplete.</t>
  </si>
  <si>
    <t>PRIO 2024</t>
  </si>
  <si>
    <t>Peace Research Institute Oslo. (2024). PRIO conflict site dataset [Data set]. PRIO. https://www.prio.org/data/</t>
  </si>
  <si>
    <t>Conflict recurrence classification</t>
  </si>
  <si>
    <t>Informs temporal decay parameter and conflict onset vs. recurrence coding.</t>
  </si>
  <si>
    <t>Council on Foreign Relations. (2025). Global conflict tracker [Online database]. CFR. https://www.cfr.org/global-conflict-tracker</t>
  </si>
  <si>
    <t>Conflict status verification; Key_Event descriptions</t>
  </si>
  <si>
    <t>Cross-reference for active conflict classification. Not a primary numerical source.</t>
  </si>
  <si>
    <t>United Nations Office for the Coordination of Humanitarian Affairs. (2024). Humanitarian data exchange [Data set]. OCHA. https://data.humdata.org</t>
  </si>
  <si>
    <t>Displacement, casualty, and exposure estimates for acute humanitarian crises</t>
  </si>
  <si>
    <t>Used for DRC, Kenya, Sri Lanka, and other acute-crisis country-years.</t>
  </si>
  <si>
    <t>World Health Organization. (2024). Global tuberculosis report 2024. WHO. https://www.who.int/publications/i/item/9789240101531</t>
  </si>
  <si>
    <t>TB incidence and mortality (Public Health Threats tab)</t>
  </si>
  <si>
    <t>Used for Indonesia, Thailand TB-burden country-years.</t>
  </si>
  <si>
    <t>World Health Organization. (2024). World malaria report 2024. WHO. https://www.who.int/publications/i/item/9789240104440</t>
  </si>
  <si>
    <t>Malaria incidence and mortality (Public Health Threats tab)</t>
  </si>
  <si>
    <t>Used for Congo, Ghana, Kenya malaria-burden country-years.</t>
  </si>
  <si>
    <t>Joint United Nations Programme on HIV/AIDS. (2024). UNAIDS global AIDS update 2024. UNAIDS. https://www.unaids.org/en/resources/documents/2024/global-aids-update-2024</t>
  </si>
  <si>
    <t>HIV/AIDS prevalence and mortality (Public Health Threats tab)</t>
  </si>
  <si>
    <t>Used for Kenya HIV-burden country-years.</t>
  </si>
  <si>
    <t>Pan American Health Organization. (2024). PAHO/WHO health information platform [Data set]. PAHO. https://www.paho.org</t>
  </si>
  <si>
    <t>Dengue, Zika, and regional infectious-disease data for the Americas</t>
  </si>
  <si>
    <t>Used for Brazil and Mexico dengue/Zika country-years.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</si>
</sst>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name val="Arial"/>
      <charset val="1"/>
    </font>
    <font>
      <sz val="11"/>
      <name val="Arial"/>
      <charset val="1"/>
    </font>
    <font>
      <b/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0" fontId="3" fillId="0" borderId="0" xfId="0" applyFont="1"/>
    <xf numFmtId="0" fontId="2" fillId="0" borderId="0" xfId="0" applyFont="1"/>
    <xf numFmtId="10" fontId="1" fillId="0" borderId="0" xfId="1" applyNumberFormat="1"/>
    <xf numFmtId="10" fontId="4" fillId="0" borderId="0" xfId="1" applyNumberFormat="1" applyFont="1"/>
    <xf numFmtId="0" fontId="5" fillId="2" borderId="0" xfId="0" applyFont="1" applyFill="1"/>
    <xf numFmtId="2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5"/>
  <sheetViews>
    <sheetView tabSelected="1" topLeftCell="I1" zoomScaleNormal="100" workbookViewId="0">
      <pane ySplit="1" topLeftCell="A2" activePane="bottomLeft" state="frozen"/>
      <selection pane="bottomLeft" activeCell="R869" sqref="R869"/>
    </sheetView>
  </sheetViews>
  <sheetFormatPr defaultColWidth="8.6640625" defaultRowHeight="14.4" x14ac:dyDescent="0.3"/>
  <cols>
    <col min="1" max="5" width="16" customWidth="1"/>
    <col min="6" max="6" width="29.77734375" style="4" customWidth="1"/>
    <col min="7" max="16" width="16" customWidth="1"/>
    <col min="17" max="17" width="20.109375" customWidth="1"/>
    <col min="18" max="20" width="16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6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2" t="s">
        <v>21</v>
      </c>
      <c r="C2" s="2">
        <v>320878310</v>
      </c>
      <c r="D2" s="2">
        <v>2015</v>
      </c>
      <c r="E2" s="2" t="s">
        <v>22</v>
      </c>
      <c r="F2" s="4">
        <v>1.43244334589022E-2</v>
      </c>
      <c r="G2" s="2">
        <v>9</v>
      </c>
      <c r="H2" s="2">
        <f t="shared" ref="H2:H17" si="0">L2+O2+G2*F2</f>
        <v>2724303.4249199014</v>
      </c>
      <c r="I2" s="2">
        <v>45964</v>
      </c>
      <c r="J2" s="2">
        <v>0.13300000000000001</v>
      </c>
      <c r="K2" s="2">
        <v>8</v>
      </c>
      <c r="L2" s="2">
        <f t="shared" ref="L2:L17" si="1">I2*J2*K2</f>
        <v>48905.696000000004</v>
      </c>
      <c r="M2" s="2">
        <v>36252</v>
      </c>
      <c r="N2" s="2">
        <v>73.8</v>
      </c>
      <c r="O2" s="2">
        <f t="shared" ref="O2:O17" si="2">M2*N2</f>
        <v>2675397.6</v>
      </c>
      <c r="P2" s="2">
        <f t="shared" ref="P2:P17" si="3">H2/C2*100000</f>
        <v>849.0145142312366</v>
      </c>
      <c r="Q2" s="7">
        <f t="shared" ref="Q2:Q65" si="4">100*(1-EXP(-P2/100))</f>
        <v>99.979451656638958</v>
      </c>
      <c r="R2" s="2" t="s">
        <v>23</v>
      </c>
      <c r="S2" s="2" t="s">
        <v>24</v>
      </c>
      <c r="T2" s="2" t="s">
        <v>25</v>
      </c>
    </row>
    <row r="3" spans="1:20" x14ac:dyDescent="0.3">
      <c r="A3" s="2" t="s">
        <v>20</v>
      </c>
      <c r="B3" s="2" t="s">
        <v>21</v>
      </c>
      <c r="C3" s="2">
        <v>320878310</v>
      </c>
      <c r="D3" s="2">
        <v>2015</v>
      </c>
      <c r="E3" s="2" t="s">
        <v>26</v>
      </c>
      <c r="F3" s="4">
        <v>9.7233122425757E-5</v>
      </c>
      <c r="G3" s="2">
        <v>7</v>
      </c>
      <c r="H3" s="2">
        <f t="shared" si="0"/>
        <v>248.97668063185699</v>
      </c>
      <c r="I3" s="2">
        <v>312</v>
      </c>
      <c r="J3" s="2">
        <v>0.13300000000000001</v>
      </c>
      <c r="K3" s="2">
        <v>6</v>
      </c>
      <c r="L3" s="2">
        <f t="shared" si="1"/>
        <v>248.976</v>
      </c>
      <c r="M3" s="2">
        <v>0</v>
      </c>
      <c r="N3" s="2">
        <v>73.8</v>
      </c>
      <c r="O3" s="2">
        <f t="shared" si="2"/>
        <v>0</v>
      </c>
      <c r="P3" s="2">
        <f t="shared" si="3"/>
        <v>7.7592243811012651E-2</v>
      </c>
      <c r="Q3" s="7">
        <f t="shared" si="4"/>
        <v>7.7562148813814513E-2</v>
      </c>
      <c r="R3" s="2" t="s">
        <v>27</v>
      </c>
      <c r="S3" s="2" t="s">
        <v>28</v>
      </c>
      <c r="T3" s="2" t="s">
        <v>29</v>
      </c>
    </row>
    <row r="4" spans="1:20" x14ac:dyDescent="0.3">
      <c r="A4" s="2" t="s">
        <v>20</v>
      </c>
      <c r="B4" s="2" t="s">
        <v>21</v>
      </c>
      <c r="C4" s="2">
        <v>320878310</v>
      </c>
      <c r="D4" s="2">
        <v>2015</v>
      </c>
      <c r="E4" s="2" t="s">
        <v>30</v>
      </c>
      <c r="F4" s="4">
        <v>1.15931799815326E-4</v>
      </c>
      <c r="G4" s="2">
        <v>7</v>
      </c>
      <c r="H4" s="2">
        <f t="shared" si="0"/>
        <v>35351.856811522601</v>
      </c>
      <c r="I4" s="2">
        <v>372</v>
      </c>
      <c r="J4" s="2">
        <v>0.13300000000000001</v>
      </c>
      <c r="K4" s="2">
        <v>6</v>
      </c>
      <c r="L4" s="2">
        <f t="shared" si="1"/>
        <v>296.85599999999999</v>
      </c>
      <c r="M4" s="2">
        <v>475</v>
      </c>
      <c r="N4" s="2">
        <v>73.8</v>
      </c>
      <c r="O4" s="2">
        <f t="shared" si="2"/>
        <v>35055</v>
      </c>
      <c r="P4" s="2">
        <f t="shared" si="3"/>
        <v>11.017216094014769</v>
      </c>
      <c r="Q4" s="7">
        <f t="shared" si="4"/>
        <v>10.432007907519425</v>
      </c>
      <c r="R4" s="2" t="s">
        <v>31</v>
      </c>
      <c r="S4" s="2" t="s">
        <v>28</v>
      </c>
      <c r="T4" s="2" t="s">
        <v>32</v>
      </c>
    </row>
    <row r="5" spans="1:20" x14ac:dyDescent="0.3">
      <c r="A5" s="2" t="s">
        <v>20</v>
      </c>
      <c r="B5" s="2" t="s">
        <v>21</v>
      </c>
      <c r="C5" s="2">
        <v>320878310</v>
      </c>
      <c r="D5" s="2">
        <v>2015</v>
      </c>
      <c r="E5" s="2" t="s">
        <v>33</v>
      </c>
      <c r="F5" s="4">
        <v>2.0880189751685E-5</v>
      </c>
      <c r="G5" s="2">
        <v>8</v>
      </c>
      <c r="H5" s="2">
        <f t="shared" si="0"/>
        <v>1243.177167041518</v>
      </c>
      <c r="I5" s="2">
        <v>67</v>
      </c>
      <c r="J5" s="2">
        <v>0.13300000000000001</v>
      </c>
      <c r="K5" s="2">
        <v>7</v>
      </c>
      <c r="L5" s="2">
        <f t="shared" si="1"/>
        <v>62.37700000000001</v>
      </c>
      <c r="M5" s="2">
        <v>16</v>
      </c>
      <c r="N5" s="2">
        <v>73.8</v>
      </c>
      <c r="O5" s="2">
        <f t="shared" si="2"/>
        <v>1180.8</v>
      </c>
      <c r="P5" s="2">
        <f t="shared" si="3"/>
        <v>0.38742947974312064</v>
      </c>
      <c r="Q5" s="7">
        <f t="shared" si="4"/>
        <v>0.38667994002596906</v>
      </c>
      <c r="R5" s="2" t="s">
        <v>34</v>
      </c>
      <c r="S5" s="2" t="s">
        <v>35</v>
      </c>
      <c r="T5" s="2" t="s">
        <v>36</v>
      </c>
    </row>
    <row r="6" spans="1:20" x14ac:dyDescent="0.3">
      <c r="A6" s="2" t="s">
        <v>20</v>
      </c>
      <c r="B6" s="2" t="s">
        <v>21</v>
      </c>
      <c r="C6" s="2">
        <v>320878310</v>
      </c>
      <c r="D6" s="2">
        <v>2015</v>
      </c>
      <c r="E6" s="2" t="s">
        <v>37</v>
      </c>
      <c r="F6" s="4">
        <v>0.12696807085527201</v>
      </c>
      <c r="G6" s="2">
        <v>6</v>
      </c>
      <c r="H6" s="2">
        <f t="shared" si="0"/>
        <v>279785.48180842516</v>
      </c>
      <c r="I6" s="2">
        <v>407413</v>
      </c>
      <c r="J6" s="2">
        <v>0.128</v>
      </c>
      <c r="K6" s="2">
        <v>5</v>
      </c>
      <c r="L6" s="2">
        <f t="shared" si="1"/>
        <v>260744.32000000001</v>
      </c>
      <c r="M6" s="2">
        <v>258</v>
      </c>
      <c r="N6" s="2">
        <v>73.8</v>
      </c>
      <c r="O6" s="2">
        <f t="shared" si="2"/>
        <v>19040.399999999998</v>
      </c>
      <c r="P6" s="2">
        <f t="shared" si="3"/>
        <v>87.193641043679506</v>
      </c>
      <c r="Q6" s="7">
        <f t="shared" si="4"/>
        <v>58.185892794333704</v>
      </c>
      <c r="R6" s="2" t="s">
        <v>38</v>
      </c>
      <c r="S6" s="2" t="s">
        <v>39</v>
      </c>
      <c r="T6" s="2" t="s">
        <v>40</v>
      </c>
    </row>
    <row r="7" spans="1:20" x14ac:dyDescent="0.3">
      <c r="A7" s="2" t="s">
        <v>20</v>
      </c>
      <c r="B7" s="2" t="s">
        <v>21</v>
      </c>
      <c r="C7" s="2">
        <v>320878310</v>
      </c>
      <c r="D7" s="2">
        <v>2015</v>
      </c>
      <c r="E7" s="2" t="s">
        <v>41</v>
      </c>
      <c r="F7" s="4">
        <v>1.4958941911654901E-5</v>
      </c>
      <c r="G7" s="2">
        <v>6</v>
      </c>
      <c r="H7" s="2">
        <f t="shared" si="0"/>
        <v>3860.6400897536514</v>
      </c>
      <c r="I7" s="2">
        <v>48</v>
      </c>
      <c r="J7" s="2">
        <v>0.12</v>
      </c>
      <c r="K7" s="2">
        <v>4</v>
      </c>
      <c r="L7" s="2">
        <f t="shared" si="1"/>
        <v>23.04</v>
      </c>
      <c r="M7" s="2">
        <v>52</v>
      </c>
      <c r="N7" s="2">
        <v>73.8</v>
      </c>
      <c r="O7" s="2">
        <f t="shared" si="2"/>
        <v>3837.6</v>
      </c>
      <c r="P7" s="2">
        <f t="shared" si="3"/>
        <v>1.203147725925648</v>
      </c>
      <c r="Q7" s="7">
        <f t="shared" si="4"/>
        <v>1.1959388438044782</v>
      </c>
      <c r="R7" s="2" t="s">
        <v>42</v>
      </c>
      <c r="S7" s="2" t="s">
        <v>43</v>
      </c>
      <c r="T7" s="2" t="s">
        <v>44</v>
      </c>
    </row>
    <row r="8" spans="1:20" x14ac:dyDescent="0.3">
      <c r="A8" s="2" t="s">
        <v>20</v>
      </c>
      <c r="B8" s="2" t="s">
        <v>21</v>
      </c>
      <c r="C8" s="2">
        <v>323127513</v>
      </c>
      <c r="D8" s="2">
        <v>2016</v>
      </c>
      <c r="E8" s="2" t="s">
        <v>22</v>
      </c>
      <c r="F8" s="4">
        <v>1.4307664355402599E-2</v>
      </c>
      <c r="G8" s="2">
        <v>9</v>
      </c>
      <c r="H8" s="2">
        <f t="shared" si="0"/>
        <v>2902151.3767689792</v>
      </c>
      <c r="I8" s="2">
        <v>46232</v>
      </c>
      <c r="J8" s="2">
        <v>0.13300000000000001</v>
      </c>
      <c r="K8" s="2">
        <v>8</v>
      </c>
      <c r="L8" s="2">
        <f t="shared" si="1"/>
        <v>49190.848000000005</v>
      </c>
      <c r="M8" s="2">
        <v>38658</v>
      </c>
      <c r="N8" s="2">
        <v>73.8</v>
      </c>
      <c r="O8" s="2">
        <f t="shared" si="2"/>
        <v>2852960.4</v>
      </c>
      <c r="P8" s="2">
        <f t="shared" si="3"/>
        <v>898.1443114591666</v>
      </c>
      <c r="Q8" s="7">
        <f t="shared" si="4"/>
        <v>99.987427871369633</v>
      </c>
      <c r="R8" s="2" t="s">
        <v>23</v>
      </c>
      <c r="S8" s="2" t="s">
        <v>24</v>
      </c>
      <c r="T8" s="2" t="s">
        <v>36</v>
      </c>
    </row>
    <row r="9" spans="1:20" x14ac:dyDescent="0.3">
      <c r="A9" s="2" t="s">
        <v>20</v>
      </c>
      <c r="B9" s="2" t="s">
        <v>21</v>
      </c>
      <c r="C9" s="2">
        <v>323127513</v>
      </c>
      <c r="D9" s="2">
        <v>2016</v>
      </c>
      <c r="E9" s="2" t="s">
        <v>26</v>
      </c>
      <c r="F9" s="4">
        <v>8.9438375988738495E-5</v>
      </c>
      <c r="G9" s="2">
        <v>7</v>
      </c>
      <c r="H9" s="2">
        <f t="shared" si="0"/>
        <v>230.62262606863194</v>
      </c>
      <c r="I9" s="2">
        <v>289</v>
      </c>
      <c r="J9" s="2">
        <v>0.13300000000000001</v>
      </c>
      <c r="K9" s="2">
        <v>6</v>
      </c>
      <c r="L9" s="2">
        <f t="shared" si="1"/>
        <v>230.62200000000001</v>
      </c>
      <c r="M9" s="2">
        <v>0</v>
      </c>
      <c r="N9" s="2">
        <v>73.8</v>
      </c>
      <c r="O9" s="2">
        <f t="shared" si="2"/>
        <v>0</v>
      </c>
      <c r="P9" s="2">
        <f t="shared" si="3"/>
        <v>7.1372017791822007E-2</v>
      </c>
      <c r="Q9" s="7">
        <f t="shared" si="4"/>
        <v>7.1346554025564224E-2</v>
      </c>
      <c r="R9" s="2" t="s">
        <v>45</v>
      </c>
      <c r="S9" s="2" t="s">
        <v>28</v>
      </c>
      <c r="T9" s="2" t="s">
        <v>29</v>
      </c>
    </row>
    <row r="10" spans="1:20" x14ac:dyDescent="0.3">
      <c r="A10" s="2" t="s">
        <v>20</v>
      </c>
      <c r="B10" s="2" t="s">
        <v>21</v>
      </c>
      <c r="C10" s="2">
        <v>323127513</v>
      </c>
      <c r="D10" s="2">
        <v>2016</v>
      </c>
      <c r="E10" s="2" t="s">
        <v>30</v>
      </c>
      <c r="F10" s="4">
        <v>1.1883853418572901E-4</v>
      </c>
      <c r="G10" s="2">
        <v>7</v>
      </c>
      <c r="H10" s="2">
        <f t="shared" si="0"/>
        <v>38756.232831869733</v>
      </c>
      <c r="I10" s="2">
        <v>384</v>
      </c>
      <c r="J10" s="2">
        <v>0.13300000000000001</v>
      </c>
      <c r="K10" s="2">
        <v>6</v>
      </c>
      <c r="L10" s="2">
        <f t="shared" si="1"/>
        <v>306.43200000000002</v>
      </c>
      <c r="M10" s="2">
        <v>521</v>
      </c>
      <c r="N10" s="2">
        <v>73.8</v>
      </c>
      <c r="O10" s="2">
        <f t="shared" si="2"/>
        <v>38449.799999999996</v>
      </c>
      <c r="P10" s="2">
        <f t="shared" si="3"/>
        <v>11.994098698698471</v>
      </c>
      <c r="Q10" s="7">
        <f t="shared" si="4"/>
        <v>11.302722189117054</v>
      </c>
      <c r="R10" s="2" t="s">
        <v>46</v>
      </c>
      <c r="S10" s="2" t="s">
        <v>28</v>
      </c>
      <c r="T10" s="2" t="s">
        <v>32</v>
      </c>
    </row>
    <row r="11" spans="1:20" x14ac:dyDescent="0.3">
      <c r="A11" s="2" t="s">
        <v>20</v>
      </c>
      <c r="B11" s="2" t="s">
        <v>21</v>
      </c>
      <c r="C11" s="2">
        <v>323127513</v>
      </c>
      <c r="D11" s="2">
        <v>2016</v>
      </c>
      <c r="E11" s="2" t="s">
        <v>33</v>
      </c>
      <c r="F11" s="4">
        <v>2.1972749810382101E-5</v>
      </c>
      <c r="G11" s="2">
        <v>8</v>
      </c>
      <c r="H11" s="2">
        <f t="shared" si="0"/>
        <v>3682.3011757819986</v>
      </c>
      <c r="I11" s="2">
        <v>71</v>
      </c>
      <c r="J11" s="2">
        <v>0.13300000000000001</v>
      </c>
      <c r="K11" s="2">
        <v>7</v>
      </c>
      <c r="L11" s="2">
        <f t="shared" si="1"/>
        <v>66.101000000000013</v>
      </c>
      <c r="M11" s="2">
        <v>49</v>
      </c>
      <c r="N11" s="2">
        <v>73.8</v>
      </c>
      <c r="O11" s="2">
        <f t="shared" si="2"/>
        <v>3616.2</v>
      </c>
      <c r="P11" s="2">
        <f t="shared" si="3"/>
        <v>1.1395814431258284</v>
      </c>
      <c r="Q11" s="7">
        <f t="shared" si="4"/>
        <v>1.1331128089002163</v>
      </c>
      <c r="R11" s="2" t="s">
        <v>47</v>
      </c>
      <c r="S11" s="2" t="s">
        <v>35</v>
      </c>
      <c r="T11" s="2" t="s">
        <v>36</v>
      </c>
    </row>
    <row r="12" spans="1:20" x14ac:dyDescent="0.3">
      <c r="A12" s="2" t="s">
        <v>20</v>
      </c>
      <c r="B12" s="2" t="s">
        <v>21</v>
      </c>
      <c r="C12" s="2">
        <v>323127513</v>
      </c>
      <c r="D12" s="2">
        <v>2016</v>
      </c>
      <c r="E12" s="2" t="s">
        <v>37</v>
      </c>
      <c r="F12" s="4">
        <v>0.10065500055391501</v>
      </c>
      <c r="G12" s="2">
        <v>6</v>
      </c>
      <c r="H12" s="2">
        <f t="shared" si="0"/>
        <v>211846.76393000336</v>
      </c>
      <c r="I12" s="2">
        <v>325244</v>
      </c>
      <c r="J12" s="2">
        <v>0.128</v>
      </c>
      <c r="K12" s="2">
        <v>5</v>
      </c>
      <c r="L12" s="2">
        <f t="shared" si="1"/>
        <v>208156.16000000003</v>
      </c>
      <c r="M12" s="2">
        <v>50</v>
      </c>
      <c r="N12" s="2">
        <v>73.8</v>
      </c>
      <c r="O12" s="2">
        <f t="shared" si="2"/>
        <v>3690</v>
      </c>
      <c r="P12" s="2">
        <f t="shared" si="3"/>
        <v>65.56135129539507</v>
      </c>
      <c r="Q12" s="7">
        <f t="shared" si="4"/>
        <v>48.087652410865054</v>
      </c>
      <c r="R12" s="2" t="s">
        <v>38</v>
      </c>
      <c r="S12" s="2" t="s">
        <v>39</v>
      </c>
      <c r="T12" s="2" t="s">
        <v>40</v>
      </c>
    </row>
    <row r="13" spans="1:20" x14ac:dyDescent="0.3">
      <c r="A13" s="2" t="s">
        <v>20</v>
      </c>
      <c r="B13" s="2" t="s">
        <v>21</v>
      </c>
      <c r="C13" s="2">
        <v>323127513</v>
      </c>
      <c r="D13" s="2">
        <v>2016</v>
      </c>
      <c r="E13" s="2" t="s">
        <v>41</v>
      </c>
      <c r="F13" s="4">
        <v>1.9187471665404099E-5</v>
      </c>
      <c r="G13" s="2">
        <v>6</v>
      </c>
      <c r="H13" s="2">
        <f t="shared" si="0"/>
        <v>10214.160115124831</v>
      </c>
      <c r="I13" s="2">
        <v>62</v>
      </c>
      <c r="J13" s="2">
        <v>0.12</v>
      </c>
      <c r="K13" s="2">
        <v>4</v>
      </c>
      <c r="L13" s="2">
        <f t="shared" si="1"/>
        <v>29.759999999999998</v>
      </c>
      <c r="M13" s="2">
        <v>138</v>
      </c>
      <c r="N13" s="2">
        <v>73.8</v>
      </c>
      <c r="O13" s="2">
        <f t="shared" si="2"/>
        <v>10184.4</v>
      </c>
      <c r="P13" s="2">
        <f t="shared" si="3"/>
        <v>3.1610307708848153</v>
      </c>
      <c r="Q13" s="7">
        <f t="shared" si="4"/>
        <v>3.1115924823538532</v>
      </c>
      <c r="R13" s="2" t="s">
        <v>48</v>
      </c>
      <c r="S13" s="2" t="s">
        <v>43</v>
      </c>
      <c r="T13" s="2" t="s">
        <v>44</v>
      </c>
    </row>
    <row r="14" spans="1:20" x14ac:dyDescent="0.3">
      <c r="A14" s="2" t="s">
        <v>20</v>
      </c>
      <c r="B14" s="2" t="s">
        <v>21</v>
      </c>
      <c r="C14" s="2">
        <v>325084756</v>
      </c>
      <c r="D14" s="2">
        <v>2017</v>
      </c>
      <c r="E14" s="2" t="s">
        <v>22</v>
      </c>
      <c r="F14" s="4">
        <v>1.4667867108478E-2</v>
      </c>
      <c r="G14" s="2">
        <v>9</v>
      </c>
      <c r="H14" s="2">
        <f t="shared" si="0"/>
        <v>2985982.2440108038</v>
      </c>
      <c r="I14" s="2">
        <v>47683</v>
      </c>
      <c r="J14" s="2">
        <v>0.13300000000000001</v>
      </c>
      <c r="K14" s="2">
        <v>8</v>
      </c>
      <c r="L14" s="2">
        <f t="shared" si="1"/>
        <v>50734.712</v>
      </c>
      <c r="M14" s="2">
        <v>39773</v>
      </c>
      <c r="N14" s="2">
        <v>73.8</v>
      </c>
      <c r="O14" s="2">
        <f t="shared" si="2"/>
        <v>2935247.4</v>
      </c>
      <c r="P14" s="2">
        <f t="shared" si="3"/>
        <v>918.52422757430179</v>
      </c>
      <c r="Q14" s="7">
        <f t="shared" si="4"/>
        <v>99.989745842949901</v>
      </c>
      <c r="R14" s="2" t="s">
        <v>23</v>
      </c>
      <c r="S14" s="2" t="s">
        <v>24</v>
      </c>
      <c r="T14" s="2" t="s">
        <v>36</v>
      </c>
    </row>
    <row r="15" spans="1:20" x14ac:dyDescent="0.3">
      <c r="A15" s="2" t="s">
        <v>20</v>
      </c>
      <c r="B15" s="2" t="s">
        <v>21</v>
      </c>
      <c r="C15" s="2">
        <v>325084756</v>
      </c>
      <c r="D15" s="2">
        <v>2017</v>
      </c>
      <c r="E15" s="2" t="s">
        <v>26</v>
      </c>
      <c r="F15" s="4">
        <v>1.2335244658472999E-4</v>
      </c>
      <c r="G15" s="2">
        <v>7</v>
      </c>
      <c r="H15" s="2">
        <f t="shared" si="0"/>
        <v>319.99886346712611</v>
      </c>
      <c r="I15" s="2">
        <v>401</v>
      </c>
      <c r="J15" s="2">
        <v>0.13300000000000001</v>
      </c>
      <c r="K15" s="2">
        <v>6</v>
      </c>
      <c r="L15" s="2">
        <f t="shared" si="1"/>
        <v>319.99800000000005</v>
      </c>
      <c r="M15" s="2">
        <v>0</v>
      </c>
      <c r="N15" s="2">
        <v>73.8</v>
      </c>
      <c r="O15" s="2">
        <f t="shared" si="2"/>
        <v>0</v>
      </c>
      <c r="P15" s="2">
        <f t="shared" si="3"/>
        <v>9.8435517987538648E-2</v>
      </c>
      <c r="Q15" s="7">
        <f t="shared" si="4"/>
        <v>9.8387086124218648E-2</v>
      </c>
      <c r="R15" s="2" t="s">
        <v>49</v>
      </c>
      <c r="S15" s="2" t="s">
        <v>28</v>
      </c>
      <c r="T15" s="2" t="s">
        <v>29</v>
      </c>
    </row>
    <row r="16" spans="1:20" x14ac:dyDescent="0.3">
      <c r="A16" s="2" t="s">
        <v>20</v>
      </c>
      <c r="B16" s="2" t="s">
        <v>21</v>
      </c>
      <c r="C16" s="2">
        <v>325084756</v>
      </c>
      <c r="D16" s="2">
        <v>2017</v>
      </c>
      <c r="E16" s="2" t="s">
        <v>30</v>
      </c>
      <c r="F16" s="4">
        <v>1.28581852050916E-4</v>
      </c>
      <c r="G16" s="2">
        <v>7</v>
      </c>
      <c r="H16" s="2">
        <f t="shared" si="0"/>
        <v>45868.164900072959</v>
      </c>
      <c r="I16" s="2">
        <v>418</v>
      </c>
      <c r="J16" s="2">
        <v>0.13300000000000001</v>
      </c>
      <c r="K16" s="2">
        <v>6</v>
      </c>
      <c r="L16" s="2">
        <f t="shared" si="1"/>
        <v>333.56400000000002</v>
      </c>
      <c r="M16" s="2">
        <v>617</v>
      </c>
      <c r="N16" s="2">
        <v>73.8</v>
      </c>
      <c r="O16" s="2">
        <f t="shared" si="2"/>
        <v>45534.6</v>
      </c>
      <c r="P16" s="2">
        <f t="shared" si="3"/>
        <v>14.109601897196606</v>
      </c>
      <c r="Q16" s="7">
        <f t="shared" si="4"/>
        <v>13.159407574975223</v>
      </c>
      <c r="R16" s="2" t="s">
        <v>50</v>
      </c>
      <c r="S16" s="2" t="s">
        <v>28</v>
      </c>
      <c r="T16" s="2" t="s">
        <v>32</v>
      </c>
    </row>
    <row r="17" spans="1:20" x14ac:dyDescent="0.3">
      <c r="A17" s="2" t="s">
        <v>20</v>
      </c>
      <c r="B17" s="2" t="s">
        <v>21</v>
      </c>
      <c r="C17" s="2">
        <v>325084756</v>
      </c>
      <c r="D17" s="2">
        <v>2017</v>
      </c>
      <c r="E17" s="2" t="s">
        <v>33</v>
      </c>
      <c r="F17" s="4">
        <v>2.5531803158435399E-5</v>
      </c>
      <c r="G17" s="2">
        <v>8</v>
      </c>
      <c r="H17" s="2">
        <f t="shared" si="0"/>
        <v>962.87320425442522</v>
      </c>
      <c r="I17" s="2">
        <v>83</v>
      </c>
      <c r="J17" s="2">
        <v>0.13300000000000001</v>
      </c>
      <c r="K17" s="2">
        <v>7</v>
      </c>
      <c r="L17" s="2">
        <f t="shared" si="1"/>
        <v>77.27300000000001</v>
      </c>
      <c r="M17" s="2">
        <v>12</v>
      </c>
      <c r="N17" s="2">
        <v>73.8</v>
      </c>
      <c r="O17" s="2">
        <f t="shared" si="2"/>
        <v>885.59999999999991</v>
      </c>
      <c r="P17" s="2">
        <f t="shared" si="3"/>
        <v>0.29619143515127644</v>
      </c>
      <c r="Q17" s="7">
        <f t="shared" si="4"/>
        <v>0.29575322107761037</v>
      </c>
      <c r="R17" s="2" t="s">
        <v>51</v>
      </c>
      <c r="S17" s="2" t="s">
        <v>35</v>
      </c>
      <c r="T17" s="2" t="s">
        <v>36</v>
      </c>
    </row>
    <row r="18" spans="1:20" x14ac:dyDescent="0.3">
      <c r="A18" s="2" t="s">
        <v>20</v>
      </c>
      <c r="B18" s="2" t="s">
        <v>21</v>
      </c>
      <c r="C18" s="2">
        <v>325084756</v>
      </c>
      <c r="D18" s="2">
        <v>2017</v>
      </c>
      <c r="E18" s="2" t="s">
        <v>37</v>
      </c>
      <c r="F18" s="4" t="s">
        <v>29</v>
      </c>
      <c r="G18" s="2">
        <v>6</v>
      </c>
      <c r="H18" s="2" t="s">
        <v>29</v>
      </c>
      <c r="I18" s="2" t="s">
        <v>29</v>
      </c>
      <c r="J18" s="2">
        <v>0.128</v>
      </c>
      <c r="K18" s="2">
        <v>5</v>
      </c>
      <c r="L18" s="2" t="s">
        <v>29</v>
      </c>
      <c r="M18" s="2" t="s">
        <v>29</v>
      </c>
      <c r="N18" s="2">
        <v>73.8</v>
      </c>
      <c r="O18" s="2" t="s">
        <v>29</v>
      </c>
      <c r="P18" s="2" t="s">
        <v>29</v>
      </c>
      <c r="Q18" s="7" t="e">
        <f t="shared" si="4"/>
        <v>#VALUE!</v>
      </c>
      <c r="R18" s="2" t="s">
        <v>38</v>
      </c>
      <c r="S18" s="2" t="s">
        <v>39</v>
      </c>
      <c r="T18" s="2" t="s">
        <v>40</v>
      </c>
    </row>
    <row r="19" spans="1:20" x14ac:dyDescent="0.3">
      <c r="A19" s="2" t="s">
        <v>20</v>
      </c>
      <c r="B19" s="2" t="s">
        <v>21</v>
      </c>
      <c r="C19" s="2">
        <v>325084756</v>
      </c>
      <c r="D19" s="2">
        <v>2017</v>
      </c>
      <c r="E19" s="2" t="s">
        <v>41</v>
      </c>
      <c r="F19" s="4">
        <v>2.73774756759127E-5</v>
      </c>
      <c r="G19" s="2">
        <v>6</v>
      </c>
      <c r="H19" s="2">
        <f>L19+O19+G19*F19</f>
        <v>40189.920164264855</v>
      </c>
      <c r="I19" s="2">
        <v>89</v>
      </c>
      <c r="J19" s="2">
        <v>0.12</v>
      </c>
      <c r="K19" s="2">
        <v>4</v>
      </c>
      <c r="L19" s="2">
        <f>I19*J19*K19</f>
        <v>42.72</v>
      </c>
      <c r="M19" s="2">
        <v>544</v>
      </c>
      <c r="N19" s="2">
        <v>73.8</v>
      </c>
      <c r="O19" s="2">
        <f>M19*N19</f>
        <v>40147.199999999997</v>
      </c>
      <c r="P19" s="2">
        <f>H19/C19*100000</f>
        <v>12.362905187798118</v>
      </c>
      <c r="Q19" s="7">
        <f t="shared" si="4"/>
        <v>11.629241023908721</v>
      </c>
      <c r="R19" s="2" t="s">
        <v>52</v>
      </c>
      <c r="S19" s="2" t="s">
        <v>43</v>
      </c>
      <c r="T19" s="2" t="s">
        <v>44</v>
      </c>
    </row>
    <row r="20" spans="1:20" x14ac:dyDescent="0.3">
      <c r="A20" s="2" t="s">
        <v>20</v>
      </c>
      <c r="B20" s="2" t="s">
        <v>21</v>
      </c>
      <c r="C20" s="2">
        <v>326838199</v>
      </c>
      <c r="D20" s="2">
        <v>2018</v>
      </c>
      <c r="E20" s="2" t="s">
        <v>22</v>
      </c>
      <c r="F20" s="4">
        <v>1.2969720225389E-2</v>
      </c>
      <c r="G20" s="2">
        <v>9</v>
      </c>
      <c r="H20" s="2">
        <f>L20+O20+G20*F20</f>
        <v>2977915.076727482</v>
      </c>
      <c r="I20" s="2">
        <v>42390</v>
      </c>
      <c r="J20" s="2">
        <v>0.13300000000000001</v>
      </c>
      <c r="K20" s="2">
        <v>8</v>
      </c>
      <c r="L20" s="2">
        <f>I20*J20*K20</f>
        <v>45102.96</v>
      </c>
      <c r="M20" s="2">
        <v>39740</v>
      </c>
      <c r="N20" s="2">
        <v>73.8</v>
      </c>
      <c r="O20" s="2">
        <f>M20*N20</f>
        <v>2932812</v>
      </c>
      <c r="P20" s="2">
        <f>H20/C20*100000</f>
        <v>911.12822364055501</v>
      </c>
      <c r="Q20" s="7">
        <f t="shared" si="4"/>
        <v>99.98895869513052</v>
      </c>
      <c r="R20" s="2" t="s">
        <v>23</v>
      </c>
      <c r="S20" s="2" t="s">
        <v>24</v>
      </c>
      <c r="T20" s="2" t="s">
        <v>36</v>
      </c>
    </row>
    <row r="21" spans="1:20" x14ac:dyDescent="0.3">
      <c r="A21" s="2" t="s">
        <v>20</v>
      </c>
      <c r="B21" s="2" t="s">
        <v>21</v>
      </c>
      <c r="C21" s="2">
        <v>326838199</v>
      </c>
      <c r="D21" s="2">
        <v>2018</v>
      </c>
      <c r="E21" s="2" t="s">
        <v>26</v>
      </c>
      <c r="F21" s="4">
        <v>1.0892239679732199E-4</v>
      </c>
      <c r="G21" s="2">
        <v>7</v>
      </c>
      <c r="H21" s="2">
        <f>L21+O21+G21*F21</f>
        <v>284.08876245677754</v>
      </c>
      <c r="I21" s="2">
        <v>356</v>
      </c>
      <c r="J21" s="2">
        <v>0.13300000000000001</v>
      </c>
      <c r="K21" s="2">
        <v>6</v>
      </c>
      <c r="L21" s="2">
        <f>I21*J21*K21</f>
        <v>284.08799999999997</v>
      </c>
      <c r="M21" s="2">
        <v>0</v>
      </c>
      <c r="N21" s="2">
        <v>73.8</v>
      </c>
      <c r="O21" s="2">
        <f>M21*N21</f>
        <v>0</v>
      </c>
      <c r="P21" s="2">
        <f>H21/C21*100000</f>
        <v>8.6920305926902239E-2</v>
      </c>
      <c r="Q21" s="7">
        <f t="shared" si="4"/>
        <v>8.6882541171529049E-2</v>
      </c>
      <c r="R21" s="2" t="s">
        <v>53</v>
      </c>
      <c r="S21" s="2" t="s">
        <v>28</v>
      </c>
      <c r="T21" s="2" t="s">
        <v>29</v>
      </c>
    </row>
    <row r="22" spans="1:20" x14ac:dyDescent="0.3">
      <c r="A22" s="2" t="s">
        <v>20</v>
      </c>
      <c r="B22" s="2" t="s">
        <v>21</v>
      </c>
      <c r="C22" s="2">
        <v>326838199</v>
      </c>
      <c r="D22" s="2">
        <v>2018</v>
      </c>
      <c r="E22" s="2" t="s">
        <v>30</v>
      </c>
      <c r="F22" s="4">
        <v>1.1901913582628701E-4</v>
      </c>
      <c r="G22" s="2">
        <v>7</v>
      </c>
      <c r="H22" s="2">
        <f>L22+O22+G22*F22</f>
        <v>36324.822833133949</v>
      </c>
      <c r="I22" s="2">
        <v>389</v>
      </c>
      <c r="J22" s="2">
        <v>0.13300000000000001</v>
      </c>
      <c r="K22" s="2">
        <v>6</v>
      </c>
      <c r="L22" s="2">
        <f>I22*J22*K22</f>
        <v>310.42200000000003</v>
      </c>
      <c r="M22" s="2">
        <v>488</v>
      </c>
      <c r="N22" s="2">
        <v>73.8</v>
      </c>
      <c r="O22" s="2">
        <f>M22*N22</f>
        <v>36014.400000000001</v>
      </c>
      <c r="P22" s="2">
        <f>H22/C22*100000</f>
        <v>11.114007770289406</v>
      </c>
      <c r="Q22" s="7">
        <f t="shared" si="4"/>
        <v>10.518660325542184</v>
      </c>
      <c r="R22" s="2" t="s">
        <v>54</v>
      </c>
      <c r="S22" s="2" t="s">
        <v>28</v>
      </c>
      <c r="T22" s="2" t="s">
        <v>32</v>
      </c>
    </row>
    <row r="23" spans="1:20" x14ac:dyDescent="0.3">
      <c r="A23" s="2" t="s">
        <v>20</v>
      </c>
      <c r="B23" s="2" t="s">
        <v>21</v>
      </c>
      <c r="C23" s="2">
        <v>326838199</v>
      </c>
      <c r="D23" s="2">
        <v>2018</v>
      </c>
      <c r="E23" s="2" t="s">
        <v>33</v>
      </c>
      <c r="F23" s="4">
        <v>2.3865019523008701E-5</v>
      </c>
      <c r="G23" s="2">
        <v>8</v>
      </c>
      <c r="H23" s="2">
        <f>L23+O23+G23*F23</f>
        <v>663.01819092015626</v>
      </c>
      <c r="I23" s="2">
        <v>78</v>
      </c>
      <c r="J23" s="2">
        <v>0.13300000000000001</v>
      </c>
      <c r="K23" s="2">
        <v>7</v>
      </c>
      <c r="L23" s="2">
        <f>I23*J23*K23</f>
        <v>72.618000000000009</v>
      </c>
      <c r="M23" s="2">
        <v>8</v>
      </c>
      <c r="N23" s="2">
        <v>73.8</v>
      </c>
      <c r="O23" s="2">
        <f>M23*N23</f>
        <v>590.4</v>
      </c>
      <c r="P23" s="2">
        <f>H23/C23*100000</f>
        <v>0.20285823167204403</v>
      </c>
      <c r="Q23" s="7">
        <f t="shared" si="4"/>
        <v>0.20265261342260477</v>
      </c>
      <c r="R23" s="2" t="s">
        <v>55</v>
      </c>
      <c r="S23" s="2" t="s">
        <v>35</v>
      </c>
      <c r="T23" s="2" t="s">
        <v>36</v>
      </c>
    </row>
    <row r="24" spans="1:20" x14ac:dyDescent="0.3">
      <c r="A24" s="2" t="s">
        <v>20</v>
      </c>
      <c r="B24" s="2" t="s">
        <v>21</v>
      </c>
      <c r="C24" s="2">
        <v>326838199</v>
      </c>
      <c r="D24" s="2">
        <v>2018</v>
      </c>
      <c r="E24" s="2" t="s">
        <v>37</v>
      </c>
      <c r="F24" s="4" t="s">
        <v>29</v>
      </c>
      <c r="G24" s="2">
        <v>6</v>
      </c>
      <c r="H24" s="2" t="s">
        <v>29</v>
      </c>
      <c r="I24" s="2" t="s">
        <v>29</v>
      </c>
      <c r="J24" s="2">
        <v>0.128</v>
      </c>
      <c r="K24" s="2">
        <v>5</v>
      </c>
      <c r="L24" s="2" t="s">
        <v>29</v>
      </c>
      <c r="M24" s="2" t="s">
        <v>29</v>
      </c>
      <c r="N24" s="2">
        <v>73.8</v>
      </c>
      <c r="O24" s="2" t="s">
        <v>29</v>
      </c>
      <c r="P24" s="2" t="s">
        <v>29</v>
      </c>
      <c r="Q24" s="7" t="e">
        <f t="shared" si="4"/>
        <v>#VALUE!</v>
      </c>
      <c r="R24" s="2" t="s">
        <v>38</v>
      </c>
      <c r="S24" s="2" t="s">
        <v>39</v>
      </c>
      <c r="T24" s="2" t="s">
        <v>40</v>
      </c>
    </row>
    <row r="25" spans="1:20" x14ac:dyDescent="0.3">
      <c r="A25" s="2" t="s">
        <v>20</v>
      </c>
      <c r="B25" s="2" t="s">
        <v>21</v>
      </c>
      <c r="C25" s="2">
        <v>326838199</v>
      </c>
      <c r="D25" s="2">
        <v>2018</v>
      </c>
      <c r="E25" s="2" t="s">
        <v>41</v>
      </c>
      <c r="F25" s="4">
        <v>2.3253095945495702E-5</v>
      </c>
      <c r="G25" s="2">
        <v>6</v>
      </c>
      <c r="H25" s="2">
        <f>L25+O25+G25*F25</f>
        <v>18265.080139518574</v>
      </c>
      <c r="I25" s="2">
        <v>76</v>
      </c>
      <c r="J25" s="2">
        <v>0.12</v>
      </c>
      <c r="K25" s="2">
        <v>4</v>
      </c>
      <c r="L25" s="2">
        <f>I25*J25*K25</f>
        <v>36.479999999999997</v>
      </c>
      <c r="M25" s="2">
        <v>247</v>
      </c>
      <c r="N25" s="2">
        <v>73.8</v>
      </c>
      <c r="O25" s="2">
        <f>M25*N25</f>
        <v>18228.599999999999</v>
      </c>
      <c r="P25" s="2">
        <f>H25/C25*100000</f>
        <v>5.5884165912683219</v>
      </c>
      <c r="Q25" s="7">
        <f t="shared" si="4"/>
        <v>5.4351332103128041</v>
      </c>
      <c r="R25" s="2" t="s">
        <v>56</v>
      </c>
      <c r="S25" s="2" t="s">
        <v>43</v>
      </c>
      <c r="T25" s="2" t="s">
        <v>44</v>
      </c>
    </row>
    <row r="26" spans="1:20" x14ac:dyDescent="0.3">
      <c r="A26" s="2" t="s">
        <v>20</v>
      </c>
      <c r="B26" s="2" t="s">
        <v>21</v>
      </c>
      <c r="C26" s="2">
        <v>328329953</v>
      </c>
      <c r="D26" s="2">
        <v>2019</v>
      </c>
      <c r="E26" s="2" t="s">
        <v>22</v>
      </c>
      <c r="F26" s="4">
        <v>1.20101744113489E-2</v>
      </c>
      <c r="G26" s="2">
        <v>9</v>
      </c>
      <c r="H26" s="2">
        <f>L26+O26+G26*F26</f>
        <v>1182019.2200915697</v>
      </c>
      <c r="I26" s="2">
        <v>39433</v>
      </c>
      <c r="J26" s="2">
        <v>0.13300000000000001</v>
      </c>
      <c r="K26" s="2">
        <v>8</v>
      </c>
      <c r="L26" s="2">
        <f>I26*J26*K26</f>
        <v>41956.712</v>
      </c>
      <c r="M26" s="2">
        <v>15448</v>
      </c>
      <c r="N26" s="2">
        <v>73.8</v>
      </c>
      <c r="O26" s="2">
        <f>M26*N26</f>
        <v>1140062.3999999999</v>
      </c>
      <c r="P26" s="2">
        <f>H26/C26*100000</f>
        <v>360.00956028875311</v>
      </c>
      <c r="Q26" s="7">
        <f t="shared" si="4"/>
        <v>97.267888965460727</v>
      </c>
      <c r="R26" s="2" t="s">
        <v>23</v>
      </c>
      <c r="S26" s="2" t="s">
        <v>24</v>
      </c>
      <c r="T26" s="2" t="s">
        <v>36</v>
      </c>
    </row>
    <row r="27" spans="1:20" x14ac:dyDescent="0.3">
      <c r="A27" s="2" t="s">
        <v>20</v>
      </c>
      <c r="B27" s="2" t="s">
        <v>21</v>
      </c>
      <c r="C27" s="2">
        <v>328329953</v>
      </c>
      <c r="D27" s="2">
        <v>2019</v>
      </c>
      <c r="E27" s="2" t="s">
        <v>26</v>
      </c>
      <c r="F27" s="4">
        <v>9.0762355757410899E-5</v>
      </c>
      <c r="G27" s="2">
        <v>7</v>
      </c>
      <c r="H27" s="2">
        <f>L27+O27+G27*F27</f>
        <v>237.80463533649029</v>
      </c>
      <c r="I27" s="2">
        <v>298</v>
      </c>
      <c r="J27" s="2">
        <v>0.13300000000000001</v>
      </c>
      <c r="K27" s="2">
        <v>6</v>
      </c>
      <c r="L27" s="2">
        <f>I27*J27*K27</f>
        <v>237.804</v>
      </c>
      <c r="M27" s="2">
        <v>0</v>
      </c>
      <c r="N27" s="2">
        <v>73.8</v>
      </c>
      <c r="O27" s="2">
        <f>M27*N27</f>
        <v>0</v>
      </c>
      <c r="P27" s="2">
        <f>H27/C27*100000</f>
        <v>7.2428553399905699E-2</v>
      </c>
      <c r="Q27" s="7">
        <f t="shared" si="4"/>
        <v>7.2402330254561775E-2</v>
      </c>
      <c r="R27" s="2" t="s">
        <v>57</v>
      </c>
      <c r="S27" s="2" t="s">
        <v>28</v>
      </c>
      <c r="T27" s="2" t="s">
        <v>29</v>
      </c>
    </row>
    <row r="28" spans="1:20" x14ac:dyDescent="0.3">
      <c r="A28" s="2" t="s">
        <v>20</v>
      </c>
      <c r="B28" s="2" t="s">
        <v>21</v>
      </c>
      <c r="C28" s="2">
        <v>328329953</v>
      </c>
      <c r="D28" s="2">
        <v>2019</v>
      </c>
      <c r="E28" s="2" t="s">
        <v>30</v>
      </c>
      <c r="F28" s="4">
        <v>1.2700638372765201E-4</v>
      </c>
      <c r="G28" s="2">
        <v>7</v>
      </c>
      <c r="H28" s="2">
        <f>L28+O28+G28*F28</f>
        <v>35387.766889044688</v>
      </c>
      <c r="I28" s="2">
        <v>417</v>
      </c>
      <c r="J28" s="2">
        <v>0.13300000000000001</v>
      </c>
      <c r="K28" s="2">
        <v>6</v>
      </c>
      <c r="L28" s="2">
        <f>I28*J28*K28</f>
        <v>332.76600000000002</v>
      </c>
      <c r="M28" s="2">
        <v>475</v>
      </c>
      <c r="N28" s="2">
        <v>73.8</v>
      </c>
      <c r="O28" s="2">
        <f>M28*N28</f>
        <v>35055</v>
      </c>
      <c r="P28" s="2">
        <f>H28/C28*100000</f>
        <v>10.778111033032886</v>
      </c>
      <c r="Q28" s="7">
        <f t="shared" si="4"/>
        <v>10.217590065605043</v>
      </c>
      <c r="R28" s="2" t="s">
        <v>58</v>
      </c>
      <c r="S28" s="2" t="s">
        <v>28</v>
      </c>
      <c r="T28" s="2" t="s">
        <v>32</v>
      </c>
    </row>
    <row r="29" spans="1:20" x14ac:dyDescent="0.3">
      <c r="A29" s="2" t="s">
        <v>20</v>
      </c>
      <c r="B29" s="2" t="s">
        <v>21</v>
      </c>
      <c r="C29" s="2">
        <v>328329953</v>
      </c>
      <c r="D29" s="2">
        <v>2019</v>
      </c>
      <c r="E29" s="2" t="s">
        <v>33</v>
      </c>
      <c r="F29" s="4">
        <v>1.9797158135005701E-5</v>
      </c>
      <c r="G29" s="2">
        <v>8</v>
      </c>
      <c r="H29" s="2">
        <f>L29+O29+G29*F29</f>
        <v>355.71515837726503</v>
      </c>
      <c r="I29" s="2">
        <v>65</v>
      </c>
      <c r="J29" s="2">
        <v>0.13300000000000001</v>
      </c>
      <c r="K29" s="2">
        <v>7</v>
      </c>
      <c r="L29" s="2">
        <f>I29*J29*K29</f>
        <v>60.515000000000001</v>
      </c>
      <c r="M29" s="2">
        <v>4</v>
      </c>
      <c r="N29" s="2">
        <v>73.8</v>
      </c>
      <c r="O29" s="2">
        <f>M29*N29</f>
        <v>295.2</v>
      </c>
      <c r="P29" s="2">
        <f>H29/C29*100000</f>
        <v>0.108340757560205</v>
      </c>
      <c r="Q29" s="7">
        <f t="shared" si="4"/>
        <v>0.10828209015028012</v>
      </c>
      <c r="R29" s="2" t="s">
        <v>59</v>
      </c>
      <c r="S29" s="2" t="s">
        <v>35</v>
      </c>
      <c r="T29" s="2" t="s">
        <v>36</v>
      </c>
    </row>
    <row r="30" spans="1:20" x14ac:dyDescent="0.3">
      <c r="A30" s="2" t="s">
        <v>20</v>
      </c>
      <c r="B30" s="2" t="s">
        <v>21</v>
      </c>
      <c r="C30" s="2">
        <v>328329953</v>
      </c>
      <c r="D30" s="2">
        <v>2019</v>
      </c>
      <c r="E30" s="2" t="s">
        <v>37</v>
      </c>
      <c r="F30" s="4" t="s">
        <v>29</v>
      </c>
      <c r="G30" s="2">
        <v>6</v>
      </c>
      <c r="H30" s="2" t="s">
        <v>29</v>
      </c>
      <c r="I30" s="2" t="s">
        <v>29</v>
      </c>
      <c r="J30" s="2">
        <v>0.128</v>
      </c>
      <c r="K30" s="2">
        <v>5</v>
      </c>
      <c r="L30" s="2" t="s">
        <v>29</v>
      </c>
      <c r="M30" s="2" t="s">
        <v>29</v>
      </c>
      <c r="N30" s="2">
        <v>73.8</v>
      </c>
      <c r="O30" s="2" t="s">
        <v>29</v>
      </c>
      <c r="P30" s="2" t="s">
        <v>29</v>
      </c>
      <c r="Q30" s="7" t="e">
        <f t="shared" si="4"/>
        <v>#VALUE!</v>
      </c>
      <c r="R30" s="2" t="s">
        <v>38</v>
      </c>
      <c r="S30" s="2" t="s">
        <v>39</v>
      </c>
      <c r="T30" s="2" t="s">
        <v>40</v>
      </c>
    </row>
    <row r="31" spans="1:20" x14ac:dyDescent="0.3">
      <c r="A31" s="2" t="s">
        <v>20</v>
      </c>
      <c r="B31" s="2" t="s">
        <v>21</v>
      </c>
      <c r="C31" s="2">
        <v>328329953</v>
      </c>
      <c r="D31" s="2">
        <v>2019</v>
      </c>
      <c r="E31" s="2" t="s">
        <v>41</v>
      </c>
      <c r="F31" s="4">
        <v>1.7665156489697399E-5</v>
      </c>
      <c r="G31" s="2">
        <v>6</v>
      </c>
      <c r="H31" s="2">
        <f>L31+O31+G31*F31</f>
        <v>6596.0401059909391</v>
      </c>
      <c r="I31" s="2">
        <v>58</v>
      </c>
      <c r="J31" s="2">
        <v>0.12</v>
      </c>
      <c r="K31" s="2">
        <v>4</v>
      </c>
      <c r="L31" s="2">
        <f>I31*J31*K31</f>
        <v>27.84</v>
      </c>
      <c r="M31" s="2">
        <v>89</v>
      </c>
      <c r="N31" s="2">
        <v>73.8</v>
      </c>
      <c r="O31" s="2">
        <f>M31*N31</f>
        <v>6568.2</v>
      </c>
      <c r="P31" s="2">
        <f>H31/C31*100000</f>
        <v>2.0089669083560402</v>
      </c>
      <c r="Q31" s="7">
        <f t="shared" si="4"/>
        <v>1.9889216269439514</v>
      </c>
      <c r="R31" s="2" t="s">
        <v>60</v>
      </c>
      <c r="S31" s="2" t="s">
        <v>43</v>
      </c>
      <c r="T31" s="2" t="s">
        <v>44</v>
      </c>
    </row>
    <row r="32" spans="1:20" x14ac:dyDescent="0.3">
      <c r="A32" s="2" t="s">
        <v>20</v>
      </c>
      <c r="B32" s="2" t="s">
        <v>21</v>
      </c>
      <c r="C32" s="2">
        <v>329484123</v>
      </c>
      <c r="D32" s="2">
        <v>2020</v>
      </c>
      <c r="E32" s="2" t="s">
        <v>22</v>
      </c>
      <c r="F32" s="4">
        <v>1.34237120736771E-2</v>
      </c>
      <c r="G32" s="2">
        <v>9</v>
      </c>
      <c r="H32" s="2">
        <f>L32+O32+G32*F32</f>
        <v>1518410.3768134085</v>
      </c>
      <c r="I32" s="2">
        <v>44229</v>
      </c>
      <c r="J32" s="2">
        <v>0.13300000000000001</v>
      </c>
      <c r="K32" s="2">
        <v>8</v>
      </c>
      <c r="L32" s="2">
        <f>I32*J32*K32</f>
        <v>47059.656000000003</v>
      </c>
      <c r="M32" s="2">
        <v>19937</v>
      </c>
      <c r="N32" s="2">
        <v>73.8</v>
      </c>
      <c r="O32" s="2">
        <f>M32*N32</f>
        <v>1471350.5999999999</v>
      </c>
      <c r="P32" s="2">
        <f>H32/C32*100000</f>
        <v>460.84477849435206</v>
      </c>
      <c r="Q32" s="7">
        <f t="shared" si="4"/>
        <v>99.003272233491529</v>
      </c>
      <c r="R32" s="2" t="s">
        <v>23</v>
      </c>
      <c r="S32" s="2" t="s">
        <v>24</v>
      </c>
      <c r="T32" s="2" t="s">
        <v>36</v>
      </c>
    </row>
    <row r="33" spans="1:20" x14ac:dyDescent="0.3">
      <c r="A33" s="2" t="s">
        <v>20</v>
      </c>
      <c r="B33" s="2" t="s">
        <v>21</v>
      </c>
      <c r="C33" s="2">
        <v>329484123</v>
      </c>
      <c r="D33" s="2">
        <v>2020</v>
      </c>
      <c r="E33" s="2" t="s">
        <v>26</v>
      </c>
      <c r="F33" s="4">
        <v>2.35216189764628E-3</v>
      </c>
      <c r="G33" s="2">
        <v>7</v>
      </c>
      <c r="H33" s="2">
        <f>L33+O33+G33*F33</f>
        <v>7586.7164651332832</v>
      </c>
      <c r="I33" s="2">
        <v>7750</v>
      </c>
      <c r="J33" s="2">
        <v>0.13300000000000001</v>
      </c>
      <c r="K33" s="2">
        <v>6</v>
      </c>
      <c r="L33" s="2">
        <f>I33*J33*K33</f>
        <v>6184.5</v>
      </c>
      <c r="M33" s="2">
        <v>19</v>
      </c>
      <c r="N33" s="2">
        <v>73.8</v>
      </c>
      <c r="O33" s="2">
        <f>M33*N33</f>
        <v>1402.2</v>
      </c>
      <c r="P33" s="2">
        <f>H33/C33*100000</f>
        <v>2.3026045674235065</v>
      </c>
      <c r="Q33" s="7">
        <f t="shared" si="4"/>
        <v>2.2762969355544005</v>
      </c>
      <c r="R33" s="2" t="s">
        <v>61</v>
      </c>
      <c r="S33" s="2" t="s">
        <v>28</v>
      </c>
      <c r="T33" s="2" t="s">
        <v>62</v>
      </c>
    </row>
    <row r="34" spans="1:20" x14ac:dyDescent="0.3">
      <c r="A34" s="2" t="s">
        <v>20</v>
      </c>
      <c r="B34" s="2" t="s">
        <v>21</v>
      </c>
      <c r="C34" s="2">
        <v>329484123</v>
      </c>
      <c r="D34" s="2">
        <v>2020</v>
      </c>
      <c r="E34" s="2" t="s">
        <v>30</v>
      </c>
      <c r="F34" s="4">
        <v>1.80888837548024E-4</v>
      </c>
      <c r="G34" s="2">
        <v>7</v>
      </c>
      <c r="H34" s="2">
        <f>L34+O34+G34*F34</f>
        <v>45567.409266221861</v>
      </c>
      <c r="I34" s="2">
        <v>596</v>
      </c>
      <c r="J34" s="2">
        <v>0.13300000000000001</v>
      </c>
      <c r="K34" s="2">
        <v>6</v>
      </c>
      <c r="L34" s="2">
        <f>I34*J34*K34</f>
        <v>475.608</v>
      </c>
      <c r="M34" s="2">
        <v>611</v>
      </c>
      <c r="N34" s="2">
        <v>73.8</v>
      </c>
      <c r="O34" s="2">
        <f>M34*N34</f>
        <v>45091.799999999996</v>
      </c>
      <c r="P34" s="2">
        <f>H34/C34*100000</f>
        <v>13.829925658124008</v>
      </c>
      <c r="Q34" s="7">
        <f t="shared" si="4"/>
        <v>12.916195126910225</v>
      </c>
      <c r="R34" s="2" t="s">
        <v>63</v>
      </c>
      <c r="S34" s="2" t="s">
        <v>28</v>
      </c>
      <c r="T34" s="2" t="s">
        <v>32</v>
      </c>
    </row>
    <row r="35" spans="1:20" x14ac:dyDescent="0.3">
      <c r="A35" s="2" t="s">
        <v>20</v>
      </c>
      <c r="B35" s="2" t="s">
        <v>21</v>
      </c>
      <c r="C35" s="2">
        <v>329484123</v>
      </c>
      <c r="D35" s="2">
        <v>2020</v>
      </c>
      <c r="E35" s="2" t="s">
        <v>33</v>
      </c>
      <c r="F35" s="4">
        <v>3.7634590362340501E-5</v>
      </c>
      <c r="G35" s="2">
        <v>8</v>
      </c>
      <c r="H35" s="2">
        <f>L35+O35+G35*F35</f>
        <v>336.8443010767229</v>
      </c>
      <c r="I35" s="2">
        <v>124</v>
      </c>
      <c r="J35" s="2">
        <v>0.13300000000000001</v>
      </c>
      <c r="K35" s="2">
        <v>7</v>
      </c>
      <c r="L35" s="2">
        <f>I35*J35*K35</f>
        <v>115.444</v>
      </c>
      <c r="M35" s="2">
        <v>3</v>
      </c>
      <c r="N35" s="2">
        <v>73.8</v>
      </c>
      <c r="O35" s="2">
        <f>M35*N35</f>
        <v>221.39999999999998</v>
      </c>
      <c r="P35" s="2">
        <f>H35/C35*100000</f>
        <v>0.10223384908799472</v>
      </c>
      <c r="Q35" s="7">
        <f t="shared" si="4"/>
        <v>0.1021816080926774</v>
      </c>
      <c r="R35" s="2" t="s">
        <v>64</v>
      </c>
      <c r="S35" s="2" t="s">
        <v>35</v>
      </c>
      <c r="T35" s="2" t="s">
        <v>36</v>
      </c>
    </row>
    <row r="36" spans="1:20" x14ac:dyDescent="0.3">
      <c r="A36" s="2" t="s">
        <v>20</v>
      </c>
      <c r="B36" s="2" t="s">
        <v>21</v>
      </c>
      <c r="C36" s="2">
        <v>329484123</v>
      </c>
      <c r="D36" s="2">
        <v>2020</v>
      </c>
      <c r="E36" s="2" t="s">
        <v>37</v>
      </c>
      <c r="F36" s="4" t="s">
        <v>29</v>
      </c>
      <c r="G36" s="2">
        <v>6</v>
      </c>
      <c r="H36" s="2" t="s">
        <v>29</v>
      </c>
      <c r="I36" s="2" t="s">
        <v>29</v>
      </c>
      <c r="J36" s="2">
        <v>0.128</v>
      </c>
      <c r="K36" s="2">
        <v>5</v>
      </c>
      <c r="L36" s="2" t="s">
        <v>29</v>
      </c>
      <c r="M36" s="2" t="s">
        <v>29</v>
      </c>
      <c r="N36" s="2">
        <v>73.8</v>
      </c>
      <c r="O36" s="2" t="s">
        <v>29</v>
      </c>
      <c r="P36" s="2" t="s">
        <v>29</v>
      </c>
      <c r="Q36" s="7" t="e">
        <f t="shared" si="4"/>
        <v>#VALUE!</v>
      </c>
      <c r="R36" s="2" t="s">
        <v>38</v>
      </c>
      <c r="S36" s="2" t="s">
        <v>39</v>
      </c>
      <c r="T36" s="2" t="s">
        <v>40</v>
      </c>
    </row>
    <row r="37" spans="1:20" x14ac:dyDescent="0.3">
      <c r="A37" s="2" t="s">
        <v>20</v>
      </c>
      <c r="B37" s="2" t="s">
        <v>21</v>
      </c>
      <c r="C37" s="2">
        <v>329484123</v>
      </c>
      <c r="D37" s="2">
        <v>2020</v>
      </c>
      <c r="E37" s="2" t="s">
        <v>41</v>
      </c>
      <c r="F37" s="4">
        <v>2.8529447532741999E-5</v>
      </c>
      <c r="G37" s="2">
        <v>6</v>
      </c>
      <c r="H37" s="2">
        <f>L37+O37+G37*F37</f>
        <v>16723.920171176684</v>
      </c>
      <c r="I37" s="2">
        <v>94</v>
      </c>
      <c r="J37" s="2">
        <v>0.12</v>
      </c>
      <c r="K37" s="2">
        <v>4</v>
      </c>
      <c r="L37" s="2">
        <f>I37*J37*K37</f>
        <v>45.12</v>
      </c>
      <c r="M37" s="2">
        <v>226</v>
      </c>
      <c r="N37" s="2">
        <v>73.8</v>
      </c>
      <c r="O37" s="2">
        <f>M37*N37</f>
        <v>16678.8</v>
      </c>
      <c r="P37" s="2">
        <f>H37/C37*100000</f>
        <v>5.0757893943122365</v>
      </c>
      <c r="Q37" s="7">
        <f t="shared" si="4"/>
        <v>4.9491233393012752</v>
      </c>
      <c r="R37" s="2" t="s">
        <v>65</v>
      </c>
      <c r="S37" s="2" t="s">
        <v>43</v>
      </c>
      <c r="T37" s="2" t="s">
        <v>44</v>
      </c>
    </row>
    <row r="38" spans="1:20" x14ac:dyDescent="0.3">
      <c r="A38" s="2" t="s">
        <v>20</v>
      </c>
      <c r="B38" s="2" t="s">
        <v>21</v>
      </c>
      <c r="C38" s="2">
        <v>331893745</v>
      </c>
      <c r="D38" s="2">
        <v>2021</v>
      </c>
      <c r="E38" s="2" t="s">
        <v>22</v>
      </c>
      <c r="F38" s="4">
        <v>1.8728885655859499E-2</v>
      </c>
      <c r="G38" s="2">
        <v>9</v>
      </c>
      <c r="H38" s="2">
        <f>L38+O38+G38*F38</f>
        <v>3669792.408559971</v>
      </c>
      <c r="I38" s="2">
        <v>62160</v>
      </c>
      <c r="J38" s="2">
        <v>0.13300000000000001</v>
      </c>
      <c r="K38" s="2">
        <v>8</v>
      </c>
      <c r="L38" s="2">
        <f>I38*J38*K38</f>
        <v>66138.240000000005</v>
      </c>
      <c r="M38" s="2">
        <v>48830</v>
      </c>
      <c r="N38" s="2">
        <v>73.8</v>
      </c>
      <c r="O38" s="2">
        <f>M38*N38</f>
        <v>3603654</v>
      </c>
      <c r="P38" s="2">
        <f>H38/C38*100000</f>
        <v>1105.7130373336715</v>
      </c>
      <c r="Q38" s="7">
        <f t="shared" si="4"/>
        <v>99.998422572916354</v>
      </c>
      <c r="R38" s="2" t="s">
        <v>23</v>
      </c>
      <c r="S38" s="2" t="s">
        <v>24</v>
      </c>
      <c r="T38" s="2" t="s">
        <v>36</v>
      </c>
    </row>
    <row r="39" spans="1:20" x14ac:dyDescent="0.3">
      <c r="A39" s="2" t="s">
        <v>20</v>
      </c>
      <c r="B39" s="2" t="s">
        <v>21</v>
      </c>
      <c r="C39" s="2">
        <v>331893745</v>
      </c>
      <c r="D39" s="2">
        <v>2021</v>
      </c>
      <c r="E39" s="2" t="s">
        <v>26</v>
      </c>
      <c r="F39" s="4">
        <v>7.0534622458763097E-4</v>
      </c>
      <c r="G39" s="2">
        <v>7</v>
      </c>
      <c r="H39" s="2">
        <f>L39+O39+G39*F39</f>
        <v>2089.5229374235723</v>
      </c>
      <c r="I39" s="2">
        <v>2341</v>
      </c>
      <c r="J39" s="2">
        <v>0.13300000000000001</v>
      </c>
      <c r="K39" s="2">
        <v>6</v>
      </c>
      <c r="L39" s="2">
        <f>I39*J39*K39</f>
        <v>1868.1179999999999</v>
      </c>
      <c r="M39" s="2">
        <v>3</v>
      </c>
      <c r="N39" s="2">
        <v>73.8</v>
      </c>
      <c r="O39" s="2">
        <f>M39*N39</f>
        <v>221.39999999999998</v>
      </c>
      <c r="P39" s="2">
        <f>H39/C39*100000</f>
        <v>0.62957587146560179</v>
      </c>
      <c r="Q39" s="7">
        <f t="shared" si="4"/>
        <v>0.62759819507693937</v>
      </c>
      <c r="R39" s="2" t="s">
        <v>66</v>
      </c>
      <c r="S39" s="2" t="s">
        <v>28</v>
      </c>
      <c r="T39" s="2" t="s">
        <v>29</v>
      </c>
    </row>
    <row r="40" spans="1:20" x14ac:dyDescent="0.3">
      <c r="A40" s="2" t="s">
        <v>20</v>
      </c>
      <c r="B40" s="2" t="s">
        <v>21</v>
      </c>
      <c r="C40" s="2">
        <v>331893745</v>
      </c>
      <c r="D40" s="2">
        <v>2021</v>
      </c>
      <c r="E40" s="2" t="s">
        <v>30</v>
      </c>
      <c r="F40" s="4">
        <v>2.0880176575789299E-4</v>
      </c>
      <c r="G40" s="2">
        <v>7</v>
      </c>
      <c r="H40" s="2">
        <f>L40+O40+G40*F40</f>
        <v>52434.415461612363</v>
      </c>
      <c r="I40" s="2">
        <v>693</v>
      </c>
      <c r="J40" s="2">
        <v>0.13300000000000001</v>
      </c>
      <c r="K40" s="2">
        <v>6</v>
      </c>
      <c r="L40" s="2">
        <f>I40*J40*K40</f>
        <v>553.01400000000012</v>
      </c>
      <c r="M40" s="2">
        <v>703</v>
      </c>
      <c r="N40" s="2">
        <v>73.8</v>
      </c>
      <c r="O40" s="2">
        <f>M40*N40</f>
        <v>51881.4</v>
      </c>
      <c r="P40" s="2">
        <f>H40/C40*100000</f>
        <v>15.798554884368901</v>
      </c>
      <c r="Q40" s="7">
        <f t="shared" si="4"/>
        <v>14.613787882569529</v>
      </c>
      <c r="R40" s="2" t="s">
        <v>67</v>
      </c>
      <c r="S40" s="2" t="s">
        <v>28</v>
      </c>
      <c r="T40" s="2" t="s">
        <v>32</v>
      </c>
    </row>
    <row r="41" spans="1:20" x14ac:dyDescent="0.3">
      <c r="A41" s="2" t="s">
        <v>20</v>
      </c>
      <c r="B41" s="2" t="s">
        <v>21</v>
      </c>
      <c r="C41" s="2">
        <v>331893745</v>
      </c>
      <c r="D41" s="2">
        <v>2021</v>
      </c>
      <c r="E41" s="2" t="s">
        <v>33</v>
      </c>
      <c r="F41" s="4">
        <v>2.9527522430409199E-5</v>
      </c>
      <c r="G41" s="2">
        <v>8</v>
      </c>
      <c r="H41" s="2">
        <f>L41+O41+G41*F41</f>
        <v>460.23823622017943</v>
      </c>
      <c r="I41" s="2">
        <v>98</v>
      </c>
      <c r="J41" s="2">
        <v>0.13300000000000001</v>
      </c>
      <c r="K41" s="2">
        <v>7</v>
      </c>
      <c r="L41" s="2">
        <f>I41*J41*K41</f>
        <v>91.238</v>
      </c>
      <c r="M41" s="2">
        <v>5</v>
      </c>
      <c r="N41" s="2">
        <v>73.8</v>
      </c>
      <c r="O41" s="2">
        <f>M41*N41</f>
        <v>369</v>
      </c>
      <c r="P41" s="2">
        <f>H41/C41*100000</f>
        <v>0.1386703555441153</v>
      </c>
      <c r="Q41" s="7">
        <f t="shared" si="4"/>
        <v>0.13857425263379408</v>
      </c>
      <c r="R41" s="2" t="s">
        <v>68</v>
      </c>
      <c r="S41" s="2" t="s">
        <v>35</v>
      </c>
      <c r="T41" s="2" t="s">
        <v>36</v>
      </c>
    </row>
    <row r="42" spans="1:20" x14ac:dyDescent="0.3">
      <c r="A42" s="2" t="s">
        <v>20</v>
      </c>
      <c r="B42" s="2" t="s">
        <v>21</v>
      </c>
      <c r="C42" s="2">
        <v>331893745</v>
      </c>
      <c r="D42" s="2">
        <v>2021</v>
      </c>
      <c r="E42" s="2" t="s">
        <v>37</v>
      </c>
      <c r="F42" s="4" t="s">
        <v>29</v>
      </c>
      <c r="G42" s="2">
        <v>6</v>
      </c>
      <c r="H42" s="2" t="s">
        <v>29</v>
      </c>
      <c r="I42" s="2" t="s">
        <v>29</v>
      </c>
      <c r="J42" s="2">
        <v>0.128</v>
      </c>
      <c r="K42" s="2">
        <v>5</v>
      </c>
      <c r="L42" s="2" t="s">
        <v>29</v>
      </c>
      <c r="M42" s="2" t="s">
        <v>29</v>
      </c>
      <c r="N42" s="2">
        <v>73.8</v>
      </c>
      <c r="O42" s="2" t="s">
        <v>29</v>
      </c>
      <c r="P42" s="2" t="s">
        <v>29</v>
      </c>
      <c r="Q42" s="7" t="e">
        <f t="shared" si="4"/>
        <v>#VALUE!</v>
      </c>
      <c r="R42" s="2" t="s">
        <v>38</v>
      </c>
      <c r="S42" s="2" t="s">
        <v>39</v>
      </c>
      <c r="T42" s="2" t="s">
        <v>40</v>
      </c>
    </row>
    <row r="43" spans="1:20" x14ac:dyDescent="0.3">
      <c r="A43" s="2" t="s">
        <v>20</v>
      </c>
      <c r="B43" s="2" t="s">
        <v>21</v>
      </c>
      <c r="C43" s="2">
        <v>331893745</v>
      </c>
      <c r="D43" s="2">
        <v>2021</v>
      </c>
      <c r="E43" s="2" t="s">
        <v>41</v>
      </c>
      <c r="F43" s="4">
        <v>2.6213208688220399E-5</v>
      </c>
      <c r="G43" s="2">
        <v>6</v>
      </c>
      <c r="H43" s="2">
        <f>L43+O43+G43*F43</f>
        <v>50225.760157279256</v>
      </c>
      <c r="I43" s="2">
        <v>87</v>
      </c>
      <c r="J43" s="2">
        <v>0.12</v>
      </c>
      <c r="K43" s="2">
        <v>4</v>
      </c>
      <c r="L43" s="2">
        <f>I43*J43*K43</f>
        <v>41.76</v>
      </c>
      <c r="M43" s="2">
        <v>680</v>
      </c>
      <c r="N43" s="2">
        <v>73.8</v>
      </c>
      <c r="O43" s="2">
        <f>M43*N43</f>
        <v>50184</v>
      </c>
      <c r="P43" s="2">
        <f>H43/C43*100000</f>
        <v>15.133084281922596</v>
      </c>
      <c r="Q43" s="7">
        <f t="shared" si="4"/>
        <v>14.043672872455071</v>
      </c>
      <c r="R43" s="2" t="s">
        <v>69</v>
      </c>
      <c r="S43" s="2" t="s">
        <v>43</v>
      </c>
      <c r="T43" s="2" t="s">
        <v>44</v>
      </c>
    </row>
    <row r="44" spans="1:20" x14ac:dyDescent="0.3">
      <c r="A44" s="2" t="s">
        <v>20</v>
      </c>
      <c r="B44" s="2" t="s">
        <v>21</v>
      </c>
      <c r="C44" s="2">
        <v>333271411</v>
      </c>
      <c r="D44" s="2">
        <v>2022</v>
      </c>
      <c r="E44" s="2" t="s">
        <v>22</v>
      </c>
      <c r="F44" s="4">
        <v>1.77945056319277E-2</v>
      </c>
      <c r="G44" s="2">
        <v>9</v>
      </c>
      <c r="H44" s="2">
        <f>L44+O44+G44*F44</f>
        <v>1582715.4161505508</v>
      </c>
      <c r="I44" s="2">
        <v>59304</v>
      </c>
      <c r="J44" s="2">
        <v>0.13300000000000001</v>
      </c>
      <c r="K44" s="2">
        <v>8</v>
      </c>
      <c r="L44" s="2">
        <f>I44*J44*K44</f>
        <v>63099.456000000006</v>
      </c>
      <c r="M44" s="2">
        <v>20591</v>
      </c>
      <c r="N44" s="2">
        <v>73.8</v>
      </c>
      <c r="O44" s="2">
        <f>M44*N44</f>
        <v>1519615.8</v>
      </c>
      <c r="P44" s="2">
        <f>H44/C44*100000</f>
        <v>474.90284612218079</v>
      </c>
      <c r="Q44" s="7">
        <f t="shared" si="4"/>
        <v>99.133989525505598</v>
      </c>
      <c r="R44" s="2" t="s">
        <v>23</v>
      </c>
      <c r="S44" s="2" t="s">
        <v>24</v>
      </c>
      <c r="T44" s="2" t="s">
        <v>36</v>
      </c>
    </row>
    <row r="45" spans="1:20" x14ac:dyDescent="0.3">
      <c r="A45" s="2" t="s">
        <v>20</v>
      </c>
      <c r="B45" s="2" t="s">
        <v>21</v>
      </c>
      <c r="C45" s="2">
        <v>333271411</v>
      </c>
      <c r="D45" s="2">
        <v>2022</v>
      </c>
      <c r="E45" s="2" t="s">
        <v>26</v>
      </c>
      <c r="F45" s="4">
        <v>5.6290456909308703E-4</v>
      </c>
      <c r="G45" s="2">
        <v>7</v>
      </c>
      <c r="H45" s="2">
        <f>L45+O45+G45*F45</f>
        <v>1570.8519403319835</v>
      </c>
      <c r="I45" s="2">
        <v>1876</v>
      </c>
      <c r="J45" s="2">
        <v>0.13300000000000001</v>
      </c>
      <c r="K45" s="2">
        <v>6</v>
      </c>
      <c r="L45" s="2">
        <f>I45*J45*K45</f>
        <v>1497.048</v>
      </c>
      <c r="M45" s="2">
        <v>1</v>
      </c>
      <c r="N45" s="2">
        <v>73.8</v>
      </c>
      <c r="O45" s="2">
        <f>M45*N45</f>
        <v>73.8</v>
      </c>
      <c r="P45" s="2">
        <f>H45/C45*100000</f>
        <v>0.47134314210107381</v>
      </c>
      <c r="Q45" s="7">
        <f t="shared" si="4"/>
        <v>0.47023406351921482</v>
      </c>
      <c r="R45" s="2" t="s">
        <v>70</v>
      </c>
      <c r="S45" s="2" t="s">
        <v>28</v>
      </c>
      <c r="T45" s="2" t="s">
        <v>29</v>
      </c>
    </row>
    <row r="46" spans="1:20" x14ac:dyDescent="0.3">
      <c r="A46" s="2" t="s">
        <v>20</v>
      </c>
      <c r="B46" s="2" t="s">
        <v>21</v>
      </c>
      <c r="C46" s="2">
        <v>333271411</v>
      </c>
      <c r="D46" s="2">
        <v>2022</v>
      </c>
      <c r="E46" s="2" t="s">
        <v>30</v>
      </c>
      <c r="F46" s="4">
        <v>1.9413606407421501E-4</v>
      </c>
      <c r="G46" s="2">
        <v>7</v>
      </c>
      <c r="H46" s="2">
        <f>L46+O46+G46*F46</f>
        <v>48191.107358952439</v>
      </c>
      <c r="I46" s="2">
        <v>647</v>
      </c>
      <c r="J46" s="2">
        <v>0.13300000000000001</v>
      </c>
      <c r="K46" s="2">
        <v>6</v>
      </c>
      <c r="L46" s="2">
        <f>I46*J46*K46</f>
        <v>516.30600000000004</v>
      </c>
      <c r="M46" s="2">
        <v>646</v>
      </c>
      <c r="N46" s="2">
        <v>73.8</v>
      </c>
      <c r="O46" s="2">
        <f>M46*N46</f>
        <v>47674.799999999996</v>
      </c>
      <c r="P46" s="2">
        <f>H46/C46*100000</f>
        <v>14.460018401924202</v>
      </c>
      <c r="Q46" s="7">
        <f t="shared" si="4"/>
        <v>13.463178800542019</v>
      </c>
      <c r="R46" s="2" t="s">
        <v>71</v>
      </c>
      <c r="S46" s="2" t="s">
        <v>28</v>
      </c>
      <c r="T46" s="2" t="s">
        <v>32</v>
      </c>
    </row>
    <row r="47" spans="1:20" x14ac:dyDescent="0.3">
      <c r="A47" s="2" t="s">
        <v>20</v>
      </c>
      <c r="B47" s="2" t="s">
        <v>21</v>
      </c>
      <c r="C47" s="2">
        <v>333271411</v>
      </c>
      <c r="D47" s="2">
        <v>2022</v>
      </c>
      <c r="E47" s="2" t="s">
        <v>33</v>
      </c>
      <c r="F47" s="4">
        <v>2.1604013312741099E-5</v>
      </c>
      <c r="G47" s="2">
        <v>8</v>
      </c>
      <c r="H47" s="2">
        <f>L47+O47+G47*F47</f>
        <v>288.43217283210652</v>
      </c>
      <c r="I47" s="2">
        <v>72</v>
      </c>
      <c r="J47" s="2">
        <v>0.13300000000000001</v>
      </c>
      <c r="K47" s="2">
        <v>7</v>
      </c>
      <c r="L47" s="2">
        <f>I47*J47*K47</f>
        <v>67.032000000000011</v>
      </c>
      <c r="M47" s="2">
        <v>3</v>
      </c>
      <c r="N47" s="2">
        <v>73.8</v>
      </c>
      <c r="O47" s="2">
        <f>M47*N47</f>
        <v>221.39999999999998</v>
      </c>
      <c r="P47" s="2">
        <f>H47/C47*100000</f>
        <v>8.6545729190106405E-2</v>
      </c>
      <c r="Q47" s="7">
        <f t="shared" si="4"/>
        <v>8.6508289175590836E-2</v>
      </c>
      <c r="R47" s="2" t="s">
        <v>72</v>
      </c>
      <c r="S47" s="2" t="s">
        <v>35</v>
      </c>
      <c r="T47" s="2" t="s">
        <v>36</v>
      </c>
    </row>
    <row r="48" spans="1:20" x14ac:dyDescent="0.3">
      <c r="A48" s="2" t="s">
        <v>20</v>
      </c>
      <c r="B48" s="2" t="s">
        <v>21</v>
      </c>
      <c r="C48" s="2">
        <v>333271411</v>
      </c>
      <c r="D48" s="2">
        <v>2022</v>
      </c>
      <c r="E48" s="2" t="s">
        <v>37</v>
      </c>
      <c r="F48" s="4" t="s">
        <v>29</v>
      </c>
      <c r="G48" s="2">
        <v>6</v>
      </c>
      <c r="H48" s="2" t="s">
        <v>29</v>
      </c>
      <c r="I48" s="2" t="s">
        <v>29</v>
      </c>
      <c r="J48" s="2">
        <v>0.128</v>
      </c>
      <c r="K48" s="2">
        <v>5</v>
      </c>
      <c r="L48" s="2" t="s">
        <v>29</v>
      </c>
      <c r="M48" s="2" t="s">
        <v>29</v>
      </c>
      <c r="N48" s="2">
        <v>73.8</v>
      </c>
      <c r="O48" s="2" t="s">
        <v>29</v>
      </c>
      <c r="P48" s="2" t="s">
        <v>29</v>
      </c>
      <c r="Q48" s="7" t="e">
        <f t="shared" si="4"/>
        <v>#VALUE!</v>
      </c>
      <c r="R48" s="2" t="s">
        <v>38</v>
      </c>
      <c r="S48" s="2" t="s">
        <v>39</v>
      </c>
      <c r="T48" s="2" t="s">
        <v>40</v>
      </c>
    </row>
    <row r="49" spans="1:20" x14ac:dyDescent="0.3">
      <c r="A49" s="2" t="s">
        <v>20</v>
      </c>
      <c r="B49" s="2" t="s">
        <v>21</v>
      </c>
      <c r="C49" s="2">
        <v>333271411</v>
      </c>
      <c r="D49" s="2">
        <v>2022</v>
      </c>
      <c r="E49" s="2" t="s">
        <v>41</v>
      </c>
      <c r="F49" s="4">
        <v>2.1303957572286298E-5</v>
      </c>
      <c r="G49" s="2">
        <v>6</v>
      </c>
      <c r="H49" s="2">
        <f>L49+O49+G49*F49</f>
        <v>12284.880127823744</v>
      </c>
      <c r="I49" s="2">
        <v>71</v>
      </c>
      <c r="J49" s="2">
        <v>0.12</v>
      </c>
      <c r="K49" s="2">
        <v>4</v>
      </c>
      <c r="L49" s="2">
        <f>I49*J49*K49</f>
        <v>34.08</v>
      </c>
      <c r="M49" s="2">
        <v>166</v>
      </c>
      <c r="N49" s="2">
        <v>73.8</v>
      </c>
      <c r="O49" s="2">
        <f>M49*N49</f>
        <v>12250.8</v>
      </c>
      <c r="P49" s="2">
        <f>H49/C49*100000</f>
        <v>3.6861488031518386</v>
      </c>
      <c r="Q49" s="7">
        <f t="shared" si="4"/>
        <v>3.6190374727698038</v>
      </c>
      <c r="R49" s="2" t="s">
        <v>73</v>
      </c>
      <c r="S49" s="2" t="s">
        <v>43</v>
      </c>
      <c r="T49" s="2" t="s">
        <v>44</v>
      </c>
    </row>
    <row r="50" spans="1:20" x14ac:dyDescent="0.3">
      <c r="A50" s="2" t="s">
        <v>20</v>
      </c>
      <c r="B50" s="2" t="s">
        <v>21</v>
      </c>
      <c r="C50" s="2">
        <v>334914895</v>
      </c>
      <c r="D50" s="2">
        <v>2023</v>
      </c>
      <c r="E50" s="2" t="s">
        <v>22</v>
      </c>
      <c r="F50" s="4">
        <v>2.3877409214660299E-2</v>
      </c>
      <c r="G50" s="2">
        <v>9</v>
      </c>
      <c r="H50" s="2">
        <f>L50+O50+G50*F50</f>
        <v>3533613.6308966829</v>
      </c>
      <c r="I50" s="2">
        <v>79969</v>
      </c>
      <c r="J50" s="2">
        <v>0.13300000000000001</v>
      </c>
      <c r="K50" s="2">
        <v>8</v>
      </c>
      <c r="L50" s="2">
        <f>I50*J50*K50</f>
        <v>85087.016000000003</v>
      </c>
      <c r="M50" s="2">
        <v>46728</v>
      </c>
      <c r="N50" s="2">
        <v>73.8</v>
      </c>
      <c r="O50" s="2">
        <f>M50*N50</f>
        <v>3448526.4</v>
      </c>
      <c r="P50" s="2">
        <f>H50/C50*100000</f>
        <v>1055.0780761472802</v>
      </c>
      <c r="Q50" s="7">
        <f t="shared" si="4"/>
        <v>99.997382696201143</v>
      </c>
      <c r="R50" s="2" t="s">
        <v>23</v>
      </c>
      <c r="S50" s="2" t="s">
        <v>24</v>
      </c>
      <c r="T50" s="2" t="s">
        <v>36</v>
      </c>
    </row>
    <row r="51" spans="1:20" x14ac:dyDescent="0.3">
      <c r="A51" s="2" t="s">
        <v>20</v>
      </c>
      <c r="B51" s="2" t="s">
        <v>21</v>
      </c>
      <c r="C51" s="2">
        <v>334914895</v>
      </c>
      <c r="D51" s="2">
        <v>2023</v>
      </c>
      <c r="E51" s="2" t="s">
        <v>26</v>
      </c>
      <c r="F51" s="4">
        <v>4.9385680502504997E-4</v>
      </c>
      <c r="G51" s="2">
        <v>7</v>
      </c>
      <c r="H51" s="2">
        <f>L51+O51+G51*F51</f>
        <v>1319.8954569976352</v>
      </c>
      <c r="I51" s="2">
        <v>1654</v>
      </c>
      <c r="J51" s="2">
        <v>0.13300000000000001</v>
      </c>
      <c r="K51" s="2">
        <v>6</v>
      </c>
      <c r="L51" s="2">
        <f>I51*J51*K51</f>
        <v>1319.8920000000001</v>
      </c>
      <c r="M51" s="2">
        <v>0</v>
      </c>
      <c r="N51" s="2">
        <v>73.8</v>
      </c>
      <c r="O51" s="2">
        <f>M51*N51</f>
        <v>0</v>
      </c>
      <c r="P51" s="2">
        <f>H51/C51*100000</f>
        <v>0.39409876261180771</v>
      </c>
      <c r="Q51" s="7">
        <f t="shared" si="4"/>
        <v>0.3933232125838737</v>
      </c>
      <c r="R51" s="2" t="s">
        <v>74</v>
      </c>
      <c r="S51" s="2" t="s">
        <v>28</v>
      </c>
      <c r="T51" s="2" t="s">
        <v>29</v>
      </c>
    </row>
    <row r="52" spans="1:20" x14ac:dyDescent="0.3">
      <c r="A52" s="2" t="s">
        <v>20</v>
      </c>
      <c r="B52" s="2" t="s">
        <v>21</v>
      </c>
      <c r="C52" s="2">
        <v>334914895</v>
      </c>
      <c r="D52" s="2">
        <v>2023</v>
      </c>
      <c r="E52" s="2" t="s">
        <v>30</v>
      </c>
      <c r="F52" s="4">
        <v>1.8273298952559299E-4</v>
      </c>
      <c r="G52" s="2">
        <v>7</v>
      </c>
      <c r="H52" s="2">
        <f>L52+O52+G52*F52</f>
        <v>44620.777279130925</v>
      </c>
      <c r="I52" s="2">
        <v>612</v>
      </c>
      <c r="J52" s="2">
        <v>0.13300000000000001</v>
      </c>
      <c r="K52" s="2">
        <v>6</v>
      </c>
      <c r="L52" s="2">
        <f>I52*J52*K52</f>
        <v>488.37599999999998</v>
      </c>
      <c r="M52" s="2">
        <v>598</v>
      </c>
      <c r="N52" s="2">
        <v>73.8</v>
      </c>
      <c r="O52" s="2">
        <f>M52*N52</f>
        <v>44132.4</v>
      </c>
      <c r="P52" s="2">
        <f>H52/C52*100000</f>
        <v>13.323019652240587</v>
      </c>
      <c r="Q52" s="7">
        <f t="shared" si="4"/>
        <v>12.473641371706002</v>
      </c>
      <c r="R52" s="2" t="s">
        <v>75</v>
      </c>
      <c r="S52" s="2" t="s">
        <v>28</v>
      </c>
      <c r="T52" s="2" t="s">
        <v>32</v>
      </c>
    </row>
    <row r="53" spans="1:20" x14ac:dyDescent="0.3">
      <c r="A53" s="2" t="s">
        <v>20</v>
      </c>
      <c r="B53" s="2" t="s">
        <v>21</v>
      </c>
      <c r="C53" s="2">
        <v>334914895</v>
      </c>
      <c r="D53" s="2">
        <v>2023</v>
      </c>
      <c r="E53" s="2" t="s">
        <v>33</v>
      </c>
      <c r="F53" s="4">
        <v>2.03036655028436E-5</v>
      </c>
      <c r="G53" s="2">
        <v>8</v>
      </c>
      <c r="H53" s="2">
        <f>L53+O53+G53*F53</f>
        <v>358.50816242932399</v>
      </c>
      <c r="I53" s="2">
        <v>68</v>
      </c>
      <c r="J53" s="2">
        <v>0.13300000000000001</v>
      </c>
      <c r="K53" s="2">
        <v>7</v>
      </c>
      <c r="L53" s="2">
        <f>I53*J53*K53</f>
        <v>63.308000000000007</v>
      </c>
      <c r="M53" s="2">
        <v>4</v>
      </c>
      <c r="N53" s="2">
        <v>73.8</v>
      </c>
      <c r="O53" s="2">
        <f>M53*N53</f>
        <v>295.2</v>
      </c>
      <c r="P53" s="2">
        <f>H53/C53*100000</f>
        <v>0.10704455602947249</v>
      </c>
      <c r="Q53" s="7">
        <f t="shared" si="4"/>
        <v>0.10698728378202293</v>
      </c>
      <c r="R53" s="2" t="s">
        <v>76</v>
      </c>
      <c r="S53" s="2" t="s">
        <v>35</v>
      </c>
      <c r="T53" s="2" t="s">
        <v>36</v>
      </c>
    </row>
    <row r="54" spans="1:20" x14ac:dyDescent="0.3">
      <c r="A54" s="2" t="s">
        <v>20</v>
      </c>
      <c r="B54" s="2" t="s">
        <v>21</v>
      </c>
      <c r="C54" s="2">
        <v>334914895</v>
      </c>
      <c r="D54" s="2">
        <v>2023</v>
      </c>
      <c r="E54" s="2" t="s">
        <v>37</v>
      </c>
      <c r="F54" s="4" t="s">
        <v>29</v>
      </c>
      <c r="G54" s="2">
        <v>6</v>
      </c>
      <c r="H54" s="2" t="s">
        <v>29</v>
      </c>
      <c r="I54" s="2" t="s">
        <v>29</v>
      </c>
      <c r="J54" s="2">
        <v>0.128</v>
      </c>
      <c r="K54" s="2">
        <v>5</v>
      </c>
      <c r="L54" s="2" t="s">
        <v>29</v>
      </c>
      <c r="M54" s="2" t="s">
        <v>29</v>
      </c>
      <c r="N54" s="2">
        <v>73.8</v>
      </c>
      <c r="O54" s="2" t="s">
        <v>29</v>
      </c>
      <c r="P54" s="2" t="s">
        <v>29</v>
      </c>
      <c r="Q54" s="7" t="e">
        <f t="shared" si="4"/>
        <v>#VALUE!</v>
      </c>
      <c r="R54" s="2" t="s">
        <v>38</v>
      </c>
      <c r="S54" s="2" t="s">
        <v>39</v>
      </c>
      <c r="T54" s="2" t="s">
        <v>40</v>
      </c>
    </row>
    <row r="55" spans="1:20" x14ac:dyDescent="0.3">
      <c r="A55" s="2" t="s">
        <v>20</v>
      </c>
      <c r="B55" s="2" t="s">
        <v>21</v>
      </c>
      <c r="C55" s="2">
        <v>334914895</v>
      </c>
      <c r="D55" s="2">
        <v>2023</v>
      </c>
      <c r="E55" s="2" t="s">
        <v>41</v>
      </c>
      <c r="F55" s="4">
        <v>2.03036655028436E-5</v>
      </c>
      <c r="G55" s="2">
        <v>6</v>
      </c>
      <c r="H55" s="2">
        <f>L55+O55+G55*F55</f>
        <v>6822.2401218219929</v>
      </c>
      <c r="I55" s="2">
        <v>68</v>
      </c>
      <c r="J55" s="2">
        <v>0.12</v>
      </c>
      <c r="K55" s="2">
        <v>4</v>
      </c>
      <c r="L55" s="2">
        <f>I55*J55*K55</f>
        <v>32.64</v>
      </c>
      <c r="M55" s="2">
        <v>92</v>
      </c>
      <c r="N55" s="2">
        <v>73.8</v>
      </c>
      <c r="O55" s="2">
        <f>M55*N55</f>
        <v>6789.5999999999995</v>
      </c>
      <c r="P55" s="2">
        <f>H55/C55*100000</f>
        <v>2.0370070796110733</v>
      </c>
      <c r="Q55" s="7">
        <f t="shared" si="4"/>
        <v>2.0164002484623467</v>
      </c>
      <c r="R55" s="2" t="s">
        <v>77</v>
      </c>
      <c r="S55" s="2" t="s">
        <v>43</v>
      </c>
      <c r="T55" s="2" t="s">
        <v>44</v>
      </c>
    </row>
    <row r="56" spans="1:20" x14ac:dyDescent="0.3">
      <c r="A56" s="2" t="s">
        <v>20</v>
      </c>
      <c r="B56" s="2" t="s">
        <v>21</v>
      </c>
      <c r="C56" s="2">
        <v>336597624</v>
      </c>
      <c r="D56" s="2">
        <v>2024</v>
      </c>
      <c r="E56" s="2" t="s">
        <v>22</v>
      </c>
      <c r="F56" s="4">
        <v>1.54594079962965E-2</v>
      </c>
      <c r="G56" s="2">
        <v>9</v>
      </c>
      <c r="H56" s="2">
        <f>L56+O56+G56*F56</f>
        <v>3335555.0431346721</v>
      </c>
      <c r="I56" s="2">
        <v>52036</v>
      </c>
      <c r="J56" s="2">
        <v>0.13300000000000001</v>
      </c>
      <c r="K56" s="2">
        <v>8</v>
      </c>
      <c r="L56" s="2">
        <f>I56*J56*K56</f>
        <v>55366.304000000004</v>
      </c>
      <c r="M56" s="2">
        <v>44447</v>
      </c>
      <c r="N56" s="2">
        <v>73.8</v>
      </c>
      <c r="O56" s="2">
        <f>M56*N56</f>
        <v>3280188.6</v>
      </c>
      <c r="P56" s="2">
        <f>H56/C56*100000</f>
        <v>990.96214747335</v>
      </c>
      <c r="Q56" s="7">
        <f t="shared" si="4"/>
        <v>99.995030575740515</v>
      </c>
      <c r="R56" s="2" t="s">
        <v>23</v>
      </c>
      <c r="S56" s="2" t="s">
        <v>24</v>
      </c>
      <c r="T56" s="2" t="s">
        <v>36</v>
      </c>
    </row>
    <row r="57" spans="1:20" x14ac:dyDescent="0.3">
      <c r="A57" s="2" t="s">
        <v>20</v>
      </c>
      <c r="B57" s="2" t="s">
        <v>21</v>
      </c>
      <c r="C57" s="2">
        <v>336597624</v>
      </c>
      <c r="D57" s="2">
        <v>2024</v>
      </c>
      <c r="E57" s="2" t="s">
        <v>26</v>
      </c>
      <c r="F57" s="4">
        <v>6.24484503194235E-4</v>
      </c>
      <c r="G57" s="2">
        <v>7</v>
      </c>
      <c r="H57" s="2">
        <f>L57+O57+G57*F57</f>
        <v>1751.2003713915226</v>
      </c>
      <c r="I57" s="2">
        <v>2102</v>
      </c>
      <c r="J57" s="2">
        <v>0.13300000000000001</v>
      </c>
      <c r="K57" s="2">
        <v>6</v>
      </c>
      <c r="L57" s="2">
        <f>I57*J57*K57</f>
        <v>1677.3960000000002</v>
      </c>
      <c r="M57" s="2">
        <v>1</v>
      </c>
      <c r="N57" s="2">
        <v>73.8</v>
      </c>
      <c r="O57" s="2">
        <f>M57*N57</f>
        <v>73.8</v>
      </c>
      <c r="P57" s="2">
        <f>H57/C57*100000</f>
        <v>0.52026522070504055</v>
      </c>
      <c r="Q57" s="7">
        <f t="shared" si="4"/>
        <v>0.51891418521039512</v>
      </c>
      <c r="R57" s="2" t="s">
        <v>78</v>
      </c>
      <c r="S57" s="2" t="s">
        <v>28</v>
      </c>
      <c r="T57" s="2" t="s">
        <v>29</v>
      </c>
    </row>
    <row r="58" spans="1:20" x14ac:dyDescent="0.3">
      <c r="A58" s="2" t="s">
        <v>20</v>
      </c>
      <c r="B58" s="2" t="s">
        <v>21</v>
      </c>
      <c r="C58" s="2">
        <v>336597624</v>
      </c>
      <c r="D58" s="2">
        <v>2024</v>
      </c>
      <c r="E58" s="2" t="s">
        <v>30</v>
      </c>
      <c r="F58" s="4">
        <v>1.7231256510592599E-4</v>
      </c>
      <c r="G58" s="2">
        <v>7</v>
      </c>
      <c r="H58" s="2">
        <f>L58+O58+G58*F58</f>
        <v>41790.84120618795</v>
      </c>
      <c r="I58" s="2">
        <v>580</v>
      </c>
      <c r="J58" s="2">
        <v>0.13300000000000001</v>
      </c>
      <c r="K58" s="2">
        <v>6</v>
      </c>
      <c r="L58" s="2">
        <f>I58*J58*K58</f>
        <v>462.84000000000003</v>
      </c>
      <c r="M58" s="2">
        <v>560</v>
      </c>
      <c r="N58" s="2">
        <v>73.8</v>
      </c>
      <c r="O58" s="2">
        <f>M58*N58</f>
        <v>41328</v>
      </c>
      <c r="P58" s="2">
        <f>H58/C58*100000</f>
        <v>12.415667320987373</v>
      </c>
      <c r="Q58" s="7">
        <f t="shared" si="4"/>
        <v>11.675855023108483</v>
      </c>
      <c r="R58" s="2" t="s">
        <v>79</v>
      </c>
      <c r="S58" s="2" t="s">
        <v>28</v>
      </c>
      <c r="T58" s="2" t="s">
        <v>32</v>
      </c>
    </row>
    <row r="59" spans="1:20" x14ac:dyDescent="0.3">
      <c r="A59" s="2" t="s">
        <v>20</v>
      </c>
      <c r="B59" s="2" t="s">
        <v>21</v>
      </c>
      <c r="C59" s="2">
        <v>336597624</v>
      </c>
      <c r="D59" s="2">
        <v>2024</v>
      </c>
      <c r="E59" s="2" t="s">
        <v>33</v>
      </c>
      <c r="F59" s="4">
        <v>2.19847065824802E-5</v>
      </c>
      <c r="G59" s="2">
        <v>8</v>
      </c>
      <c r="H59" s="2">
        <f>L59+O59+G59*F59</f>
        <v>216.49417587765265</v>
      </c>
      <c r="I59" s="2">
        <v>74</v>
      </c>
      <c r="J59" s="2">
        <v>0.13300000000000001</v>
      </c>
      <c r="K59" s="2">
        <v>7</v>
      </c>
      <c r="L59" s="2">
        <f>I59*J59*K59</f>
        <v>68.894000000000005</v>
      </c>
      <c r="M59" s="2">
        <v>2</v>
      </c>
      <c r="N59" s="2">
        <v>73.8</v>
      </c>
      <c r="O59" s="2">
        <f>M59*N59</f>
        <v>147.6</v>
      </c>
      <c r="P59" s="2">
        <f>H59/C59*100000</f>
        <v>6.4318390993054864E-2</v>
      </c>
      <c r="Q59" s="7">
        <f t="shared" si="4"/>
        <v>6.4297711149841064E-2</v>
      </c>
      <c r="R59" s="2" t="s">
        <v>80</v>
      </c>
      <c r="S59" s="2" t="s">
        <v>35</v>
      </c>
      <c r="T59" s="2" t="s">
        <v>36</v>
      </c>
    </row>
    <row r="60" spans="1:20" x14ac:dyDescent="0.3">
      <c r="A60" s="2" t="s">
        <v>20</v>
      </c>
      <c r="B60" s="2" t="s">
        <v>21</v>
      </c>
      <c r="C60" s="2">
        <v>336597624</v>
      </c>
      <c r="D60" s="2">
        <v>2024</v>
      </c>
      <c r="E60" s="2" t="s">
        <v>37</v>
      </c>
      <c r="F60" s="4" t="s">
        <v>29</v>
      </c>
      <c r="G60" s="2">
        <v>6</v>
      </c>
      <c r="H60" s="2" t="s">
        <v>29</v>
      </c>
      <c r="I60" s="2" t="s">
        <v>29</v>
      </c>
      <c r="J60" s="2">
        <v>0.128</v>
      </c>
      <c r="K60" s="2">
        <v>5</v>
      </c>
      <c r="L60" s="2" t="s">
        <v>29</v>
      </c>
      <c r="M60" s="2" t="s">
        <v>29</v>
      </c>
      <c r="N60" s="2">
        <v>73.8</v>
      </c>
      <c r="O60" s="2" t="s">
        <v>29</v>
      </c>
      <c r="P60" s="2" t="s">
        <v>29</v>
      </c>
      <c r="Q60" s="7" t="e">
        <f t="shared" si="4"/>
        <v>#VALUE!</v>
      </c>
      <c r="R60" s="2" t="s">
        <v>38</v>
      </c>
      <c r="S60" s="2" t="s">
        <v>39</v>
      </c>
      <c r="T60" s="2" t="s">
        <v>40</v>
      </c>
    </row>
    <row r="61" spans="1:20" x14ac:dyDescent="0.3">
      <c r="A61" s="2" t="s">
        <v>20</v>
      </c>
      <c r="B61" s="2" t="s">
        <v>21</v>
      </c>
      <c r="C61" s="2">
        <v>336597624</v>
      </c>
      <c r="D61" s="2">
        <v>2024</v>
      </c>
      <c r="E61" s="2" t="s">
        <v>41</v>
      </c>
      <c r="F61" s="4">
        <v>2.2281797211973199E-5</v>
      </c>
      <c r="G61" s="2">
        <v>6</v>
      </c>
      <c r="H61" s="2">
        <f>L61+O61+G61*F61</f>
        <v>8154.0001336907835</v>
      </c>
      <c r="I61" s="2">
        <v>75</v>
      </c>
      <c r="J61" s="2">
        <v>0.12</v>
      </c>
      <c r="K61" s="2">
        <v>4</v>
      </c>
      <c r="L61" s="2">
        <f>I61*J61*K61</f>
        <v>36</v>
      </c>
      <c r="M61" s="2">
        <v>110</v>
      </c>
      <c r="N61" s="2">
        <v>73.8</v>
      </c>
      <c r="O61" s="2">
        <f>M61*N61</f>
        <v>8118</v>
      </c>
      <c r="P61" s="2">
        <f>H61/C61*100000</f>
        <v>2.4224770326040042</v>
      </c>
      <c r="Q61" s="7">
        <f t="shared" si="4"/>
        <v>2.3933705639422209</v>
      </c>
      <c r="R61" s="2" t="s">
        <v>81</v>
      </c>
      <c r="S61" s="2" t="s">
        <v>43</v>
      </c>
      <c r="T61" s="2" t="s">
        <v>44</v>
      </c>
    </row>
    <row r="62" spans="1:20" x14ac:dyDescent="0.3">
      <c r="A62" s="2" t="s">
        <v>20</v>
      </c>
      <c r="B62" s="2" t="s">
        <v>21</v>
      </c>
      <c r="C62" s="2">
        <v>338289857</v>
      </c>
      <c r="D62" s="2">
        <v>2025</v>
      </c>
      <c r="E62" s="2" t="s">
        <v>22</v>
      </c>
      <c r="F62" s="4">
        <v>1.30089623112762E-2</v>
      </c>
      <c r="G62" s="2">
        <v>9</v>
      </c>
      <c r="H62" s="2">
        <f>L62+O62+G62*F62</f>
        <v>2913069.029080661</v>
      </c>
      <c r="I62" s="2">
        <v>44008</v>
      </c>
      <c r="J62" s="2">
        <v>0.13300000000000001</v>
      </c>
      <c r="K62" s="2">
        <v>8</v>
      </c>
      <c r="L62" s="2">
        <f>I62*J62*K62</f>
        <v>46824.512000000002</v>
      </c>
      <c r="M62" s="2">
        <v>38838</v>
      </c>
      <c r="N62" s="2">
        <v>73.8</v>
      </c>
      <c r="O62" s="2">
        <f>M62*N62</f>
        <v>2866244.4</v>
      </c>
      <c r="P62" s="2">
        <f>H62/C62*100000</f>
        <v>861.1162790732626</v>
      </c>
      <c r="Q62" s="7">
        <f t="shared" si="4"/>
        <v>99.981793791282399</v>
      </c>
      <c r="R62" s="2" t="s">
        <v>23</v>
      </c>
      <c r="S62" s="2" t="s">
        <v>24</v>
      </c>
      <c r="T62" s="2" t="s">
        <v>36</v>
      </c>
    </row>
    <row r="63" spans="1:20" x14ac:dyDescent="0.3">
      <c r="A63" s="2" t="s">
        <v>20</v>
      </c>
      <c r="B63" s="2" t="s">
        <v>21</v>
      </c>
      <c r="C63" s="2">
        <v>338289857</v>
      </c>
      <c r="D63" s="2">
        <v>2025</v>
      </c>
      <c r="E63" s="2" t="s">
        <v>26</v>
      </c>
      <c r="F63" s="4">
        <v>5.3208807853792704E-4</v>
      </c>
      <c r="G63" s="2">
        <v>7</v>
      </c>
      <c r="H63" s="2">
        <f>L63+O63+G63*F63</f>
        <v>1510.2037246165498</v>
      </c>
      <c r="I63" s="2">
        <v>1800</v>
      </c>
      <c r="J63" s="2">
        <v>0.13300000000000001</v>
      </c>
      <c r="K63" s="2">
        <v>6</v>
      </c>
      <c r="L63" s="2">
        <f>I63*J63*K63</f>
        <v>1436.4</v>
      </c>
      <c r="M63" s="2">
        <v>1</v>
      </c>
      <c r="N63" s="2">
        <v>73.8</v>
      </c>
      <c r="O63" s="2">
        <f>M63*N63</f>
        <v>73.8</v>
      </c>
      <c r="P63" s="2">
        <f>H63/C63*100000</f>
        <v>0.44642299890668902</v>
      </c>
      <c r="Q63" s="7">
        <f t="shared" si="4"/>
        <v>0.44542801260347709</v>
      </c>
      <c r="R63" s="2" t="s">
        <v>82</v>
      </c>
      <c r="S63" s="2" t="s">
        <v>28</v>
      </c>
      <c r="T63" s="2" t="s">
        <v>29</v>
      </c>
    </row>
    <row r="64" spans="1:20" x14ac:dyDescent="0.3">
      <c r="A64" s="2" t="s">
        <v>20</v>
      </c>
      <c r="B64" s="2" t="s">
        <v>21</v>
      </c>
      <c r="C64" s="2">
        <v>338289857</v>
      </c>
      <c r="D64" s="2">
        <v>2025</v>
      </c>
      <c r="E64" s="2" t="s">
        <v>30</v>
      </c>
      <c r="F64" s="4">
        <v>1.53714333799846E-4</v>
      </c>
      <c r="G64" s="2">
        <v>7</v>
      </c>
      <c r="H64" s="2">
        <f>L64+O64+G64*F64</f>
        <v>37314.961076000334</v>
      </c>
      <c r="I64" s="2">
        <v>520</v>
      </c>
      <c r="J64" s="2">
        <v>0.13300000000000001</v>
      </c>
      <c r="K64" s="2">
        <v>6</v>
      </c>
      <c r="L64" s="2">
        <f>I64*J64*K64</f>
        <v>414.96</v>
      </c>
      <c r="M64" s="2">
        <v>500</v>
      </c>
      <c r="N64" s="2">
        <v>73.8</v>
      </c>
      <c r="O64" s="2">
        <f>M64*N64</f>
        <v>36900</v>
      </c>
      <c r="P64" s="2">
        <f>H64/C64*100000</f>
        <v>11.030469966470303</v>
      </c>
      <c r="Q64" s="7">
        <f t="shared" si="4"/>
        <v>10.443878348288427</v>
      </c>
      <c r="R64" s="2" t="s">
        <v>83</v>
      </c>
      <c r="S64" s="2" t="s">
        <v>28</v>
      </c>
      <c r="T64" s="2" t="s">
        <v>32</v>
      </c>
    </row>
    <row r="65" spans="1:20" x14ac:dyDescent="0.3">
      <c r="A65" s="2" t="s">
        <v>20</v>
      </c>
      <c r="B65" s="2" t="s">
        <v>21</v>
      </c>
      <c r="C65" s="2">
        <v>338289857</v>
      </c>
      <c r="D65" s="2">
        <v>2025</v>
      </c>
      <c r="E65" s="2" t="s">
        <v>33</v>
      </c>
      <c r="F65" s="4">
        <v>1.7736269284597599E-5</v>
      </c>
      <c r="G65" s="2">
        <v>8</v>
      </c>
      <c r="H65" s="2">
        <f>L65+O65+G65*F65</f>
        <v>203.46014189015426</v>
      </c>
      <c r="I65" s="2">
        <v>60</v>
      </c>
      <c r="J65" s="2">
        <v>0.13300000000000001</v>
      </c>
      <c r="K65" s="2">
        <v>7</v>
      </c>
      <c r="L65" s="2">
        <f>I65*J65*K65</f>
        <v>55.86</v>
      </c>
      <c r="M65" s="2">
        <v>2</v>
      </c>
      <c r="N65" s="2">
        <v>73.8</v>
      </c>
      <c r="O65" s="2">
        <f>M65*N65</f>
        <v>147.6</v>
      </c>
      <c r="P65" s="2">
        <f>H65/C65*100000</f>
        <v>6.014373108743673E-2</v>
      </c>
      <c r="Q65" s="7">
        <f t="shared" si="4"/>
        <v>6.012564837087897E-2</v>
      </c>
      <c r="R65" s="2" t="s">
        <v>84</v>
      </c>
      <c r="S65" s="2" t="s">
        <v>35</v>
      </c>
      <c r="T65" s="2" t="s">
        <v>36</v>
      </c>
    </row>
    <row r="66" spans="1:20" x14ac:dyDescent="0.3">
      <c r="A66" s="2" t="s">
        <v>20</v>
      </c>
      <c r="B66" s="2" t="s">
        <v>21</v>
      </c>
      <c r="C66" s="2">
        <v>338289857</v>
      </c>
      <c r="D66" s="2">
        <v>2025</v>
      </c>
      <c r="E66" s="2" t="s">
        <v>37</v>
      </c>
      <c r="F66" s="4" t="s">
        <v>29</v>
      </c>
      <c r="G66" s="2">
        <v>6</v>
      </c>
      <c r="H66" s="2" t="s">
        <v>29</v>
      </c>
      <c r="I66" s="2" t="s">
        <v>29</v>
      </c>
      <c r="J66" s="2">
        <v>0.128</v>
      </c>
      <c r="K66" s="2">
        <v>5</v>
      </c>
      <c r="L66" s="2" t="s">
        <v>29</v>
      </c>
      <c r="M66" s="2" t="s">
        <v>29</v>
      </c>
      <c r="N66" s="2">
        <v>73.8</v>
      </c>
      <c r="O66" s="2" t="s">
        <v>29</v>
      </c>
      <c r="P66" s="2" t="s">
        <v>29</v>
      </c>
      <c r="Q66" s="7" t="e">
        <f t="shared" ref="Q66:Q129" si="5">100*(1-EXP(-P66/100))</f>
        <v>#VALUE!</v>
      </c>
      <c r="R66" s="2" t="s">
        <v>38</v>
      </c>
      <c r="S66" s="2" t="s">
        <v>39</v>
      </c>
      <c r="T66" s="2" t="s">
        <v>40</v>
      </c>
    </row>
    <row r="67" spans="1:20" x14ac:dyDescent="0.3">
      <c r="A67" s="2" t="s">
        <v>20</v>
      </c>
      <c r="B67" s="2" t="s">
        <v>21</v>
      </c>
      <c r="C67" s="2">
        <v>338289857</v>
      </c>
      <c r="D67" s="2">
        <v>2025</v>
      </c>
      <c r="E67" s="2" t="s">
        <v>41</v>
      </c>
      <c r="F67" s="4">
        <v>1.9214291724980699E-5</v>
      </c>
      <c r="G67" s="2">
        <v>6</v>
      </c>
      <c r="H67" s="2">
        <f>L67+O67+G67*F67</f>
        <v>7042.2001152857501</v>
      </c>
      <c r="I67" s="2">
        <v>65</v>
      </c>
      <c r="J67" s="2">
        <v>0.12</v>
      </c>
      <c r="K67" s="2">
        <v>4</v>
      </c>
      <c r="L67" s="2">
        <f>I67*J67*K67</f>
        <v>31.2</v>
      </c>
      <c r="M67" s="2">
        <v>95</v>
      </c>
      <c r="N67" s="2">
        <v>73.8</v>
      </c>
      <c r="O67" s="2">
        <f>M67*N67</f>
        <v>7011</v>
      </c>
      <c r="P67" s="2">
        <f>H67/C67*100000</f>
        <v>2.0817059600122003</v>
      </c>
      <c r="Q67" s="7">
        <f t="shared" si="5"/>
        <v>2.0601880334741196</v>
      </c>
      <c r="R67" s="2" t="s">
        <v>85</v>
      </c>
      <c r="S67" s="2" t="s">
        <v>43</v>
      </c>
      <c r="T67" s="2" t="s">
        <v>44</v>
      </c>
    </row>
    <row r="68" spans="1:20" x14ac:dyDescent="0.3">
      <c r="A68" s="2" t="s">
        <v>86</v>
      </c>
      <c r="B68" s="2" t="s">
        <v>87</v>
      </c>
      <c r="C68" s="2">
        <v>181137448</v>
      </c>
      <c r="D68" s="2">
        <v>2015</v>
      </c>
      <c r="E68" s="2" t="s">
        <v>22</v>
      </c>
      <c r="F68" s="4">
        <v>1.56455776057969E-3</v>
      </c>
      <c r="G68" s="2">
        <v>9</v>
      </c>
      <c r="H68" s="2">
        <f>L68+O68+G68*F68</f>
        <v>477549.39008101984</v>
      </c>
      <c r="I68" s="2">
        <v>2834</v>
      </c>
      <c r="J68" s="2">
        <v>0.13300000000000001</v>
      </c>
      <c r="K68" s="2">
        <v>8</v>
      </c>
      <c r="L68" s="2">
        <f>I68*J68*K68</f>
        <v>3015.3760000000002</v>
      </c>
      <c r="M68" s="2">
        <v>6430</v>
      </c>
      <c r="N68" s="2">
        <v>73.8</v>
      </c>
      <c r="O68" s="2">
        <f>M68*N68</f>
        <v>474534</v>
      </c>
      <c r="P68" s="2">
        <f>H68/C68*100000</f>
        <v>263.63923934769127</v>
      </c>
      <c r="Q68" s="7">
        <f t="shared" si="5"/>
        <v>92.838082212592113</v>
      </c>
      <c r="R68" s="2" t="s">
        <v>88</v>
      </c>
      <c r="S68" s="2" t="s">
        <v>28</v>
      </c>
      <c r="T68" s="2" t="s">
        <v>89</v>
      </c>
    </row>
    <row r="69" spans="1:20" x14ac:dyDescent="0.3">
      <c r="A69" s="2" t="s">
        <v>86</v>
      </c>
      <c r="B69" s="2" t="s">
        <v>87</v>
      </c>
      <c r="C69" s="2">
        <v>181137448</v>
      </c>
      <c r="D69" s="2">
        <v>2015</v>
      </c>
      <c r="E69" s="2" t="s">
        <v>26</v>
      </c>
      <c r="F69" s="4">
        <v>9.9372052542111595E-5</v>
      </c>
      <c r="G69" s="2">
        <v>7</v>
      </c>
      <c r="H69" s="2">
        <f>L69+O69+G69*F69</f>
        <v>1029.2406956043678</v>
      </c>
      <c r="I69" s="2">
        <v>180</v>
      </c>
      <c r="J69" s="2">
        <v>0.13300000000000001</v>
      </c>
      <c r="K69" s="2">
        <v>6</v>
      </c>
      <c r="L69" s="2">
        <f>I69*J69*K69</f>
        <v>143.64000000000001</v>
      </c>
      <c r="M69" s="2">
        <v>12</v>
      </c>
      <c r="N69" s="2">
        <v>73.8</v>
      </c>
      <c r="O69" s="2">
        <f>M69*N69</f>
        <v>885.59999999999991</v>
      </c>
      <c r="P69" s="2">
        <f>H69/C69*100000</f>
        <v>0.56820978045598158</v>
      </c>
      <c r="Q69" s="7">
        <f t="shared" si="5"/>
        <v>0.56659852190367177</v>
      </c>
      <c r="R69" s="2" t="s">
        <v>90</v>
      </c>
      <c r="S69" s="2" t="s">
        <v>28</v>
      </c>
      <c r="T69" s="2" t="s">
        <v>29</v>
      </c>
    </row>
    <row r="70" spans="1:20" x14ac:dyDescent="0.3">
      <c r="A70" s="2" t="s">
        <v>86</v>
      </c>
      <c r="B70" s="2" t="s">
        <v>87</v>
      </c>
      <c r="C70" s="2">
        <v>181137448</v>
      </c>
      <c r="D70" s="2">
        <v>2015</v>
      </c>
      <c r="E70" s="2" t="s">
        <v>30</v>
      </c>
      <c r="F70" s="4">
        <v>1.00476186459246E-3</v>
      </c>
      <c r="G70" s="2">
        <v>7</v>
      </c>
      <c r="H70" s="2">
        <f>L70+O70+G70*F70</f>
        <v>174144.36703333305</v>
      </c>
      <c r="I70" s="2">
        <v>1820</v>
      </c>
      <c r="J70" s="2">
        <v>0.13300000000000001</v>
      </c>
      <c r="K70" s="2">
        <v>6</v>
      </c>
      <c r="L70" s="2">
        <f>I70*J70*K70</f>
        <v>1452.3600000000001</v>
      </c>
      <c r="M70" s="2">
        <v>2340</v>
      </c>
      <c r="N70" s="2">
        <v>73.8</v>
      </c>
      <c r="O70" s="2">
        <f>M70*N70</f>
        <v>172692</v>
      </c>
      <c r="P70" s="2">
        <f>H70/C70*100000</f>
        <v>96.139351059717399</v>
      </c>
      <c r="Q70" s="7">
        <f t="shared" si="5"/>
        <v>61.764030772725675</v>
      </c>
      <c r="R70" s="2" t="s">
        <v>91</v>
      </c>
      <c r="S70" s="2" t="s">
        <v>28</v>
      </c>
      <c r="T70" s="2" t="s">
        <v>32</v>
      </c>
    </row>
    <row r="71" spans="1:20" x14ac:dyDescent="0.3">
      <c r="A71" s="2" t="s">
        <v>86</v>
      </c>
      <c r="B71" s="2" t="s">
        <v>87</v>
      </c>
      <c r="C71" s="2">
        <v>181137448</v>
      </c>
      <c r="D71" s="2">
        <v>2015</v>
      </c>
      <c r="E71" s="2" t="s">
        <v>33</v>
      </c>
      <c r="F71" s="4">
        <v>4.9133959312488496E-4</v>
      </c>
      <c r="G71" s="2">
        <v>8</v>
      </c>
      <c r="H71" s="2">
        <f>L71+O71+G71*F71</f>
        <v>92340.593930716743</v>
      </c>
      <c r="I71" s="2">
        <v>890</v>
      </c>
      <c r="J71" s="2">
        <v>0.13300000000000001</v>
      </c>
      <c r="K71" s="2">
        <v>7</v>
      </c>
      <c r="L71" s="2">
        <f>I71*J71*K71</f>
        <v>828.59</v>
      </c>
      <c r="M71" s="2">
        <v>1240</v>
      </c>
      <c r="N71" s="2">
        <v>73.8</v>
      </c>
      <c r="O71" s="2">
        <f>M71*N71</f>
        <v>91512</v>
      </c>
      <c r="P71" s="2">
        <f>H71/C71*100000</f>
        <v>50.978190843627623</v>
      </c>
      <c r="Q71" s="7">
        <f t="shared" si="5"/>
        <v>39.937344388593857</v>
      </c>
      <c r="R71" s="2" t="s">
        <v>92</v>
      </c>
      <c r="S71" s="2" t="s">
        <v>35</v>
      </c>
      <c r="T71" s="2" t="s">
        <v>36</v>
      </c>
    </row>
    <row r="72" spans="1:20" x14ac:dyDescent="0.3">
      <c r="A72" s="2" t="s">
        <v>86</v>
      </c>
      <c r="B72" s="2" t="s">
        <v>87</v>
      </c>
      <c r="C72" s="2">
        <v>181137448</v>
      </c>
      <c r="D72" s="2">
        <v>2015</v>
      </c>
      <c r="E72" s="2" t="s">
        <v>37</v>
      </c>
      <c r="F72" s="4" t="s">
        <v>29</v>
      </c>
      <c r="G72" s="2">
        <v>6</v>
      </c>
      <c r="H72" s="2" t="s">
        <v>29</v>
      </c>
      <c r="I72" s="2" t="s">
        <v>29</v>
      </c>
      <c r="J72" s="2">
        <v>0.128</v>
      </c>
      <c r="K72" s="2">
        <v>5</v>
      </c>
      <c r="L72" s="2" t="s">
        <v>29</v>
      </c>
      <c r="M72" s="2" t="s">
        <v>29</v>
      </c>
      <c r="N72" s="2">
        <v>73.8</v>
      </c>
      <c r="O72" s="2" t="s">
        <v>29</v>
      </c>
      <c r="P72" s="2" t="s">
        <v>29</v>
      </c>
      <c r="Q72" s="7" t="e">
        <f t="shared" si="5"/>
        <v>#VALUE!</v>
      </c>
      <c r="R72" s="2" t="s">
        <v>93</v>
      </c>
      <c r="S72" s="2" t="s">
        <v>39</v>
      </c>
      <c r="T72" s="2" t="s">
        <v>94</v>
      </c>
    </row>
    <row r="73" spans="1:20" x14ac:dyDescent="0.3">
      <c r="A73" s="2" t="s">
        <v>86</v>
      </c>
      <c r="B73" s="2" t="s">
        <v>87</v>
      </c>
      <c r="C73" s="2">
        <v>181137448</v>
      </c>
      <c r="D73" s="2">
        <v>2015</v>
      </c>
      <c r="E73" s="2" t="s">
        <v>41</v>
      </c>
      <c r="F73" s="4">
        <v>2.3186812259826E-5</v>
      </c>
      <c r="G73" s="2">
        <v>6</v>
      </c>
      <c r="H73" s="2">
        <f>L73+O73+G73*F73</f>
        <v>28064.160139120875</v>
      </c>
      <c r="I73" s="2">
        <v>42</v>
      </c>
      <c r="J73" s="2">
        <v>0.12</v>
      </c>
      <c r="K73" s="2">
        <v>4</v>
      </c>
      <c r="L73" s="2">
        <f>I73*J73*K73</f>
        <v>20.16</v>
      </c>
      <c r="M73" s="2">
        <v>380</v>
      </c>
      <c r="N73" s="2">
        <v>73.8</v>
      </c>
      <c r="O73" s="2">
        <f>M73*N73</f>
        <v>28044</v>
      </c>
      <c r="P73" s="2">
        <f>H73/C73*100000</f>
        <v>15.493295532749736</v>
      </c>
      <c r="Q73" s="7">
        <f t="shared" si="5"/>
        <v>14.352740251645479</v>
      </c>
      <c r="R73" s="2" t="s">
        <v>95</v>
      </c>
      <c r="S73" s="2" t="s">
        <v>40</v>
      </c>
      <c r="T73" s="2" t="s">
        <v>44</v>
      </c>
    </row>
    <row r="74" spans="1:20" x14ac:dyDescent="0.3">
      <c r="A74" s="2" t="s">
        <v>86</v>
      </c>
      <c r="B74" s="2" t="s">
        <v>87</v>
      </c>
      <c r="C74" s="2">
        <v>185960289</v>
      </c>
      <c r="D74" s="2">
        <v>2016</v>
      </c>
      <c r="E74" s="2" t="s">
        <v>22</v>
      </c>
      <c r="F74" s="4">
        <v>1.20509599767292E-3</v>
      </c>
      <c r="G74" s="2">
        <v>9</v>
      </c>
      <c r="H74" s="2">
        <f>L74+O74+G74*F74</f>
        <v>361790.43484586396</v>
      </c>
      <c r="I74" s="2">
        <v>2241</v>
      </c>
      <c r="J74" s="2">
        <v>0.13300000000000001</v>
      </c>
      <c r="K74" s="2">
        <v>8</v>
      </c>
      <c r="L74" s="2">
        <f>I74*J74*K74</f>
        <v>2384.424</v>
      </c>
      <c r="M74" s="2">
        <v>4870</v>
      </c>
      <c r="N74" s="2">
        <v>73.8</v>
      </c>
      <c r="O74" s="2">
        <f>M74*N74</f>
        <v>359406</v>
      </c>
      <c r="P74" s="2">
        <f>H74/C74*100000</f>
        <v>194.5525234400254</v>
      </c>
      <c r="Q74" s="7">
        <f t="shared" si="5"/>
        <v>85.708785875082711</v>
      </c>
      <c r="R74" s="2" t="s">
        <v>96</v>
      </c>
      <c r="S74" s="2" t="s">
        <v>28</v>
      </c>
      <c r="T74" s="2" t="s">
        <v>89</v>
      </c>
    </row>
    <row r="75" spans="1:20" x14ac:dyDescent="0.3">
      <c r="A75" s="2" t="s">
        <v>86</v>
      </c>
      <c r="B75" s="2" t="s">
        <v>87</v>
      </c>
      <c r="C75" s="2">
        <v>185960289</v>
      </c>
      <c r="D75" s="2">
        <v>2016</v>
      </c>
      <c r="E75" s="2" t="s">
        <v>26</v>
      </c>
      <c r="F75" s="4">
        <v>9.6794859250837198E-5</v>
      </c>
      <c r="G75" s="2">
        <v>7</v>
      </c>
      <c r="H75" s="2">
        <f>L75+O75+G75*F75</f>
        <v>1029.2406775640147</v>
      </c>
      <c r="I75" s="2">
        <v>180</v>
      </c>
      <c r="J75" s="2">
        <v>0.13300000000000001</v>
      </c>
      <c r="K75" s="2">
        <v>6</v>
      </c>
      <c r="L75" s="2">
        <f>I75*J75*K75</f>
        <v>143.64000000000001</v>
      </c>
      <c r="M75" s="2">
        <v>12</v>
      </c>
      <c r="N75" s="2">
        <v>73.8</v>
      </c>
      <c r="O75" s="2">
        <f>M75*N75</f>
        <v>885.59999999999991</v>
      </c>
      <c r="P75" s="2">
        <f>H75/C75*100000</f>
        <v>0.55347336955580595</v>
      </c>
      <c r="Q75" s="7">
        <f t="shared" si="5"/>
        <v>0.55194452757995061</v>
      </c>
      <c r="R75" s="2" t="s">
        <v>90</v>
      </c>
      <c r="S75" s="2" t="s">
        <v>28</v>
      </c>
      <c r="T75" s="2" t="s">
        <v>29</v>
      </c>
    </row>
    <row r="76" spans="1:20" x14ac:dyDescent="0.3">
      <c r="A76" s="2" t="s">
        <v>86</v>
      </c>
      <c r="B76" s="2" t="s">
        <v>87</v>
      </c>
      <c r="C76" s="2">
        <v>185960289</v>
      </c>
      <c r="D76" s="2">
        <v>2016</v>
      </c>
      <c r="E76" s="2" t="s">
        <v>30</v>
      </c>
      <c r="F76" s="4">
        <v>9.7870357686957602E-4</v>
      </c>
      <c r="G76" s="2">
        <v>7</v>
      </c>
      <c r="H76" s="2">
        <f>L76+O76+G76*F76</f>
        <v>174144.36685092503</v>
      </c>
      <c r="I76" s="2">
        <v>1820</v>
      </c>
      <c r="J76" s="2">
        <v>0.13300000000000001</v>
      </c>
      <c r="K76" s="2">
        <v>6</v>
      </c>
      <c r="L76" s="2">
        <f>I76*J76*K76</f>
        <v>1452.3600000000001</v>
      </c>
      <c r="M76" s="2">
        <v>2340</v>
      </c>
      <c r="N76" s="2">
        <v>73.8</v>
      </c>
      <c r="O76" s="2">
        <f>M76*N76</f>
        <v>172692</v>
      </c>
      <c r="P76" s="2">
        <f>H76/C76*100000</f>
        <v>93.645997103674659</v>
      </c>
      <c r="Q76" s="7">
        <f t="shared" si="5"/>
        <v>60.798688026372282</v>
      </c>
      <c r="R76" s="2" t="s">
        <v>91</v>
      </c>
      <c r="S76" s="2" t="s">
        <v>28</v>
      </c>
      <c r="T76" s="2" t="s">
        <v>32</v>
      </c>
    </row>
    <row r="77" spans="1:20" x14ac:dyDescent="0.3">
      <c r="A77" s="2" t="s">
        <v>86</v>
      </c>
      <c r="B77" s="2" t="s">
        <v>87</v>
      </c>
      <c r="C77" s="2">
        <v>185960289</v>
      </c>
      <c r="D77" s="2">
        <v>2016</v>
      </c>
      <c r="E77" s="2" t="s">
        <v>33</v>
      </c>
      <c r="F77" s="4">
        <v>4.78596804073584E-4</v>
      </c>
      <c r="G77" s="2">
        <v>8</v>
      </c>
      <c r="H77" s="2">
        <f>L77+O77+G77*F77</f>
        <v>92340.593828774436</v>
      </c>
      <c r="I77" s="2">
        <v>890</v>
      </c>
      <c r="J77" s="2">
        <v>0.13300000000000001</v>
      </c>
      <c r="K77" s="2">
        <v>7</v>
      </c>
      <c r="L77" s="2">
        <f>I77*J77*K77</f>
        <v>828.59</v>
      </c>
      <c r="M77" s="2">
        <v>1240</v>
      </c>
      <c r="N77" s="2">
        <v>73.8</v>
      </c>
      <c r="O77" s="2">
        <f>M77*N77</f>
        <v>91512</v>
      </c>
      <c r="P77" s="2">
        <f>H77/C77*100000</f>
        <v>49.656082126638566</v>
      </c>
      <c r="Q77" s="7">
        <f t="shared" si="5"/>
        <v>39.137978181827215</v>
      </c>
      <c r="R77" s="2" t="s">
        <v>92</v>
      </c>
      <c r="S77" s="2" t="s">
        <v>35</v>
      </c>
      <c r="T77" s="2" t="s">
        <v>36</v>
      </c>
    </row>
    <row r="78" spans="1:20" x14ac:dyDescent="0.3">
      <c r="A78" s="2" t="s">
        <v>86</v>
      </c>
      <c r="B78" s="2" t="s">
        <v>87</v>
      </c>
      <c r="C78" s="2">
        <v>185960289</v>
      </c>
      <c r="D78" s="2">
        <v>2016</v>
      </c>
      <c r="E78" s="2" t="s">
        <v>37</v>
      </c>
      <c r="F78" s="4" t="s">
        <v>29</v>
      </c>
      <c r="G78" s="2">
        <v>6</v>
      </c>
      <c r="H78" s="2" t="s">
        <v>29</v>
      </c>
      <c r="I78" s="2" t="s">
        <v>29</v>
      </c>
      <c r="J78" s="2">
        <v>0.128</v>
      </c>
      <c r="K78" s="2">
        <v>5</v>
      </c>
      <c r="L78" s="2" t="s">
        <v>29</v>
      </c>
      <c r="M78" s="2" t="s">
        <v>29</v>
      </c>
      <c r="N78" s="2">
        <v>73.8</v>
      </c>
      <c r="O78" s="2" t="s">
        <v>29</v>
      </c>
      <c r="P78" s="2" t="s">
        <v>29</v>
      </c>
      <c r="Q78" s="7" t="e">
        <f t="shared" si="5"/>
        <v>#VALUE!</v>
      </c>
      <c r="R78" s="2" t="s">
        <v>93</v>
      </c>
      <c r="S78" s="2" t="s">
        <v>39</v>
      </c>
      <c r="T78" s="2" t="s">
        <v>94</v>
      </c>
    </row>
    <row r="79" spans="1:20" x14ac:dyDescent="0.3">
      <c r="A79" s="2" t="s">
        <v>86</v>
      </c>
      <c r="B79" s="2" t="s">
        <v>87</v>
      </c>
      <c r="C79" s="2">
        <v>185960289</v>
      </c>
      <c r="D79" s="2">
        <v>2016</v>
      </c>
      <c r="E79" s="2" t="s">
        <v>41</v>
      </c>
      <c r="F79" s="4">
        <v>2.25854671585287E-5</v>
      </c>
      <c r="G79" s="2">
        <v>6</v>
      </c>
      <c r="H79" s="2">
        <f>L79+O79+G79*F79</f>
        <v>28064.160135512804</v>
      </c>
      <c r="I79" s="2">
        <v>42</v>
      </c>
      <c r="J79" s="2">
        <v>0.12</v>
      </c>
      <c r="K79" s="2">
        <v>4</v>
      </c>
      <c r="L79" s="2">
        <f>I79*J79*K79</f>
        <v>20.16</v>
      </c>
      <c r="M79" s="2">
        <v>380</v>
      </c>
      <c r="N79" s="2">
        <v>73.8</v>
      </c>
      <c r="O79" s="2">
        <f>M79*N79</f>
        <v>28044</v>
      </c>
      <c r="P79" s="2">
        <f>H79/C79*100000</f>
        <v>15.091480168388427</v>
      </c>
      <c r="Q79" s="7">
        <f t="shared" si="5"/>
        <v>14.007904064395305</v>
      </c>
      <c r="R79" s="2" t="s">
        <v>95</v>
      </c>
      <c r="S79" s="2" t="s">
        <v>40</v>
      </c>
      <c r="T79" s="2" t="s">
        <v>44</v>
      </c>
    </row>
    <row r="80" spans="1:20" x14ac:dyDescent="0.3">
      <c r="A80" s="2" t="s">
        <v>86</v>
      </c>
      <c r="B80" s="2" t="s">
        <v>87</v>
      </c>
      <c r="C80" s="2">
        <v>190873311</v>
      </c>
      <c r="D80" s="2">
        <v>2017</v>
      </c>
      <c r="E80" s="2" t="s">
        <v>22</v>
      </c>
      <c r="F80" s="4">
        <v>1.1049213684987101E-3</v>
      </c>
      <c r="G80" s="2">
        <v>9</v>
      </c>
      <c r="H80" s="2">
        <f>L80+O80+G80*F80</f>
        <v>293015.98594429233</v>
      </c>
      <c r="I80" s="2">
        <v>2109</v>
      </c>
      <c r="J80" s="2">
        <v>0.13300000000000001</v>
      </c>
      <c r="K80" s="2">
        <v>8</v>
      </c>
      <c r="L80" s="2">
        <f>I80*J80*K80</f>
        <v>2243.9760000000001</v>
      </c>
      <c r="M80" s="2">
        <v>3940</v>
      </c>
      <c r="N80" s="2">
        <v>73.8</v>
      </c>
      <c r="O80" s="2">
        <f>M80*N80</f>
        <v>290772</v>
      </c>
      <c r="P80" s="2">
        <f>H80/C80*100000</f>
        <v>153.51333531605806</v>
      </c>
      <c r="Q80" s="7">
        <f t="shared" si="5"/>
        <v>78.457303861199435</v>
      </c>
      <c r="R80" s="2" t="s">
        <v>97</v>
      </c>
      <c r="S80" s="2" t="s">
        <v>28</v>
      </c>
      <c r="T80" s="2" t="s">
        <v>89</v>
      </c>
    </row>
    <row r="81" spans="1:20" x14ac:dyDescent="0.3">
      <c r="A81" s="2" t="s">
        <v>86</v>
      </c>
      <c r="B81" s="2" t="s">
        <v>87</v>
      </c>
      <c r="C81" s="2">
        <v>190873311</v>
      </c>
      <c r="D81" s="2">
        <v>2017</v>
      </c>
      <c r="E81" s="2" t="s">
        <v>26</v>
      </c>
      <c r="F81" s="4">
        <v>9.4303388492066297E-5</v>
      </c>
      <c r="G81" s="2">
        <v>7</v>
      </c>
      <c r="H81" s="2">
        <f>L81+O81+G81*F81</f>
        <v>1029.2406601237194</v>
      </c>
      <c r="I81" s="2">
        <v>180</v>
      </c>
      <c r="J81" s="2">
        <v>0.13300000000000001</v>
      </c>
      <c r="K81" s="2">
        <v>6</v>
      </c>
      <c r="L81" s="2">
        <f>I81*J81*K81</f>
        <v>143.64000000000001</v>
      </c>
      <c r="M81" s="2">
        <v>12</v>
      </c>
      <c r="N81" s="2">
        <v>73.8</v>
      </c>
      <c r="O81" s="2">
        <f>M81*N81</f>
        <v>885.59999999999991</v>
      </c>
      <c r="P81" s="2">
        <f>H81/C81*100000</f>
        <v>0.53922712124154404</v>
      </c>
      <c r="Q81" s="7">
        <f t="shared" si="5"/>
        <v>0.53777590142877196</v>
      </c>
      <c r="R81" s="2" t="s">
        <v>90</v>
      </c>
      <c r="S81" s="2" t="s">
        <v>28</v>
      </c>
      <c r="T81" s="2" t="s">
        <v>29</v>
      </c>
    </row>
    <row r="82" spans="1:20" x14ac:dyDescent="0.3">
      <c r="A82" s="2" t="s">
        <v>86</v>
      </c>
      <c r="B82" s="2" t="s">
        <v>87</v>
      </c>
      <c r="C82" s="2">
        <v>190873311</v>
      </c>
      <c r="D82" s="2">
        <v>2017</v>
      </c>
      <c r="E82" s="2" t="s">
        <v>30</v>
      </c>
      <c r="F82" s="4">
        <v>9.5351203919756002E-4</v>
      </c>
      <c r="G82" s="2">
        <v>7</v>
      </c>
      <c r="H82" s="2">
        <f>L82+O82+G82*F82</f>
        <v>174144.36667458425</v>
      </c>
      <c r="I82" s="2">
        <v>1820</v>
      </c>
      <c r="J82" s="2">
        <v>0.13300000000000001</v>
      </c>
      <c r="K82" s="2">
        <v>6</v>
      </c>
      <c r="L82" s="2">
        <f>I82*J82*K82</f>
        <v>1452.3600000000001</v>
      </c>
      <c r="M82" s="2">
        <v>2340</v>
      </c>
      <c r="N82" s="2">
        <v>73.8</v>
      </c>
      <c r="O82" s="2">
        <f>M82*N82</f>
        <v>172692</v>
      </c>
      <c r="P82" s="2">
        <f>H82/C82*100000</f>
        <v>91.235577023434274</v>
      </c>
      <c r="Q82" s="7">
        <f t="shared" si="5"/>
        <v>59.842291449354512</v>
      </c>
      <c r="R82" s="2" t="s">
        <v>91</v>
      </c>
      <c r="S82" s="2" t="s">
        <v>28</v>
      </c>
      <c r="T82" s="2" t="s">
        <v>32</v>
      </c>
    </row>
    <row r="83" spans="1:20" x14ac:dyDescent="0.3">
      <c r="A83" s="2" t="s">
        <v>86</v>
      </c>
      <c r="B83" s="2" t="s">
        <v>87</v>
      </c>
      <c r="C83" s="2">
        <v>190873311</v>
      </c>
      <c r="D83" s="2">
        <v>2017</v>
      </c>
      <c r="E83" s="2" t="s">
        <v>33</v>
      </c>
      <c r="F83" s="4">
        <v>4.6627786532188399E-4</v>
      </c>
      <c r="G83" s="2">
        <v>8</v>
      </c>
      <c r="H83" s="2">
        <f>L83+O83+G83*F83</f>
        <v>92340.593730222914</v>
      </c>
      <c r="I83" s="2">
        <v>890</v>
      </c>
      <c r="J83" s="2">
        <v>0.13300000000000001</v>
      </c>
      <c r="K83" s="2">
        <v>7</v>
      </c>
      <c r="L83" s="2">
        <f>I83*J83*K83</f>
        <v>828.59</v>
      </c>
      <c r="M83" s="2">
        <v>1240</v>
      </c>
      <c r="N83" s="2">
        <v>73.8</v>
      </c>
      <c r="O83" s="2">
        <f>M83*N83</f>
        <v>91512</v>
      </c>
      <c r="P83" s="2">
        <f>H83/C83*100000</f>
        <v>48.37794935627376</v>
      </c>
      <c r="Q83" s="7">
        <f t="shared" si="5"/>
        <v>38.355088207469166</v>
      </c>
      <c r="R83" s="2" t="s">
        <v>92</v>
      </c>
      <c r="S83" s="2" t="s">
        <v>35</v>
      </c>
      <c r="T83" s="2" t="s">
        <v>36</v>
      </c>
    </row>
    <row r="84" spans="1:20" x14ac:dyDescent="0.3">
      <c r="A84" s="2" t="s">
        <v>86</v>
      </c>
      <c r="B84" s="2" t="s">
        <v>87</v>
      </c>
      <c r="C84" s="2">
        <v>190873311</v>
      </c>
      <c r="D84" s="2">
        <v>2017</v>
      </c>
      <c r="E84" s="2" t="s">
        <v>37</v>
      </c>
      <c r="F84" s="4" t="s">
        <v>29</v>
      </c>
      <c r="G84" s="2">
        <v>6</v>
      </c>
      <c r="H84" s="2" t="s">
        <v>29</v>
      </c>
      <c r="I84" s="2" t="s">
        <v>29</v>
      </c>
      <c r="J84" s="2">
        <v>0.128</v>
      </c>
      <c r="K84" s="2">
        <v>5</v>
      </c>
      <c r="L84" s="2" t="s">
        <v>29</v>
      </c>
      <c r="M84" s="2" t="s">
        <v>29</v>
      </c>
      <c r="N84" s="2">
        <v>73.8</v>
      </c>
      <c r="O84" s="2" t="s">
        <v>29</v>
      </c>
      <c r="P84" s="2" t="s">
        <v>29</v>
      </c>
      <c r="Q84" s="7" t="e">
        <f t="shared" si="5"/>
        <v>#VALUE!</v>
      </c>
      <c r="R84" s="2" t="s">
        <v>93</v>
      </c>
      <c r="S84" s="2" t="s">
        <v>39</v>
      </c>
      <c r="T84" s="2" t="s">
        <v>94</v>
      </c>
    </row>
    <row r="85" spans="1:20" x14ac:dyDescent="0.3">
      <c r="A85" s="2" t="s">
        <v>86</v>
      </c>
      <c r="B85" s="2" t="s">
        <v>87</v>
      </c>
      <c r="C85" s="2">
        <v>190873311</v>
      </c>
      <c r="D85" s="2">
        <v>2017</v>
      </c>
      <c r="E85" s="2" t="s">
        <v>41</v>
      </c>
      <c r="F85" s="4">
        <v>2.20041239814822E-5</v>
      </c>
      <c r="G85" s="2">
        <v>6</v>
      </c>
      <c r="H85" s="2">
        <f>L85+O85+G85*F85</f>
        <v>28064.160132024743</v>
      </c>
      <c r="I85" s="2">
        <v>42</v>
      </c>
      <c r="J85" s="2">
        <v>0.12</v>
      </c>
      <c r="K85" s="2">
        <v>4</v>
      </c>
      <c r="L85" s="2">
        <f>I85*J85*K85</f>
        <v>20.16</v>
      </c>
      <c r="M85" s="2">
        <v>380</v>
      </c>
      <c r="N85" s="2">
        <v>73.8</v>
      </c>
      <c r="O85" s="2">
        <f>M85*N85</f>
        <v>28044</v>
      </c>
      <c r="P85" s="2">
        <f>H85/C85*100000</f>
        <v>14.703029975743828</v>
      </c>
      <c r="Q85" s="7">
        <f t="shared" si="5"/>
        <v>13.673217978551378</v>
      </c>
      <c r="R85" s="2" t="s">
        <v>95</v>
      </c>
      <c r="S85" s="2" t="s">
        <v>40</v>
      </c>
      <c r="T85" s="2" t="s">
        <v>44</v>
      </c>
    </row>
    <row r="86" spans="1:20" x14ac:dyDescent="0.3">
      <c r="A86" s="2" t="s">
        <v>86</v>
      </c>
      <c r="B86" s="2" t="s">
        <v>87</v>
      </c>
      <c r="C86" s="2">
        <v>195874740</v>
      </c>
      <c r="D86" s="2">
        <v>2018</v>
      </c>
      <c r="E86" s="2" t="s">
        <v>22</v>
      </c>
      <c r="F86" s="4">
        <v>1.46828529293772E-3</v>
      </c>
      <c r="G86" s="2">
        <v>9</v>
      </c>
      <c r="H86" s="2">
        <f>L86+O86+G86*F86</f>
        <v>313758.07721456763</v>
      </c>
      <c r="I86" s="2">
        <v>2876</v>
      </c>
      <c r="J86" s="2">
        <v>0.13300000000000001</v>
      </c>
      <c r="K86" s="2">
        <v>8</v>
      </c>
      <c r="L86" s="2">
        <f>I86*J86*K86</f>
        <v>3060.0640000000003</v>
      </c>
      <c r="M86" s="2">
        <v>4210</v>
      </c>
      <c r="N86" s="2">
        <v>73.8</v>
      </c>
      <c r="O86" s="2">
        <f>M86*N86</f>
        <v>310698</v>
      </c>
      <c r="P86" s="2">
        <f>H86/C86*100000</f>
        <v>160.18302166709583</v>
      </c>
      <c r="Q86" s="7">
        <f t="shared" si="5"/>
        <v>79.847265843890298</v>
      </c>
      <c r="R86" s="2" t="s">
        <v>98</v>
      </c>
      <c r="S86" s="2" t="s">
        <v>28</v>
      </c>
      <c r="T86" s="2" t="s">
        <v>89</v>
      </c>
    </row>
    <row r="87" spans="1:20" x14ac:dyDescent="0.3">
      <c r="A87" s="2" t="s">
        <v>86</v>
      </c>
      <c r="B87" s="2" t="s">
        <v>87</v>
      </c>
      <c r="C87" s="2">
        <v>195874740</v>
      </c>
      <c r="D87" s="2">
        <v>2018</v>
      </c>
      <c r="E87" s="2" t="s">
        <v>26</v>
      </c>
      <c r="F87" s="4">
        <v>9.1895463396658502E-5</v>
      </c>
      <c r="G87" s="2">
        <v>7</v>
      </c>
      <c r="H87" s="2">
        <f>L87+O87+G87*F87</f>
        <v>1029.2406432682437</v>
      </c>
      <c r="I87" s="2">
        <v>180</v>
      </c>
      <c r="J87" s="2">
        <v>0.13300000000000001</v>
      </c>
      <c r="K87" s="2">
        <v>6</v>
      </c>
      <c r="L87" s="2">
        <f>I87*J87*K87</f>
        <v>143.64000000000001</v>
      </c>
      <c r="M87" s="2">
        <v>12</v>
      </c>
      <c r="N87" s="2">
        <v>73.8</v>
      </c>
      <c r="O87" s="2">
        <f>M87*N87</f>
        <v>885.59999999999991</v>
      </c>
      <c r="P87" s="2">
        <f>H87/C87*100000</f>
        <v>0.5254585881100563</v>
      </c>
      <c r="Q87" s="7">
        <f t="shared" si="5"/>
        <v>0.52408046934203645</v>
      </c>
      <c r="R87" s="2" t="s">
        <v>90</v>
      </c>
      <c r="S87" s="2" t="s">
        <v>28</v>
      </c>
      <c r="T87" s="2" t="s">
        <v>29</v>
      </c>
    </row>
    <row r="88" spans="1:20" x14ac:dyDescent="0.3">
      <c r="A88" s="2" t="s">
        <v>86</v>
      </c>
      <c r="B88" s="2" t="s">
        <v>87</v>
      </c>
      <c r="C88" s="2">
        <v>195874740</v>
      </c>
      <c r="D88" s="2">
        <v>2018</v>
      </c>
      <c r="E88" s="2" t="s">
        <v>30</v>
      </c>
      <c r="F88" s="4">
        <v>9.2916524101065796E-4</v>
      </c>
      <c r="G88" s="2">
        <v>7</v>
      </c>
      <c r="H88" s="2">
        <f>L88+O88+G88*F88</f>
        <v>174144.36650415667</v>
      </c>
      <c r="I88" s="2">
        <v>1820</v>
      </c>
      <c r="J88" s="2">
        <v>0.13300000000000001</v>
      </c>
      <c r="K88" s="2">
        <v>6</v>
      </c>
      <c r="L88" s="2">
        <f>I88*J88*K88</f>
        <v>1452.3600000000001</v>
      </c>
      <c r="M88" s="2">
        <v>2340</v>
      </c>
      <c r="N88" s="2">
        <v>73.8</v>
      </c>
      <c r="O88" s="2">
        <f>M88*N88</f>
        <v>172692</v>
      </c>
      <c r="P88" s="2">
        <f>H88/C88*100000</f>
        <v>88.905984765650061</v>
      </c>
      <c r="Q88" s="7">
        <f t="shared" si="5"/>
        <v>58.895798673592111</v>
      </c>
      <c r="R88" s="2" t="s">
        <v>91</v>
      </c>
      <c r="S88" s="2" t="s">
        <v>28</v>
      </c>
      <c r="T88" s="2" t="s">
        <v>32</v>
      </c>
    </row>
    <row r="89" spans="1:20" x14ac:dyDescent="0.3">
      <c r="A89" s="2" t="s">
        <v>86</v>
      </c>
      <c r="B89" s="2" t="s">
        <v>87</v>
      </c>
      <c r="C89" s="2">
        <v>195874740</v>
      </c>
      <c r="D89" s="2">
        <v>2018</v>
      </c>
      <c r="E89" s="2" t="s">
        <v>33</v>
      </c>
      <c r="F89" s="4">
        <v>4.5437201346125601E-4</v>
      </c>
      <c r="G89" s="2">
        <v>8</v>
      </c>
      <c r="H89" s="2">
        <f>L89+O89+G89*F89</f>
        <v>92340.593634976103</v>
      </c>
      <c r="I89" s="2">
        <v>890</v>
      </c>
      <c r="J89" s="2">
        <v>0.13300000000000001</v>
      </c>
      <c r="K89" s="2">
        <v>7</v>
      </c>
      <c r="L89" s="2">
        <f>I89*J89*K89</f>
        <v>828.59</v>
      </c>
      <c r="M89" s="2">
        <v>1240</v>
      </c>
      <c r="N89" s="2">
        <v>73.8</v>
      </c>
      <c r="O89" s="2">
        <f>M89*N89</f>
        <v>91512</v>
      </c>
      <c r="P89" s="2">
        <f>H89/C89*100000</f>
        <v>47.142675791159235</v>
      </c>
      <c r="Q89" s="7">
        <f t="shared" si="5"/>
        <v>37.588882281153879</v>
      </c>
      <c r="R89" s="2" t="s">
        <v>92</v>
      </c>
      <c r="S89" s="2" t="s">
        <v>35</v>
      </c>
      <c r="T89" s="2" t="s">
        <v>36</v>
      </c>
    </row>
    <row r="90" spans="1:20" x14ac:dyDescent="0.3">
      <c r="A90" s="2" t="s">
        <v>86</v>
      </c>
      <c r="B90" s="2" t="s">
        <v>87</v>
      </c>
      <c r="C90" s="2">
        <v>195874740</v>
      </c>
      <c r="D90" s="2">
        <v>2018</v>
      </c>
      <c r="E90" s="2" t="s">
        <v>37</v>
      </c>
      <c r="F90" s="4" t="s">
        <v>29</v>
      </c>
      <c r="G90" s="2">
        <v>6</v>
      </c>
      <c r="H90" s="2" t="s">
        <v>29</v>
      </c>
      <c r="I90" s="2" t="s">
        <v>29</v>
      </c>
      <c r="J90" s="2">
        <v>0.128</v>
      </c>
      <c r="K90" s="2">
        <v>5</v>
      </c>
      <c r="L90" s="2" t="s">
        <v>29</v>
      </c>
      <c r="M90" s="2" t="s">
        <v>29</v>
      </c>
      <c r="N90" s="2">
        <v>73.8</v>
      </c>
      <c r="O90" s="2" t="s">
        <v>29</v>
      </c>
      <c r="P90" s="2" t="s">
        <v>29</v>
      </c>
      <c r="Q90" s="7" t="e">
        <f t="shared" si="5"/>
        <v>#VALUE!</v>
      </c>
      <c r="R90" s="2" t="s">
        <v>93</v>
      </c>
      <c r="S90" s="2" t="s">
        <v>39</v>
      </c>
      <c r="T90" s="2" t="s">
        <v>94</v>
      </c>
    </row>
    <row r="91" spans="1:20" x14ac:dyDescent="0.3">
      <c r="A91" s="2" t="s">
        <v>86</v>
      </c>
      <c r="B91" s="2" t="s">
        <v>87</v>
      </c>
      <c r="C91" s="2">
        <v>195874740</v>
      </c>
      <c r="D91" s="2">
        <v>2018</v>
      </c>
      <c r="E91" s="2" t="s">
        <v>41</v>
      </c>
      <c r="F91" s="4">
        <v>2.1442274792553701E-5</v>
      </c>
      <c r="G91" s="2">
        <v>6</v>
      </c>
      <c r="H91" s="2">
        <f>L91+O91+G91*F91</f>
        <v>28064.16012865365</v>
      </c>
      <c r="I91" s="2">
        <v>42</v>
      </c>
      <c r="J91" s="2">
        <v>0.12</v>
      </c>
      <c r="K91" s="2">
        <v>4</v>
      </c>
      <c r="L91" s="2">
        <f>I91*J91*K91</f>
        <v>20.16</v>
      </c>
      <c r="M91" s="2">
        <v>380</v>
      </c>
      <c r="N91" s="2">
        <v>73.8</v>
      </c>
      <c r="O91" s="2">
        <f>M91*N91</f>
        <v>28044</v>
      </c>
      <c r="P91" s="2">
        <f>H91/C91*100000</f>
        <v>14.327605554781414</v>
      </c>
      <c r="Q91" s="7">
        <f t="shared" si="5"/>
        <v>13.348517035064022</v>
      </c>
      <c r="R91" s="2" t="s">
        <v>95</v>
      </c>
      <c r="S91" s="2" t="s">
        <v>40</v>
      </c>
      <c r="T91" s="2" t="s">
        <v>44</v>
      </c>
    </row>
    <row r="92" spans="1:20" x14ac:dyDescent="0.3">
      <c r="A92" s="2" t="s">
        <v>86</v>
      </c>
      <c r="B92" s="2" t="s">
        <v>87</v>
      </c>
      <c r="C92" s="2">
        <v>200963599</v>
      </c>
      <c r="D92" s="2">
        <v>2019</v>
      </c>
      <c r="E92" s="2" t="s">
        <v>22</v>
      </c>
      <c r="F92" s="4">
        <v>1.5545103767772401E-3</v>
      </c>
      <c r="G92" s="2">
        <v>9</v>
      </c>
      <c r="H92" s="2">
        <f>L92+O92+G92*F92</f>
        <v>418817.94999059336</v>
      </c>
      <c r="I92" s="2">
        <v>3124</v>
      </c>
      <c r="J92" s="2">
        <v>0.13300000000000001</v>
      </c>
      <c r="K92" s="2">
        <v>8</v>
      </c>
      <c r="L92" s="2">
        <f>I92*J92*K92</f>
        <v>3323.9360000000001</v>
      </c>
      <c r="M92" s="2">
        <v>5630</v>
      </c>
      <c r="N92" s="2">
        <v>73.8</v>
      </c>
      <c r="O92" s="2">
        <f>M92*N92</f>
        <v>415494</v>
      </c>
      <c r="P92" s="2">
        <f>H92/C92*100000</f>
        <v>208.40488131912554</v>
      </c>
      <c r="Q92" s="7">
        <f t="shared" si="5"/>
        <v>87.55745842896242</v>
      </c>
      <c r="R92" s="2" t="s">
        <v>99</v>
      </c>
      <c r="S92" s="2" t="s">
        <v>28</v>
      </c>
      <c r="T92" s="2" t="s">
        <v>89</v>
      </c>
    </row>
    <row r="93" spans="1:20" x14ac:dyDescent="0.3">
      <c r="A93" s="2" t="s">
        <v>86</v>
      </c>
      <c r="B93" s="2" t="s">
        <v>87</v>
      </c>
      <c r="C93" s="2">
        <v>200963599</v>
      </c>
      <c r="D93" s="2">
        <v>2019</v>
      </c>
      <c r="E93" s="2" t="s">
        <v>26</v>
      </c>
      <c r="F93" s="4">
        <v>8.9568459609444003E-5</v>
      </c>
      <c r="G93" s="2">
        <v>7</v>
      </c>
      <c r="H93" s="2">
        <f>L93+O93+G93*F93</f>
        <v>1029.2406269792173</v>
      </c>
      <c r="I93" s="2">
        <v>180</v>
      </c>
      <c r="J93" s="2">
        <v>0.13300000000000001</v>
      </c>
      <c r="K93" s="2">
        <v>6</v>
      </c>
      <c r="L93" s="2">
        <f>I93*J93*K93</f>
        <v>143.64000000000001</v>
      </c>
      <c r="M93" s="2">
        <v>12</v>
      </c>
      <c r="N93" s="2">
        <v>73.8</v>
      </c>
      <c r="O93" s="2">
        <f>M93*N93</f>
        <v>885.59999999999991</v>
      </c>
      <c r="P93" s="2">
        <f>H93/C93*100000</f>
        <v>0.51215276403326027</v>
      </c>
      <c r="Q93" s="7">
        <f t="shared" si="5"/>
        <v>0.51084349786596484</v>
      </c>
      <c r="R93" s="2" t="s">
        <v>90</v>
      </c>
      <c r="S93" s="2" t="s">
        <v>28</v>
      </c>
      <c r="T93" s="2" t="s">
        <v>29</v>
      </c>
    </row>
    <row r="94" spans="1:20" x14ac:dyDescent="0.3">
      <c r="A94" s="2" t="s">
        <v>86</v>
      </c>
      <c r="B94" s="2" t="s">
        <v>87</v>
      </c>
      <c r="C94" s="2">
        <v>200963599</v>
      </c>
      <c r="D94" s="2">
        <v>2019</v>
      </c>
      <c r="E94" s="2" t="s">
        <v>30</v>
      </c>
      <c r="F94" s="4">
        <v>9.0563664716215603E-4</v>
      </c>
      <c r="G94" s="2">
        <v>7</v>
      </c>
      <c r="H94" s="2">
        <f>L94+O94+G94*F94</f>
        <v>174144.36633945652</v>
      </c>
      <c r="I94" s="2">
        <v>1820</v>
      </c>
      <c r="J94" s="2">
        <v>0.13300000000000001</v>
      </c>
      <c r="K94" s="2">
        <v>6</v>
      </c>
      <c r="L94" s="2">
        <f>I94*J94*K94</f>
        <v>1452.3600000000001</v>
      </c>
      <c r="M94" s="2">
        <v>2340</v>
      </c>
      <c r="N94" s="2">
        <v>73.8</v>
      </c>
      <c r="O94" s="2">
        <f>M94*N94</f>
        <v>172692</v>
      </c>
      <c r="P94" s="2">
        <f>H94/C94*100000</f>
        <v>86.654681348265726</v>
      </c>
      <c r="Q94" s="7">
        <f t="shared" si="5"/>
        <v>57.959923214009294</v>
      </c>
      <c r="R94" s="2" t="s">
        <v>91</v>
      </c>
      <c r="S94" s="2" t="s">
        <v>28</v>
      </c>
      <c r="T94" s="2" t="s">
        <v>32</v>
      </c>
    </row>
    <row r="95" spans="1:20" x14ac:dyDescent="0.3">
      <c r="A95" s="2" t="s">
        <v>86</v>
      </c>
      <c r="B95" s="2" t="s">
        <v>87</v>
      </c>
      <c r="C95" s="2">
        <v>200963599</v>
      </c>
      <c r="D95" s="2">
        <v>2019</v>
      </c>
      <c r="E95" s="2" t="s">
        <v>33</v>
      </c>
      <c r="F95" s="4">
        <v>4.4286627251336201E-4</v>
      </c>
      <c r="G95" s="2">
        <v>8</v>
      </c>
      <c r="H95" s="2">
        <f>L95+O95+G95*F95</f>
        <v>92340.593542930175</v>
      </c>
      <c r="I95" s="2">
        <v>890</v>
      </c>
      <c r="J95" s="2">
        <v>0.13300000000000001</v>
      </c>
      <c r="K95" s="2">
        <v>7</v>
      </c>
      <c r="L95" s="2">
        <f>I95*J95*K95</f>
        <v>828.59</v>
      </c>
      <c r="M95" s="2">
        <v>1240</v>
      </c>
      <c r="N95" s="2">
        <v>73.8</v>
      </c>
      <c r="O95" s="2">
        <f>M95*N95</f>
        <v>91512</v>
      </c>
      <c r="P95" s="2">
        <f>H95/C95*100000</f>
        <v>45.948915128122373</v>
      </c>
      <c r="Q95" s="7">
        <f t="shared" si="5"/>
        <v>36.839378166563961</v>
      </c>
      <c r="R95" s="2" t="s">
        <v>92</v>
      </c>
      <c r="S95" s="2" t="s">
        <v>35</v>
      </c>
      <c r="T95" s="2" t="s">
        <v>36</v>
      </c>
    </row>
    <row r="96" spans="1:20" x14ac:dyDescent="0.3">
      <c r="A96" s="2" t="s">
        <v>86</v>
      </c>
      <c r="B96" s="2" t="s">
        <v>87</v>
      </c>
      <c r="C96" s="2">
        <v>200963599</v>
      </c>
      <c r="D96" s="2">
        <v>2019</v>
      </c>
      <c r="E96" s="2" t="s">
        <v>37</v>
      </c>
      <c r="F96" s="4" t="s">
        <v>29</v>
      </c>
      <c r="G96" s="2">
        <v>6</v>
      </c>
      <c r="H96" s="2" t="s">
        <v>29</v>
      </c>
      <c r="I96" s="2" t="s">
        <v>29</v>
      </c>
      <c r="J96" s="2">
        <v>0.128</v>
      </c>
      <c r="K96" s="2">
        <v>5</v>
      </c>
      <c r="L96" s="2" t="s">
        <v>29</v>
      </c>
      <c r="M96" s="2" t="s">
        <v>29</v>
      </c>
      <c r="N96" s="2">
        <v>73.8</v>
      </c>
      <c r="O96" s="2" t="s">
        <v>29</v>
      </c>
      <c r="P96" s="2" t="s">
        <v>29</v>
      </c>
      <c r="Q96" s="7" t="e">
        <f t="shared" si="5"/>
        <v>#VALUE!</v>
      </c>
      <c r="R96" s="2" t="s">
        <v>93</v>
      </c>
      <c r="S96" s="2" t="s">
        <v>39</v>
      </c>
      <c r="T96" s="2" t="s">
        <v>94</v>
      </c>
    </row>
    <row r="97" spans="1:20" x14ac:dyDescent="0.3">
      <c r="A97" s="2" t="s">
        <v>86</v>
      </c>
      <c r="B97" s="2" t="s">
        <v>87</v>
      </c>
      <c r="C97" s="2">
        <v>200963599</v>
      </c>
      <c r="D97" s="2">
        <v>2019</v>
      </c>
      <c r="E97" s="2" t="s">
        <v>41</v>
      </c>
      <c r="F97" s="4">
        <v>2.08993072422036E-5</v>
      </c>
      <c r="G97" s="2">
        <v>6</v>
      </c>
      <c r="H97" s="2">
        <f>L97+O97+G97*F97</f>
        <v>28064.160125395843</v>
      </c>
      <c r="I97" s="2">
        <v>42</v>
      </c>
      <c r="J97" s="2">
        <v>0.12</v>
      </c>
      <c r="K97" s="2">
        <v>4</v>
      </c>
      <c r="L97" s="2">
        <f>I97*J97*K97</f>
        <v>20.16</v>
      </c>
      <c r="M97" s="2">
        <v>380</v>
      </c>
      <c r="N97" s="2">
        <v>73.8</v>
      </c>
      <c r="O97" s="2">
        <f>M97*N97</f>
        <v>28044</v>
      </c>
      <c r="P97" s="2">
        <f>H97/C97*100000</f>
        <v>13.964797737024925</v>
      </c>
      <c r="Q97" s="7">
        <f t="shared" si="5"/>
        <v>13.03356769572458</v>
      </c>
      <c r="R97" s="2" t="s">
        <v>95</v>
      </c>
      <c r="S97" s="2" t="s">
        <v>40</v>
      </c>
      <c r="T97" s="2" t="s">
        <v>44</v>
      </c>
    </row>
    <row r="98" spans="1:20" x14ac:dyDescent="0.3">
      <c r="A98" s="2" t="s">
        <v>86</v>
      </c>
      <c r="B98" s="2" t="s">
        <v>87</v>
      </c>
      <c r="C98" s="2">
        <v>206139587</v>
      </c>
      <c r="D98" s="2">
        <v>2020</v>
      </c>
      <c r="E98" s="2" t="s">
        <v>22</v>
      </c>
      <c r="F98" s="4">
        <v>1.65518911222035E-3</v>
      </c>
      <c r="G98" s="2">
        <v>9</v>
      </c>
      <c r="H98" s="2">
        <f>L98+O98+G98*F98</f>
        <v>457500.38289670204</v>
      </c>
      <c r="I98" s="2">
        <v>3412</v>
      </c>
      <c r="J98" s="2">
        <v>0.13300000000000001</v>
      </c>
      <c r="K98" s="2">
        <v>8</v>
      </c>
      <c r="L98" s="2">
        <f>I98*J98*K98</f>
        <v>3630.3680000000004</v>
      </c>
      <c r="M98" s="2">
        <v>6150</v>
      </c>
      <c r="N98" s="2">
        <v>73.8</v>
      </c>
      <c r="O98" s="2">
        <f>M98*N98</f>
        <v>453870</v>
      </c>
      <c r="P98" s="2">
        <f>H98/C98*100000</f>
        <v>221.93717837258598</v>
      </c>
      <c r="Q98" s="7">
        <f t="shared" si="5"/>
        <v>89.13226397292685</v>
      </c>
      <c r="R98" s="2" t="s">
        <v>100</v>
      </c>
      <c r="S98" s="2" t="s">
        <v>28</v>
      </c>
      <c r="T98" s="2" t="s">
        <v>89</v>
      </c>
    </row>
    <row r="99" spans="1:20" x14ac:dyDescent="0.3">
      <c r="A99" s="2" t="s">
        <v>86</v>
      </c>
      <c r="B99" s="2" t="s">
        <v>87</v>
      </c>
      <c r="C99" s="2">
        <v>206139587</v>
      </c>
      <c r="D99" s="2">
        <v>2020</v>
      </c>
      <c r="E99" s="2" t="s">
        <v>26</v>
      </c>
      <c r="F99" s="4">
        <v>6.0153414394878001E-4</v>
      </c>
      <c r="G99" s="2">
        <v>7</v>
      </c>
      <c r="H99" s="2">
        <f>L99+O99+G99*F99</f>
        <v>5122.3242107390079</v>
      </c>
      <c r="I99" s="2">
        <v>1240</v>
      </c>
      <c r="J99" s="2">
        <v>0.13300000000000001</v>
      </c>
      <c r="K99" s="2">
        <v>6</v>
      </c>
      <c r="L99" s="2">
        <f>I99*J99*K99</f>
        <v>989.5200000000001</v>
      </c>
      <c r="M99" s="2">
        <v>56</v>
      </c>
      <c r="N99" s="2">
        <v>73.8</v>
      </c>
      <c r="O99" s="2">
        <f>M99*N99</f>
        <v>4132.8</v>
      </c>
      <c r="P99" s="2">
        <f>H99/C99*100000</f>
        <v>2.4848813783346757</v>
      </c>
      <c r="Q99" s="7">
        <f t="shared" si="5"/>
        <v>2.4542623408979614</v>
      </c>
      <c r="R99" s="2" t="s">
        <v>101</v>
      </c>
      <c r="S99" s="2" t="s">
        <v>28</v>
      </c>
      <c r="T99" s="2" t="s">
        <v>29</v>
      </c>
    </row>
    <row r="100" spans="1:20" x14ac:dyDescent="0.3">
      <c r="A100" s="2" t="s">
        <v>86</v>
      </c>
      <c r="B100" s="2" t="s">
        <v>87</v>
      </c>
      <c r="C100" s="2">
        <v>206139587</v>
      </c>
      <c r="D100" s="2">
        <v>2020</v>
      </c>
      <c r="E100" s="2" t="s">
        <v>30</v>
      </c>
      <c r="F100" s="4">
        <v>8.8289688869901497E-4</v>
      </c>
      <c r="G100" s="2">
        <v>7</v>
      </c>
      <c r="H100" s="2">
        <f>L100+O100+G100*F100</f>
        <v>174144.36618027822</v>
      </c>
      <c r="I100" s="2">
        <v>1820</v>
      </c>
      <c r="J100" s="2">
        <v>0.13300000000000001</v>
      </c>
      <c r="K100" s="2">
        <v>6</v>
      </c>
      <c r="L100" s="2">
        <f>I100*J100*K100</f>
        <v>1452.3600000000001</v>
      </c>
      <c r="M100" s="2">
        <v>2340</v>
      </c>
      <c r="N100" s="2">
        <v>73.8</v>
      </c>
      <c r="O100" s="2">
        <f>M100*N100</f>
        <v>172692</v>
      </c>
      <c r="P100" s="2">
        <f>H100/C100*100000</f>
        <v>84.478856640126196</v>
      </c>
      <c r="Q100" s="7">
        <f t="shared" si="5"/>
        <v>57.035180932897134</v>
      </c>
      <c r="R100" s="2" t="s">
        <v>91</v>
      </c>
      <c r="S100" s="2" t="s">
        <v>28</v>
      </c>
      <c r="T100" s="2" t="s">
        <v>32</v>
      </c>
    </row>
    <row r="101" spans="1:20" x14ac:dyDescent="0.3">
      <c r="A101" s="2" t="s">
        <v>86</v>
      </c>
      <c r="B101" s="2" t="s">
        <v>87</v>
      </c>
      <c r="C101" s="2">
        <v>206139587</v>
      </c>
      <c r="D101" s="2">
        <v>2020</v>
      </c>
      <c r="E101" s="2" t="s">
        <v>33</v>
      </c>
      <c r="F101" s="4">
        <v>4.3174628073743102E-4</v>
      </c>
      <c r="G101" s="2">
        <v>8</v>
      </c>
      <c r="H101" s="2">
        <f>L101+O101+G101*F101</f>
        <v>92340.593453970243</v>
      </c>
      <c r="I101" s="2">
        <v>890</v>
      </c>
      <c r="J101" s="2">
        <v>0.13300000000000001</v>
      </c>
      <c r="K101" s="2">
        <v>7</v>
      </c>
      <c r="L101" s="2">
        <f>I101*J101*K101</f>
        <v>828.59</v>
      </c>
      <c r="M101" s="2">
        <v>1240</v>
      </c>
      <c r="N101" s="2">
        <v>73.8</v>
      </c>
      <c r="O101" s="2">
        <f>M101*N101</f>
        <v>91512</v>
      </c>
      <c r="P101" s="2">
        <f>H101/C101*100000</f>
        <v>44.795177286335715</v>
      </c>
      <c r="Q101" s="7">
        <f t="shared" si="5"/>
        <v>36.106450268157289</v>
      </c>
      <c r="R101" s="2" t="s">
        <v>92</v>
      </c>
      <c r="S101" s="2" t="s">
        <v>35</v>
      </c>
      <c r="T101" s="2" t="s">
        <v>36</v>
      </c>
    </row>
    <row r="102" spans="1:20" x14ac:dyDescent="0.3">
      <c r="A102" s="2" t="s">
        <v>86</v>
      </c>
      <c r="B102" s="2" t="s">
        <v>87</v>
      </c>
      <c r="C102" s="2">
        <v>206139587</v>
      </c>
      <c r="D102" s="2">
        <v>2020</v>
      </c>
      <c r="E102" s="2" t="s">
        <v>37</v>
      </c>
      <c r="F102" s="4" t="s">
        <v>29</v>
      </c>
      <c r="G102" s="2">
        <v>6</v>
      </c>
      <c r="H102" s="2" t="s">
        <v>29</v>
      </c>
      <c r="I102" s="2" t="s">
        <v>29</v>
      </c>
      <c r="J102" s="2">
        <v>0.128</v>
      </c>
      <c r="K102" s="2">
        <v>5</v>
      </c>
      <c r="L102" s="2" t="s">
        <v>29</v>
      </c>
      <c r="M102" s="2" t="s">
        <v>29</v>
      </c>
      <c r="N102" s="2">
        <v>73.8</v>
      </c>
      <c r="O102" s="2" t="s">
        <v>29</v>
      </c>
      <c r="P102" s="2" t="s">
        <v>29</v>
      </c>
      <c r="Q102" s="7" t="e">
        <f t="shared" si="5"/>
        <v>#VALUE!</v>
      </c>
      <c r="R102" s="2" t="s">
        <v>93</v>
      </c>
      <c r="S102" s="2" t="s">
        <v>39</v>
      </c>
      <c r="T102" s="2" t="s">
        <v>94</v>
      </c>
    </row>
    <row r="103" spans="1:20" x14ac:dyDescent="0.3">
      <c r="A103" s="2" t="s">
        <v>86</v>
      </c>
      <c r="B103" s="2" t="s">
        <v>87</v>
      </c>
      <c r="C103" s="2">
        <v>206139587</v>
      </c>
      <c r="D103" s="2">
        <v>2020</v>
      </c>
      <c r="E103" s="2" t="s">
        <v>41</v>
      </c>
      <c r="F103" s="4">
        <v>2.0374543585361899E-5</v>
      </c>
      <c r="G103" s="2">
        <v>6</v>
      </c>
      <c r="H103" s="2">
        <f>L103+O103+G103*F103</f>
        <v>28064.16012224726</v>
      </c>
      <c r="I103" s="2">
        <v>42</v>
      </c>
      <c r="J103" s="2">
        <v>0.12</v>
      </c>
      <c r="K103" s="2">
        <v>4</v>
      </c>
      <c r="L103" s="2">
        <f>I103*J103*K103</f>
        <v>20.16</v>
      </c>
      <c r="M103" s="2">
        <v>380</v>
      </c>
      <c r="N103" s="2">
        <v>73.8</v>
      </c>
      <c r="O103" s="2">
        <f>M103*N103</f>
        <v>28044</v>
      </c>
      <c r="P103" s="2">
        <f>H103/C103*100000</f>
        <v>13.614153657078617</v>
      </c>
      <c r="Q103" s="7">
        <f t="shared" si="5"/>
        <v>12.728089792207752</v>
      </c>
      <c r="R103" s="2" t="s">
        <v>95</v>
      </c>
      <c r="S103" s="2" t="s">
        <v>40</v>
      </c>
      <c r="T103" s="2" t="s">
        <v>44</v>
      </c>
    </row>
    <row r="104" spans="1:20" x14ac:dyDescent="0.3">
      <c r="A104" s="2" t="s">
        <v>86</v>
      </c>
      <c r="B104" s="2" t="s">
        <v>87</v>
      </c>
      <c r="C104" s="2">
        <v>211400708</v>
      </c>
      <c r="D104" s="2">
        <v>2021</v>
      </c>
      <c r="E104" s="2" t="s">
        <v>22</v>
      </c>
      <c r="F104" s="4">
        <v>1.7923307995732899E-3</v>
      </c>
      <c r="G104" s="2">
        <v>9</v>
      </c>
      <c r="H104" s="2">
        <f>L104+O104+G104*F104</f>
        <v>537605.51213097724</v>
      </c>
      <c r="I104" s="2">
        <v>3789</v>
      </c>
      <c r="J104" s="2">
        <v>0.13300000000000001</v>
      </c>
      <c r="K104" s="2">
        <v>8</v>
      </c>
      <c r="L104" s="2">
        <f>I104*J104*K104</f>
        <v>4031.4960000000001</v>
      </c>
      <c r="M104" s="2">
        <v>7230</v>
      </c>
      <c r="N104" s="2">
        <v>73.8</v>
      </c>
      <c r="O104" s="2">
        <f>M104*N104</f>
        <v>533574</v>
      </c>
      <c r="P104" s="2">
        <f>H104/C104*100000</f>
        <v>254.30639150507352</v>
      </c>
      <c r="Q104" s="7">
        <f t="shared" si="5"/>
        <v>92.137487035428165</v>
      </c>
      <c r="R104" s="2" t="s">
        <v>102</v>
      </c>
      <c r="S104" s="2" t="s">
        <v>28</v>
      </c>
      <c r="T104" s="2" t="s">
        <v>89</v>
      </c>
    </row>
    <row r="105" spans="1:20" x14ac:dyDescent="0.3">
      <c r="A105" s="2" t="s">
        <v>86</v>
      </c>
      <c r="B105" s="2" t="s">
        <v>87</v>
      </c>
      <c r="C105" s="2">
        <v>211400708</v>
      </c>
      <c r="D105" s="2">
        <v>2021</v>
      </c>
      <c r="E105" s="2" t="s">
        <v>26</v>
      </c>
      <c r="F105" s="4">
        <v>8.5146356274265705E-5</v>
      </c>
      <c r="G105" s="2">
        <v>7</v>
      </c>
      <c r="H105" s="2">
        <f>L105+O105+G105*F105</f>
        <v>1029.2405960244939</v>
      </c>
      <c r="I105" s="2">
        <v>180</v>
      </c>
      <c r="J105" s="2">
        <v>0.13300000000000001</v>
      </c>
      <c r="K105" s="2">
        <v>6</v>
      </c>
      <c r="L105" s="2">
        <f>I105*J105*K105</f>
        <v>143.64000000000001</v>
      </c>
      <c r="M105" s="2">
        <v>12</v>
      </c>
      <c r="N105" s="2">
        <v>73.8</v>
      </c>
      <c r="O105" s="2">
        <f>M105*N105</f>
        <v>885.59999999999991</v>
      </c>
      <c r="P105" s="2">
        <f>H105/C105*100000</f>
        <v>0.48686714711688384</v>
      </c>
      <c r="Q105" s="7">
        <f t="shared" si="5"/>
        <v>0.4856838701300159</v>
      </c>
      <c r="R105" s="2" t="s">
        <v>90</v>
      </c>
      <c r="S105" s="2" t="s">
        <v>28</v>
      </c>
      <c r="T105" s="2" t="s">
        <v>29</v>
      </c>
    </row>
    <row r="106" spans="1:20" x14ac:dyDescent="0.3">
      <c r="A106" s="2" t="s">
        <v>86</v>
      </c>
      <c r="B106" s="2" t="s">
        <v>87</v>
      </c>
      <c r="C106" s="2">
        <v>211400708</v>
      </c>
      <c r="D106" s="2">
        <v>2021</v>
      </c>
      <c r="E106" s="2" t="s">
        <v>30</v>
      </c>
      <c r="F106" s="4">
        <v>8.6092426899535301E-4</v>
      </c>
      <c r="G106" s="2">
        <v>7</v>
      </c>
      <c r="H106" s="2">
        <f>L106+O106+G106*F106</f>
        <v>174144.36602646986</v>
      </c>
      <c r="I106" s="2">
        <v>1820</v>
      </c>
      <c r="J106" s="2">
        <v>0.13300000000000001</v>
      </c>
      <c r="K106" s="2">
        <v>6</v>
      </c>
      <c r="L106" s="2">
        <f>I106*J106*K106</f>
        <v>1452.3600000000001</v>
      </c>
      <c r="M106" s="2">
        <v>2340</v>
      </c>
      <c r="N106" s="2">
        <v>73.8</v>
      </c>
      <c r="O106" s="2">
        <f>M106*N106</f>
        <v>172692</v>
      </c>
      <c r="P106" s="2">
        <f>H106/C106*100000</f>
        <v>82.376434626921807</v>
      </c>
      <c r="Q106" s="7">
        <f t="shared" si="5"/>
        <v>56.122316613642155</v>
      </c>
      <c r="R106" s="2" t="s">
        <v>91</v>
      </c>
      <c r="S106" s="2" t="s">
        <v>28</v>
      </c>
      <c r="T106" s="2" t="s">
        <v>32</v>
      </c>
    </row>
    <row r="107" spans="1:20" x14ac:dyDescent="0.3">
      <c r="A107" s="2" t="s">
        <v>86</v>
      </c>
      <c r="B107" s="2" t="s">
        <v>87</v>
      </c>
      <c r="C107" s="2">
        <v>211400708</v>
      </c>
      <c r="D107" s="2">
        <v>2021</v>
      </c>
      <c r="E107" s="2" t="s">
        <v>33</v>
      </c>
      <c r="F107" s="4">
        <v>4.2100142824498001E-4</v>
      </c>
      <c r="G107" s="2">
        <v>8</v>
      </c>
      <c r="H107" s="2">
        <f>L107+O107+G107*F107</f>
        <v>92340.593368011425</v>
      </c>
      <c r="I107" s="2">
        <v>890</v>
      </c>
      <c r="J107" s="2">
        <v>0.13300000000000001</v>
      </c>
      <c r="K107" s="2">
        <v>7</v>
      </c>
      <c r="L107" s="2">
        <f>I107*J107*K107</f>
        <v>828.59</v>
      </c>
      <c r="M107" s="2">
        <v>1240</v>
      </c>
      <c r="N107" s="2">
        <v>73.8</v>
      </c>
      <c r="O107" s="2">
        <f>M107*N107</f>
        <v>91512</v>
      </c>
      <c r="P107" s="2">
        <f>H107/C107*100000</f>
        <v>43.680361452721066</v>
      </c>
      <c r="Q107" s="7">
        <f t="shared" si="5"/>
        <v>35.390169672692195</v>
      </c>
      <c r="R107" s="2" t="s">
        <v>92</v>
      </c>
      <c r="S107" s="2" t="s">
        <v>35</v>
      </c>
      <c r="T107" s="2" t="s">
        <v>36</v>
      </c>
    </row>
    <row r="108" spans="1:20" x14ac:dyDescent="0.3">
      <c r="A108" s="2" t="s">
        <v>86</v>
      </c>
      <c r="B108" s="2" t="s">
        <v>87</v>
      </c>
      <c r="C108" s="2">
        <v>211400708</v>
      </c>
      <c r="D108" s="2">
        <v>2021</v>
      </c>
      <c r="E108" s="2" t="s">
        <v>37</v>
      </c>
      <c r="F108" s="4" t="s">
        <v>29</v>
      </c>
      <c r="G108" s="2">
        <v>6</v>
      </c>
      <c r="H108" s="2" t="s">
        <v>29</v>
      </c>
      <c r="I108" s="2" t="s">
        <v>29</v>
      </c>
      <c r="J108" s="2">
        <v>0.128</v>
      </c>
      <c r="K108" s="2">
        <v>5</v>
      </c>
      <c r="L108" s="2" t="s">
        <v>29</v>
      </c>
      <c r="M108" s="2" t="s">
        <v>29</v>
      </c>
      <c r="N108" s="2">
        <v>73.8</v>
      </c>
      <c r="O108" s="2" t="s">
        <v>29</v>
      </c>
      <c r="P108" s="2" t="s">
        <v>29</v>
      </c>
      <c r="Q108" s="7" t="e">
        <f t="shared" si="5"/>
        <v>#VALUE!</v>
      </c>
      <c r="R108" s="2" t="s">
        <v>93</v>
      </c>
      <c r="S108" s="2" t="s">
        <v>39</v>
      </c>
      <c r="T108" s="2" t="s">
        <v>94</v>
      </c>
    </row>
    <row r="109" spans="1:20" x14ac:dyDescent="0.3">
      <c r="A109" s="2" t="s">
        <v>86</v>
      </c>
      <c r="B109" s="2" t="s">
        <v>87</v>
      </c>
      <c r="C109" s="2">
        <v>211400708</v>
      </c>
      <c r="D109" s="2">
        <v>2021</v>
      </c>
      <c r="E109" s="2" t="s">
        <v>41</v>
      </c>
      <c r="F109" s="4">
        <v>1.9867483130662001E-5</v>
      </c>
      <c r="G109" s="2">
        <v>6</v>
      </c>
      <c r="H109" s="2">
        <f>L109+O109+G109*F109</f>
        <v>28064.160119204898</v>
      </c>
      <c r="I109" s="2">
        <v>42</v>
      </c>
      <c r="J109" s="2">
        <v>0.12</v>
      </c>
      <c r="K109" s="2">
        <v>4</v>
      </c>
      <c r="L109" s="2">
        <f>I109*J109*K109</f>
        <v>20.16</v>
      </c>
      <c r="M109" s="2">
        <v>380</v>
      </c>
      <c r="N109" s="2">
        <v>73.8</v>
      </c>
      <c r="O109" s="2">
        <f>M109*N109</f>
        <v>28044</v>
      </c>
      <c r="P109" s="2">
        <f>H109/C109*100000</f>
        <v>13.275338755821434</v>
      </c>
      <c r="Q109" s="7">
        <f t="shared" si="5"/>
        <v>12.431898068309211</v>
      </c>
      <c r="R109" s="2" t="s">
        <v>95</v>
      </c>
      <c r="S109" s="2" t="s">
        <v>40</v>
      </c>
      <c r="T109" s="2" t="s">
        <v>44</v>
      </c>
    </row>
    <row r="110" spans="1:20" x14ac:dyDescent="0.3">
      <c r="A110" s="2" t="s">
        <v>86</v>
      </c>
      <c r="B110" s="2" t="s">
        <v>87</v>
      </c>
      <c r="C110" s="2">
        <v>216746934</v>
      </c>
      <c r="D110" s="2">
        <v>2022</v>
      </c>
      <c r="E110" s="2" t="s">
        <v>22</v>
      </c>
      <c r="F110" s="4">
        <v>1.8510065752533301E-3</v>
      </c>
      <c r="G110" s="2">
        <v>9</v>
      </c>
      <c r="H110" s="2">
        <f>L110+O110+G110*F110</f>
        <v>507584.78465905914</v>
      </c>
      <c r="I110" s="2">
        <v>4012</v>
      </c>
      <c r="J110" s="2">
        <v>0.13300000000000001</v>
      </c>
      <c r="K110" s="2">
        <v>8</v>
      </c>
      <c r="L110" s="2">
        <f>I110*J110*K110</f>
        <v>4268.768</v>
      </c>
      <c r="M110" s="2">
        <v>6820</v>
      </c>
      <c r="N110" s="2">
        <v>73.8</v>
      </c>
      <c r="O110" s="2">
        <f>M110*N110</f>
        <v>503316</v>
      </c>
      <c r="P110" s="2">
        <f>H110/C110*100000</f>
        <v>234.18314404348581</v>
      </c>
      <c r="Q110" s="7">
        <f t="shared" si="5"/>
        <v>90.384861864990157</v>
      </c>
      <c r="R110" s="2" t="s">
        <v>103</v>
      </c>
      <c r="S110" s="2" t="s">
        <v>28</v>
      </c>
      <c r="T110" s="2" t="s">
        <v>89</v>
      </c>
    </row>
    <row r="111" spans="1:20" x14ac:dyDescent="0.3">
      <c r="A111" s="2" t="s">
        <v>86</v>
      </c>
      <c r="B111" s="2" t="s">
        <v>87</v>
      </c>
      <c r="C111" s="2">
        <v>216746934</v>
      </c>
      <c r="D111" s="2">
        <v>2022</v>
      </c>
      <c r="E111" s="2" t="s">
        <v>26</v>
      </c>
      <c r="F111" s="4">
        <v>8.3046157414157505E-5</v>
      </c>
      <c r="G111" s="2">
        <v>7</v>
      </c>
      <c r="H111" s="2">
        <f>L111+O111+G111*F111</f>
        <v>1029.2405813231019</v>
      </c>
      <c r="I111" s="2">
        <v>180</v>
      </c>
      <c r="J111" s="2">
        <v>0.13300000000000001</v>
      </c>
      <c r="K111" s="2">
        <v>6</v>
      </c>
      <c r="L111" s="2">
        <f>I111*J111*K111</f>
        <v>143.64000000000001</v>
      </c>
      <c r="M111" s="2">
        <v>12</v>
      </c>
      <c r="N111" s="2">
        <v>73.8</v>
      </c>
      <c r="O111" s="2">
        <f>M111*N111</f>
        <v>885.59999999999991</v>
      </c>
      <c r="P111" s="2">
        <f>H111/C111*100000</f>
        <v>0.4748581962977626</v>
      </c>
      <c r="Q111" s="7">
        <f t="shared" si="5"/>
        <v>0.47373252724690618</v>
      </c>
      <c r="R111" s="2" t="s">
        <v>90</v>
      </c>
      <c r="S111" s="2" t="s">
        <v>28</v>
      </c>
      <c r="T111" s="2" t="s">
        <v>29</v>
      </c>
    </row>
    <row r="112" spans="1:20" x14ac:dyDescent="0.3">
      <c r="A112" s="2" t="s">
        <v>86</v>
      </c>
      <c r="B112" s="2" t="s">
        <v>87</v>
      </c>
      <c r="C112" s="2">
        <v>216746934</v>
      </c>
      <c r="D112" s="2">
        <v>2022</v>
      </c>
      <c r="E112" s="2" t="s">
        <v>30</v>
      </c>
      <c r="F112" s="4">
        <v>8.3968892496537003E-4</v>
      </c>
      <c r="G112" s="2">
        <v>7</v>
      </c>
      <c r="H112" s="2">
        <f>L112+O112+G112*F112</f>
        <v>174144.36587782245</v>
      </c>
      <c r="I112" s="2">
        <v>1820</v>
      </c>
      <c r="J112" s="2">
        <v>0.13300000000000001</v>
      </c>
      <c r="K112" s="2">
        <v>6</v>
      </c>
      <c r="L112" s="2">
        <f>I112*J112*K112</f>
        <v>1452.3600000000001</v>
      </c>
      <c r="M112" s="2">
        <v>2340</v>
      </c>
      <c r="N112" s="2">
        <v>73.8</v>
      </c>
      <c r="O112" s="2">
        <f>M112*N112</f>
        <v>172692</v>
      </c>
      <c r="P112" s="2">
        <f>H112/C112*100000</f>
        <v>80.344557897101524</v>
      </c>
      <c r="Q112" s="7">
        <f t="shared" si="5"/>
        <v>55.221657015336781</v>
      </c>
      <c r="R112" s="2" t="s">
        <v>91</v>
      </c>
      <c r="S112" s="2" t="s">
        <v>28</v>
      </c>
      <c r="T112" s="2" t="s">
        <v>32</v>
      </c>
    </row>
    <row r="113" spans="1:20" x14ac:dyDescent="0.3">
      <c r="A113" s="2" t="s">
        <v>86</v>
      </c>
      <c r="B113" s="2" t="s">
        <v>87</v>
      </c>
      <c r="C113" s="2">
        <v>216746934</v>
      </c>
      <c r="D113" s="2">
        <v>2022</v>
      </c>
      <c r="E113" s="2" t="s">
        <v>33</v>
      </c>
      <c r="F113" s="4">
        <v>4.1061711165888998E-4</v>
      </c>
      <c r="G113" s="2">
        <v>8</v>
      </c>
      <c r="H113" s="2">
        <f>L113+O113+G113*F113</f>
        <v>92340.593284936884</v>
      </c>
      <c r="I113" s="2">
        <v>890</v>
      </c>
      <c r="J113" s="2">
        <v>0.13300000000000001</v>
      </c>
      <c r="K113" s="2">
        <v>7</v>
      </c>
      <c r="L113" s="2">
        <f>I113*J113*K113</f>
        <v>828.59</v>
      </c>
      <c r="M113" s="2">
        <v>1240</v>
      </c>
      <c r="N113" s="2">
        <v>73.8</v>
      </c>
      <c r="O113" s="2">
        <f>M113*N113</f>
        <v>91512</v>
      </c>
      <c r="P113" s="2">
        <f>H113/C113*100000</f>
        <v>42.602952475875341</v>
      </c>
      <c r="Q113" s="7">
        <f t="shared" si="5"/>
        <v>34.69029406971017</v>
      </c>
      <c r="R113" s="2" t="s">
        <v>92</v>
      </c>
      <c r="S113" s="2" t="s">
        <v>35</v>
      </c>
      <c r="T113" s="2" t="s">
        <v>36</v>
      </c>
    </row>
    <row r="114" spans="1:20" x14ac:dyDescent="0.3">
      <c r="A114" s="2" t="s">
        <v>86</v>
      </c>
      <c r="B114" s="2" t="s">
        <v>87</v>
      </c>
      <c r="C114" s="2">
        <v>216746934</v>
      </c>
      <c r="D114" s="2">
        <v>2022</v>
      </c>
      <c r="E114" s="2" t="s">
        <v>37</v>
      </c>
      <c r="F114" s="4" t="s">
        <v>29</v>
      </c>
      <c r="G114" s="2">
        <v>6</v>
      </c>
      <c r="H114" s="2" t="s">
        <v>29</v>
      </c>
      <c r="I114" s="2" t="s">
        <v>29</v>
      </c>
      <c r="J114" s="2">
        <v>0.128</v>
      </c>
      <c r="K114" s="2">
        <v>5</v>
      </c>
      <c r="L114" s="2" t="s">
        <v>29</v>
      </c>
      <c r="M114" s="2" t="s">
        <v>29</v>
      </c>
      <c r="N114" s="2">
        <v>73.8</v>
      </c>
      <c r="O114" s="2" t="s">
        <v>29</v>
      </c>
      <c r="P114" s="2" t="s">
        <v>29</v>
      </c>
      <c r="Q114" s="7" t="e">
        <f t="shared" si="5"/>
        <v>#VALUE!</v>
      </c>
      <c r="R114" s="2" t="s">
        <v>93</v>
      </c>
      <c r="S114" s="2" t="s">
        <v>39</v>
      </c>
      <c r="T114" s="2" t="s">
        <v>94</v>
      </c>
    </row>
    <row r="115" spans="1:20" x14ac:dyDescent="0.3">
      <c r="A115" s="2" t="s">
        <v>86</v>
      </c>
      <c r="B115" s="2" t="s">
        <v>87</v>
      </c>
      <c r="C115" s="2">
        <v>216746934</v>
      </c>
      <c r="D115" s="2">
        <v>2022</v>
      </c>
      <c r="E115" s="2" t="s">
        <v>41</v>
      </c>
      <c r="F115" s="4">
        <v>1.9377436729970101E-5</v>
      </c>
      <c r="G115" s="2">
        <v>6</v>
      </c>
      <c r="H115" s="2">
        <f>L115+O115+G115*F115</f>
        <v>28064.160116264622</v>
      </c>
      <c r="I115" s="2">
        <v>42</v>
      </c>
      <c r="J115" s="2">
        <v>0.12</v>
      </c>
      <c r="K115" s="2">
        <v>4</v>
      </c>
      <c r="L115" s="2">
        <f>I115*J115*K115</f>
        <v>20.16</v>
      </c>
      <c r="M115" s="2">
        <v>380</v>
      </c>
      <c r="N115" s="2">
        <v>73.8</v>
      </c>
      <c r="O115" s="2">
        <f>M115*N115</f>
        <v>28044</v>
      </c>
      <c r="P115" s="2">
        <f>H115/C115*100000</f>
        <v>12.947892548396842</v>
      </c>
      <c r="Q115" s="7">
        <f t="shared" si="5"/>
        <v>12.144689669739028</v>
      </c>
      <c r="R115" s="2" t="s">
        <v>95</v>
      </c>
      <c r="S115" s="2" t="s">
        <v>40</v>
      </c>
      <c r="T115" s="2" t="s">
        <v>44</v>
      </c>
    </row>
    <row r="116" spans="1:20" x14ac:dyDescent="0.3">
      <c r="A116" s="2" t="s">
        <v>86</v>
      </c>
      <c r="B116" s="2" t="s">
        <v>87</v>
      </c>
      <c r="C116" s="2">
        <v>222179671</v>
      </c>
      <c r="D116" s="2">
        <v>2023</v>
      </c>
      <c r="E116" s="2" t="s">
        <v>22</v>
      </c>
      <c r="F116" s="4">
        <v>1.90566489766744E-3</v>
      </c>
      <c r="G116" s="2">
        <v>9</v>
      </c>
      <c r="H116" s="2">
        <f>L116+O116+G116*F116</f>
        <v>528484.99315098405</v>
      </c>
      <c r="I116" s="2">
        <v>4234</v>
      </c>
      <c r="J116" s="2">
        <v>0.13300000000000001</v>
      </c>
      <c r="K116" s="2">
        <v>8</v>
      </c>
      <c r="L116" s="2">
        <f>I116*J116*K116</f>
        <v>4504.9760000000006</v>
      </c>
      <c r="M116" s="2">
        <v>7100</v>
      </c>
      <c r="N116" s="2">
        <v>73.8</v>
      </c>
      <c r="O116" s="2">
        <f>M116*N116</f>
        <v>523980</v>
      </c>
      <c r="P116" s="2">
        <f>H116/C116*100000</f>
        <v>237.86379319599587</v>
      </c>
      <c r="Q116" s="7">
        <f t="shared" si="5"/>
        <v>90.732327641567707</v>
      </c>
      <c r="R116" s="2" t="s">
        <v>104</v>
      </c>
      <c r="S116" s="2" t="s">
        <v>28</v>
      </c>
      <c r="T116" s="2" t="s">
        <v>89</v>
      </c>
    </row>
    <row r="117" spans="1:20" x14ac:dyDescent="0.3">
      <c r="A117" s="2" t="s">
        <v>86</v>
      </c>
      <c r="B117" s="2" t="s">
        <v>87</v>
      </c>
      <c r="C117" s="2">
        <v>222179671</v>
      </c>
      <c r="D117" s="2">
        <v>2023</v>
      </c>
      <c r="E117" s="2" t="s">
        <v>26</v>
      </c>
      <c r="F117" s="4">
        <v>8.1015512890916095E-5</v>
      </c>
      <c r="G117" s="2">
        <v>7</v>
      </c>
      <c r="H117" s="2">
        <f>L117+O117+G117*F117</f>
        <v>1029.2405671085903</v>
      </c>
      <c r="I117" s="2">
        <v>180</v>
      </c>
      <c r="J117" s="2">
        <v>0.13300000000000001</v>
      </c>
      <c r="K117" s="2">
        <v>6</v>
      </c>
      <c r="L117" s="2">
        <f>I117*J117*K117</f>
        <v>143.64000000000001</v>
      </c>
      <c r="M117" s="2">
        <v>12</v>
      </c>
      <c r="N117" s="2">
        <v>73.8</v>
      </c>
      <c r="O117" s="2">
        <f>M117*N117</f>
        <v>885.59999999999991</v>
      </c>
      <c r="P117" s="2">
        <f>H117/C117*100000</f>
        <v>0.46324695795799886</v>
      </c>
      <c r="Q117" s="7">
        <f t="shared" si="5"/>
        <v>0.46217562418318092</v>
      </c>
      <c r="R117" s="2" t="s">
        <v>90</v>
      </c>
      <c r="S117" s="2" t="s">
        <v>28</v>
      </c>
      <c r="T117" s="2" t="s">
        <v>29</v>
      </c>
    </row>
    <row r="118" spans="1:20" x14ac:dyDescent="0.3">
      <c r="A118" s="2" t="s">
        <v>86</v>
      </c>
      <c r="B118" s="2" t="s">
        <v>87</v>
      </c>
      <c r="C118" s="2">
        <v>222179671</v>
      </c>
      <c r="D118" s="2">
        <v>2023</v>
      </c>
      <c r="E118" s="2" t="s">
        <v>30</v>
      </c>
      <c r="F118" s="4">
        <v>8.1915685256370705E-4</v>
      </c>
      <c r="G118" s="2">
        <v>7</v>
      </c>
      <c r="H118" s="2">
        <f>L118+O118+G118*F118</f>
        <v>174144.36573409796</v>
      </c>
      <c r="I118" s="2">
        <v>1820</v>
      </c>
      <c r="J118" s="2">
        <v>0.13300000000000001</v>
      </c>
      <c r="K118" s="2">
        <v>6</v>
      </c>
      <c r="L118" s="2">
        <f>I118*J118*K118</f>
        <v>1452.3600000000001</v>
      </c>
      <c r="M118" s="2">
        <v>2340</v>
      </c>
      <c r="N118" s="2">
        <v>73.8</v>
      </c>
      <c r="O118" s="2">
        <f>M118*N118</f>
        <v>172692</v>
      </c>
      <c r="P118" s="2">
        <f>H118/C118*100000</f>
        <v>78.379972816729008</v>
      </c>
      <c r="Q118" s="7">
        <f t="shared" si="5"/>
        <v>54.333250189748419</v>
      </c>
      <c r="R118" s="2" t="s">
        <v>91</v>
      </c>
      <c r="S118" s="2" t="s">
        <v>28</v>
      </c>
      <c r="T118" s="2" t="s">
        <v>32</v>
      </c>
    </row>
    <row r="119" spans="1:20" x14ac:dyDescent="0.3">
      <c r="A119" s="2" t="s">
        <v>86</v>
      </c>
      <c r="B119" s="2" t="s">
        <v>87</v>
      </c>
      <c r="C119" s="2">
        <v>222179671</v>
      </c>
      <c r="D119" s="2">
        <v>2023</v>
      </c>
      <c r="E119" s="2" t="s">
        <v>33</v>
      </c>
      <c r="F119" s="4">
        <v>4.0057670262730701E-4</v>
      </c>
      <c r="G119" s="2">
        <v>8</v>
      </c>
      <c r="H119" s="2">
        <f>L119+O119+G119*F119</f>
        <v>92340.593204613615</v>
      </c>
      <c r="I119" s="2">
        <v>890</v>
      </c>
      <c r="J119" s="2">
        <v>0.13300000000000001</v>
      </c>
      <c r="K119" s="2">
        <v>7</v>
      </c>
      <c r="L119" s="2">
        <f>I119*J119*K119</f>
        <v>828.59</v>
      </c>
      <c r="M119" s="2">
        <v>1240</v>
      </c>
      <c r="N119" s="2">
        <v>73.8</v>
      </c>
      <c r="O119" s="2">
        <f>M119*N119</f>
        <v>91512</v>
      </c>
      <c r="P119" s="2">
        <f>H119/C119*100000</f>
        <v>41.561225106240087</v>
      </c>
      <c r="Q119" s="7">
        <f t="shared" si="5"/>
        <v>34.00638895939521</v>
      </c>
      <c r="R119" s="2" t="s">
        <v>92</v>
      </c>
      <c r="S119" s="2" t="s">
        <v>35</v>
      </c>
      <c r="T119" s="2" t="s">
        <v>36</v>
      </c>
    </row>
    <row r="120" spans="1:20" x14ac:dyDescent="0.3">
      <c r="A120" s="2" t="s">
        <v>86</v>
      </c>
      <c r="B120" s="2" t="s">
        <v>87</v>
      </c>
      <c r="C120" s="2">
        <v>222179671</v>
      </c>
      <c r="D120" s="2">
        <v>2023</v>
      </c>
      <c r="E120" s="2" t="s">
        <v>37</v>
      </c>
      <c r="F120" s="4" t="s">
        <v>29</v>
      </c>
      <c r="G120" s="2">
        <v>6</v>
      </c>
      <c r="H120" s="2" t="s">
        <v>29</v>
      </c>
      <c r="I120" s="2" t="s">
        <v>29</v>
      </c>
      <c r="J120" s="2">
        <v>0.128</v>
      </c>
      <c r="K120" s="2">
        <v>5</v>
      </c>
      <c r="L120" s="2" t="s">
        <v>29</v>
      </c>
      <c r="M120" s="2" t="s">
        <v>29</v>
      </c>
      <c r="N120" s="2">
        <v>73.8</v>
      </c>
      <c r="O120" s="2" t="s">
        <v>29</v>
      </c>
      <c r="P120" s="2" t="s">
        <v>29</v>
      </c>
      <c r="Q120" s="7" t="e">
        <f t="shared" si="5"/>
        <v>#VALUE!</v>
      </c>
      <c r="R120" s="2" t="s">
        <v>93</v>
      </c>
      <c r="S120" s="2" t="s">
        <v>39</v>
      </c>
      <c r="T120" s="2" t="s">
        <v>94</v>
      </c>
    </row>
    <row r="121" spans="1:20" x14ac:dyDescent="0.3">
      <c r="A121" s="2" t="s">
        <v>86</v>
      </c>
      <c r="B121" s="2" t="s">
        <v>87</v>
      </c>
      <c r="C121" s="2">
        <v>222179671</v>
      </c>
      <c r="D121" s="2">
        <v>2023</v>
      </c>
      <c r="E121" s="2" t="s">
        <v>41</v>
      </c>
      <c r="F121" s="4">
        <v>1.89036196745471E-5</v>
      </c>
      <c r="G121" s="2">
        <v>6</v>
      </c>
      <c r="H121" s="2">
        <f>L121+O121+G121*F121</f>
        <v>28064.160113421716</v>
      </c>
      <c r="I121" s="2">
        <v>42</v>
      </c>
      <c r="J121" s="2">
        <v>0.12</v>
      </c>
      <c r="K121" s="2">
        <v>4</v>
      </c>
      <c r="L121" s="2">
        <f>I121*J121*K121</f>
        <v>20.16</v>
      </c>
      <c r="M121" s="2">
        <v>380</v>
      </c>
      <c r="N121" s="2">
        <v>73.8</v>
      </c>
      <c r="O121" s="2">
        <f>M121*N121</f>
        <v>28044</v>
      </c>
      <c r="P121" s="2">
        <f>H121/C121*100000</f>
        <v>12.631290696898059</v>
      </c>
      <c r="Q121" s="7">
        <f t="shared" si="5"/>
        <v>11.866097349080572</v>
      </c>
      <c r="R121" s="2" t="s">
        <v>95</v>
      </c>
      <c r="S121" s="2" t="s">
        <v>40</v>
      </c>
      <c r="T121" s="2" t="s">
        <v>44</v>
      </c>
    </row>
    <row r="122" spans="1:20" x14ac:dyDescent="0.3">
      <c r="A122" s="2" t="s">
        <v>86</v>
      </c>
      <c r="B122" s="2" t="s">
        <v>87</v>
      </c>
      <c r="C122" s="2">
        <v>227692786</v>
      </c>
      <c r="D122" s="2">
        <v>2024</v>
      </c>
      <c r="E122" s="2" t="s">
        <v>22</v>
      </c>
      <c r="F122" s="4">
        <v>1.8006718930480301E-3</v>
      </c>
      <c r="G122" s="2">
        <v>9</v>
      </c>
      <c r="H122" s="2">
        <f>L122+O122+G122*F122</f>
        <v>513582.41620604706</v>
      </c>
      <c r="I122" s="2">
        <v>4100</v>
      </c>
      <c r="J122" s="2">
        <v>0.13300000000000001</v>
      </c>
      <c r="K122" s="2">
        <v>8</v>
      </c>
      <c r="L122" s="2">
        <f>I122*J122*K122</f>
        <v>4362.4000000000005</v>
      </c>
      <c r="M122" s="2">
        <v>6900</v>
      </c>
      <c r="N122" s="2">
        <v>73.8</v>
      </c>
      <c r="O122" s="2">
        <f>M122*N122</f>
        <v>509220</v>
      </c>
      <c r="P122" s="2">
        <f>H122/C122*100000</f>
        <v>225.55937112827417</v>
      </c>
      <c r="Q122" s="7">
        <f t="shared" si="5"/>
        <v>89.518870238994836</v>
      </c>
      <c r="R122" s="2" t="s">
        <v>105</v>
      </c>
      <c r="S122" s="2" t="s">
        <v>28</v>
      </c>
      <c r="T122" s="2" t="s">
        <v>89</v>
      </c>
    </row>
    <row r="123" spans="1:20" x14ac:dyDescent="0.3">
      <c r="A123" s="2" t="s">
        <v>86</v>
      </c>
      <c r="B123" s="2" t="s">
        <v>87</v>
      </c>
      <c r="C123" s="2">
        <v>227692786</v>
      </c>
      <c r="D123" s="2">
        <v>2024</v>
      </c>
      <c r="E123" s="2" t="s">
        <v>26</v>
      </c>
      <c r="F123" s="4">
        <v>7.9053887987474503E-5</v>
      </c>
      <c r="G123" s="2">
        <v>7</v>
      </c>
      <c r="H123" s="2">
        <f>L123+O123+G123*F123</f>
        <v>1029.240553377216</v>
      </c>
      <c r="I123" s="2">
        <v>180</v>
      </c>
      <c r="J123" s="2">
        <v>0.13300000000000001</v>
      </c>
      <c r="K123" s="2">
        <v>6</v>
      </c>
      <c r="L123" s="2">
        <f>I123*J123*K123</f>
        <v>143.64000000000001</v>
      </c>
      <c r="M123" s="2">
        <v>12</v>
      </c>
      <c r="N123" s="2">
        <v>73.8</v>
      </c>
      <c r="O123" s="2">
        <f>M123*N123</f>
        <v>885.59999999999991</v>
      </c>
      <c r="P123" s="2">
        <f>H123/C123*100000</f>
        <v>0.45203037454915945</v>
      </c>
      <c r="Q123" s="7">
        <f t="shared" si="5"/>
        <v>0.45101025491395275</v>
      </c>
      <c r="R123" s="2" t="s">
        <v>90</v>
      </c>
      <c r="S123" s="2" t="s">
        <v>28</v>
      </c>
      <c r="T123" s="2" t="s">
        <v>29</v>
      </c>
    </row>
    <row r="124" spans="1:20" x14ac:dyDescent="0.3">
      <c r="A124" s="2" t="s">
        <v>86</v>
      </c>
      <c r="B124" s="2" t="s">
        <v>87</v>
      </c>
      <c r="C124" s="2">
        <v>227692786</v>
      </c>
      <c r="D124" s="2">
        <v>2024</v>
      </c>
      <c r="E124" s="2" t="s">
        <v>30</v>
      </c>
      <c r="F124" s="4">
        <v>7.99322645206687E-4</v>
      </c>
      <c r="G124" s="2">
        <v>7</v>
      </c>
      <c r="H124" s="2">
        <f>L124+O124+G124*F124</f>
        <v>174144.36559525851</v>
      </c>
      <c r="I124" s="2">
        <v>1820</v>
      </c>
      <c r="J124" s="2">
        <v>0.13300000000000001</v>
      </c>
      <c r="K124" s="2">
        <v>6</v>
      </c>
      <c r="L124" s="2">
        <f>I124*J124*K124</f>
        <v>1452.3600000000001</v>
      </c>
      <c r="M124" s="2">
        <v>2340</v>
      </c>
      <c r="N124" s="2">
        <v>73.8</v>
      </c>
      <c r="O124" s="2">
        <f>M124*N124</f>
        <v>172692</v>
      </c>
      <c r="P124" s="2">
        <f>H124/C124*100000</f>
        <v>76.48216206342984</v>
      </c>
      <c r="Q124" s="7">
        <f t="shared" si="5"/>
        <v>53.458305565052356</v>
      </c>
      <c r="R124" s="2" t="s">
        <v>91</v>
      </c>
      <c r="S124" s="2" t="s">
        <v>28</v>
      </c>
      <c r="T124" s="2" t="s">
        <v>32</v>
      </c>
    </row>
    <row r="125" spans="1:20" x14ac:dyDescent="0.3">
      <c r="A125" s="2" t="s">
        <v>86</v>
      </c>
      <c r="B125" s="2" t="s">
        <v>87</v>
      </c>
      <c r="C125" s="2">
        <v>227692786</v>
      </c>
      <c r="D125" s="2">
        <v>2024</v>
      </c>
      <c r="E125" s="2" t="s">
        <v>33</v>
      </c>
      <c r="F125" s="4">
        <v>3.9087755727140202E-4</v>
      </c>
      <c r="G125" s="2">
        <v>8</v>
      </c>
      <c r="H125" s="2">
        <f>L125+O125+G125*F125</f>
        <v>92340.59312702046</v>
      </c>
      <c r="I125" s="2">
        <v>890</v>
      </c>
      <c r="J125" s="2">
        <v>0.13300000000000001</v>
      </c>
      <c r="K125" s="2">
        <v>7</v>
      </c>
      <c r="L125" s="2">
        <f>I125*J125*K125</f>
        <v>828.59</v>
      </c>
      <c r="M125" s="2">
        <v>1240</v>
      </c>
      <c r="N125" s="2">
        <v>73.8</v>
      </c>
      <c r="O125" s="2">
        <f>M125*N125</f>
        <v>91512</v>
      </c>
      <c r="P125" s="2">
        <f>H125/C125*100000</f>
        <v>40.554905032002402</v>
      </c>
      <c r="Q125" s="7">
        <f t="shared" si="5"/>
        <v>33.33892924592071</v>
      </c>
      <c r="R125" s="2" t="s">
        <v>92</v>
      </c>
      <c r="S125" s="2" t="s">
        <v>35</v>
      </c>
      <c r="T125" s="2" t="s">
        <v>36</v>
      </c>
    </row>
    <row r="126" spans="1:20" x14ac:dyDescent="0.3">
      <c r="A126" s="2" t="s">
        <v>86</v>
      </c>
      <c r="B126" s="2" t="s">
        <v>87</v>
      </c>
      <c r="C126" s="2">
        <v>227692786</v>
      </c>
      <c r="D126" s="2">
        <v>2024</v>
      </c>
      <c r="E126" s="2" t="s">
        <v>37</v>
      </c>
      <c r="F126" s="4" t="s">
        <v>29</v>
      </c>
      <c r="G126" s="2">
        <v>6</v>
      </c>
      <c r="H126" s="2" t="s">
        <v>29</v>
      </c>
      <c r="I126" s="2" t="s">
        <v>29</v>
      </c>
      <c r="J126" s="2">
        <v>0.128</v>
      </c>
      <c r="K126" s="2">
        <v>5</v>
      </c>
      <c r="L126" s="2" t="s">
        <v>29</v>
      </c>
      <c r="M126" s="2" t="s">
        <v>29</v>
      </c>
      <c r="N126" s="2">
        <v>73.8</v>
      </c>
      <c r="O126" s="2" t="s">
        <v>29</v>
      </c>
      <c r="P126" s="2" t="s">
        <v>29</v>
      </c>
      <c r="Q126" s="7" t="e">
        <f t="shared" si="5"/>
        <v>#VALUE!</v>
      </c>
      <c r="R126" s="2" t="s">
        <v>93</v>
      </c>
      <c r="S126" s="2" t="s">
        <v>39</v>
      </c>
      <c r="T126" s="2" t="s">
        <v>94</v>
      </c>
    </row>
    <row r="127" spans="1:20" x14ac:dyDescent="0.3">
      <c r="A127" s="2" t="s">
        <v>86</v>
      </c>
      <c r="B127" s="2" t="s">
        <v>87</v>
      </c>
      <c r="C127" s="2">
        <v>227692786</v>
      </c>
      <c r="D127" s="2">
        <v>2024</v>
      </c>
      <c r="E127" s="2" t="s">
        <v>41</v>
      </c>
      <c r="F127" s="4">
        <v>1.8445907197077399E-5</v>
      </c>
      <c r="G127" s="2">
        <v>6</v>
      </c>
      <c r="H127" s="2">
        <f>L127+O127+G127*F127</f>
        <v>28064.160110675442</v>
      </c>
      <c r="I127" s="2">
        <v>42</v>
      </c>
      <c r="J127" s="2">
        <v>0.12</v>
      </c>
      <c r="K127" s="2">
        <v>4</v>
      </c>
      <c r="L127" s="2">
        <f>I127*J127*K127</f>
        <v>20.16</v>
      </c>
      <c r="M127" s="2">
        <v>380</v>
      </c>
      <c r="N127" s="2">
        <v>73.8</v>
      </c>
      <c r="O127" s="2">
        <f>M127*N127</f>
        <v>28044</v>
      </c>
      <c r="P127" s="2">
        <f>H127/C127*100000</f>
        <v>12.325449832510479</v>
      </c>
      <c r="Q127" s="7">
        <f t="shared" si="5"/>
        <v>11.596135242606875</v>
      </c>
      <c r="R127" s="2" t="s">
        <v>95</v>
      </c>
      <c r="S127" s="2" t="s">
        <v>40</v>
      </c>
      <c r="T127" s="2" t="s">
        <v>44</v>
      </c>
    </row>
    <row r="128" spans="1:20" x14ac:dyDescent="0.3">
      <c r="A128" s="2" t="s">
        <v>86</v>
      </c>
      <c r="B128" s="2" t="s">
        <v>87</v>
      </c>
      <c r="C128" s="2">
        <v>233476921</v>
      </c>
      <c r="D128" s="2">
        <v>2025</v>
      </c>
      <c r="E128" s="2" t="s">
        <v>22</v>
      </c>
      <c r="F128" s="4">
        <v>1.6704006474370101E-3</v>
      </c>
      <c r="G128" s="2">
        <v>9</v>
      </c>
      <c r="H128" s="2">
        <f>L128+O128+G128*F128</f>
        <v>483849.61503360578</v>
      </c>
      <c r="I128" s="2">
        <v>3900</v>
      </c>
      <c r="J128" s="2">
        <v>0.13300000000000001</v>
      </c>
      <c r="K128" s="2">
        <v>8</v>
      </c>
      <c r="L128" s="2">
        <f>I128*J128*K128</f>
        <v>4149.6000000000004</v>
      </c>
      <c r="M128" s="2">
        <v>6500</v>
      </c>
      <c r="N128" s="2">
        <v>73.8</v>
      </c>
      <c r="O128" s="2">
        <f>M128*N128</f>
        <v>479700</v>
      </c>
      <c r="P128" s="2">
        <f>H128/C128*100000</f>
        <v>207.23659236263691</v>
      </c>
      <c r="Q128" s="7">
        <f t="shared" si="5"/>
        <v>87.41124113271421</v>
      </c>
      <c r="R128" s="2" t="s">
        <v>106</v>
      </c>
      <c r="S128" s="2" t="s">
        <v>28</v>
      </c>
      <c r="T128" s="2" t="s">
        <v>89</v>
      </c>
    </row>
    <row r="129" spans="1:20" x14ac:dyDescent="0.3">
      <c r="A129" s="2" t="s">
        <v>86</v>
      </c>
      <c r="B129" s="2" t="s">
        <v>87</v>
      </c>
      <c r="C129" s="2">
        <v>233476921</v>
      </c>
      <c r="D129" s="2">
        <v>2025</v>
      </c>
      <c r="E129" s="2" t="s">
        <v>26</v>
      </c>
      <c r="F129" s="4">
        <v>7.7095414497092797E-5</v>
      </c>
      <c r="G129" s="2">
        <v>7</v>
      </c>
      <c r="H129" s="2">
        <f>L129+O129+G129*F129</f>
        <v>1029.2405396679014</v>
      </c>
      <c r="I129" s="2">
        <v>180</v>
      </c>
      <c r="J129" s="2">
        <v>0.13300000000000001</v>
      </c>
      <c r="K129" s="2">
        <v>6</v>
      </c>
      <c r="L129" s="2">
        <f>I129*J129*K129</f>
        <v>143.64000000000001</v>
      </c>
      <c r="M129" s="2">
        <v>12</v>
      </c>
      <c r="N129" s="2">
        <v>73.8</v>
      </c>
      <c r="O129" s="2">
        <f>M129*N129</f>
        <v>885.59999999999991</v>
      </c>
      <c r="P129" s="2">
        <f>H129/C129*100000</f>
        <v>0.44083181123837994</v>
      </c>
      <c r="Q129" s="7">
        <f t="shared" si="5"/>
        <v>0.43986157403771431</v>
      </c>
      <c r="R129" s="2" t="s">
        <v>90</v>
      </c>
      <c r="S129" s="2" t="s">
        <v>28</v>
      </c>
      <c r="T129" s="2" t="s">
        <v>29</v>
      </c>
    </row>
    <row r="130" spans="1:20" x14ac:dyDescent="0.3">
      <c r="A130" s="2" t="s">
        <v>86</v>
      </c>
      <c r="B130" s="2" t="s">
        <v>87</v>
      </c>
      <c r="C130" s="2">
        <v>233476921</v>
      </c>
      <c r="D130" s="2">
        <v>2025</v>
      </c>
      <c r="E130" s="2" t="s">
        <v>30</v>
      </c>
      <c r="F130" s="4">
        <v>7.7952030213727203E-4</v>
      </c>
      <c r="G130" s="2">
        <v>7</v>
      </c>
      <c r="H130" s="2">
        <f>L130+O130+G130*F130</f>
        <v>174144.36545664209</v>
      </c>
      <c r="I130" s="2">
        <v>1820</v>
      </c>
      <c r="J130" s="2">
        <v>0.13300000000000001</v>
      </c>
      <c r="K130" s="2">
        <v>6</v>
      </c>
      <c r="L130" s="2">
        <f>I130*J130*K130</f>
        <v>1452.3600000000001</v>
      </c>
      <c r="M130" s="2">
        <v>2340</v>
      </c>
      <c r="N130" s="2">
        <v>73.8</v>
      </c>
      <c r="O130" s="2">
        <f>M130*N130</f>
        <v>172692</v>
      </c>
      <c r="P130" s="2">
        <f>H130/C130*100000</f>
        <v>74.587400206739105</v>
      </c>
      <c r="Q130" s="7">
        <f t="shared" ref="Q130:Q193" si="6">100*(1-EXP(-P130/100))</f>
        <v>52.568043755258273</v>
      </c>
      <c r="R130" s="2" t="s">
        <v>91</v>
      </c>
      <c r="S130" s="2" t="s">
        <v>28</v>
      </c>
      <c r="T130" s="2" t="s">
        <v>32</v>
      </c>
    </row>
    <row r="131" spans="1:20" x14ac:dyDescent="0.3">
      <c r="A131" s="2" t="s">
        <v>86</v>
      </c>
      <c r="B131" s="2" t="s">
        <v>87</v>
      </c>
      <c r="C131" s="2">
        <v>233476921</v>
      </c>
      <c r="D131" s="2">
        <v>2025</v>
      </c>
      <c r="E131" s="2" t="s">
        <v>33</v>
      </c>
      <c r="F131" s="4">
        <v>3.8119399390229201E-4</v>
      </c>
      <c r="G131" s="2">
        <v>8</v>
      </c>
      <c r="H131" s="2">
        <f>L131+O131+G131*F131</f>
        <v>92340.593049551942</v>
      </c>
      <c r="I131" s="2">
        <v>890</v>
      </c>
      <c r="J131" s="2">
        <v>0.13300000000000001</v>
      </c>
      <c r="K131" s="2">
        <v>7</v>
      </c>
      <c r="L131" s="2">
        <f>I131*J131*K131</f>
        <v>828.59</v>
      </c>
      <c r="M131" s="2">
        <v>1240</v>
      </c>
      <c r="N131" s="2">
        <v>73.8</v>
      </c>
      <c r="O131" s="2">
        <f>M131*N131</f>
        <v>91512</v>
      </c>
      <c r="P131" s="2">
        <f>H131/C131*100000</f>
        <v>39.550201644792097</v>
      </c>
      <c r="Q131" s="7">
        <f t="shared" si="6"/>
        <v>32.665807433508022</v>
      </c>
      <c r="R131" s="2" t="s">
        <v>92</v>
      </c>
      <c r="S131" s="2" t="s">
        <v>35</v>
      </c>
      <c r="T131" s="2" t="s">
        <v>36</v>
      </c>
    </row>
    <row r="132" spans="1:20" x14ac:dyDescent="0.3">
      <c r="A132" s="2" t="s">
        <v>86</v>
      </c>
      <c r="B132" s="2" t="s">
        <v>87</v>
      </c>
      <c r="C132" s="2">
        <v>233476921</v>
      </c>
      <c r="D132" s="2">
        <v>2025</v>
      </c>
      <c r="E132" s="2" t="s">
        <v>37</v>
      </c>
      <c r="F132" s="4" t="s">
        <v>29</v>
      </c>
      <c r="G132" s="2">
        <v>6</v>
      </c>
      <c r="H132" s="2" t="s">
        <v>29</v>
      </c>
      <c r="I132" s="2" t="s">
        <v>29</v>
      </c>
      <c r="J132" s="2">
        <v>0.128</v>
      </c>
      <c r="K132" s="2">
        <v>5</v>
      </c>
      <c r="L132" s="2" t="s">
        <v>29</v>
      </c>
      <c r="M132" s="2" t="s">
        <v>29</v>
      </c>
      <c r="N132" s="2">
        <v>73.8</v>
      </c>
      <c r="O132" s="2" t="s">
        <v>29</v>
      </c>
      <c r="P132" s="2" t="s">
        <v>29</v>
      </c>
      <c r="Q132" s="7" t="e">
        <f t="shared" si="6"/>
        <v>#VALUE!</v>
      </c>
      <c r="R132" s="2" t="s">
        <v>93</v>
      </c>
      <c r="S132" s="2" t="s">
        <v>39</v>
      </c>
      <c r="T132" s="2" t="s">
        <v>94</v>
      </c>
    </row>
    <row r="133" spans="1:20" x14ac:dyDescent="0.3">
      <c r="A133" s="2" t="s">
        <v>86</v>
      </c>
      <c r="B133" s="2" t="s">
        <v>87</v>
      </c>
      <c r="C133" s="2">
        <v>233476921</v>
      </c>
      <c r="D133" s="2">
        <v>2025</v>
      </c>
      <c r="E133" s="2" t="s">
        <v>41</v>
      </c>
      <c r="F133" s="4">
        <v>1.79889300493217E-5</v>
      </c>
      <c r="G133" s="2">
        <v>6</v>
      </c>
      <c r="H133" s="2">
        <f t="shared" ref="H133:H164" si="7">L133+O133+G133*F133</f>
        <v>28064.160107933581</v>
      </c>
      <c r="I133" s="2">
        <v>42</v>
      </c>
      <c r="J133" s="2">
        <v>0.12</v>
      </c>
      <c r="K133" s="2">
        <v>4</v>
      </c>
      <c r="L133" s="2">
        <f t="shared" ref="L133:L164" si="8">I133*J133*K133</f>
        <v>20.16</v>
      </c>
      <c r="M133" s="2">
        <v>380</v>
      </c>
      <c r="N133" s="2">
        <v>73.8</v>
      </c>
      <c r="O133" s="2">
        <f t="shared" ref="O133:O164" si="9">M133*N133</f>
        <v>28044</v>
      </c>
      <c r="P133" s="2">
        <f t="shared" ref="P133:P164" si="10">H133/C133*100000</f>
        <v>12.02010031129954</v>
      </c>
      <c r="Q133" s="7">
        <f t="shared" si="6"/>
        <v>11.325781913601107</v>
      </c>
      <c r="R133" s="2" t="s">
        <v>95</v>
      </c>
      <c r="S133" s="2" t="s">
        <v>40</v>
      </c>
      <c r="T133" s="2" t="s">
        <v>44</v>
      </c>
    </row>
    <row r="134" spans="1:20" x14ac:dyDescent="0.3">
      <c r="A134" s="2" t="s">
        <v>107</v>
      </c>
      <c r="B134" s="2" t="s">
        <v>87</v>
      </c>
      <c r="C134" s="2">
        <v>11369071</v>
      </c>
      <c r="D134" s="2">
        <v>2015</v>
      </c>
      <c r="E134" s="2" t="s">
        <v>22</v>
      </c>
      <c r="F134" s="4">
        <v>1.5832428172891201E-4</v>
      </c>
      <c r="G134" s="2">
        <v>9</v>
      </c>
      <c r="H134" s="2">
        <f t="shared" si="7"/>
        <v>314.35342491853555</v>
      </c>
      <c r="I134" s="2">
        <v>18</v>
      </c>
      <c r="J134" s="2">
        <v>0.13300000000000001</v>
      </c>
      <c r="K134" s="2">
        <v>8</v>
      </c>
      <c r="L134" s="2">
        <f t="shared" si="8"/>
        <v>19.152000000000001</v>
      </c>
      <c r="M134" s="2">
        <v>4</v>
      </c>
      <c r="N134" s="2">
        <v>73.8</v>
      </c>
      <c r="O134" s="2">
        <f t="shared" si="9"/>
        <v>295.2</v>
      </c>
      <c r="P134" s="2">
        <f t="shared" si="10"/>
        <v>2.7649877894028063</v>
      </c>
      <c r="Q134" s="7">
        <f t="shared" si="6"/>
        <v>2.7271118928637872</v>
      </c>
      <c r="R134" s="2" t="s">
        <v>108</v>
      </c>
      <c r="S134" s="2" t="s">
        <v>28</v>
      </c>
      <c r="T134" s="2" t="s">
        <v>62</v>
      </c>
    </row>
    <row r="135" spans="1:20" x14ac:dyDescent="0.3">
      <c r="A135" s="2" t="s">
        <v>107</v>
      </c>
      <c r="B135" s="2" t="s">
        <v>87</v>
      </c>
      <c r="C135" s="2">
        <v>11369071</v>
      </c>
      <c r="D135" s="2">
        <v>2015</v>
      </c>
      <c r="E135" s="2" t="s">
        <v>26</v>
      </c>
      <c r="F135" s="4">
        <v>2.9905697659905501E-4</v>
      </c>
      <c r="G135" s="2">
        <v>7</v>
      </c>
      <c r="H135" s="2">
        <f t="shared" si="7"/>
        <v>174.73409339883619</v>
      </c>
      <c r="I135" s="2">
        <v>34</v>
      </c>
      <c r="J135" s="2">
        <v>0.13300000000000001</v>
      </c>
      <c r="K135" s="2">
        <v>6</v>
      </c>
      <c r="L135" s="2">
        <f t="shared" si="8"/>
        <v>27.132000000000001</v>
      </c>
      <c r="M135" s="2">
        <v>2</v>
      </c>
      <c r="N135" s="2">
        <v>73.8</v>
      </c>
      <c r="O135" s="2">
        <f t="shared" si="9"/>
        <v>147.6</v>
      </c>
      <c r="P135" s="2">
        <f t="shared" si="10"/>
        <v>1.5369249906068507</v>
      </c>
      <c r="Q135" s="7">
        <f t="shared" si="6"/>
        <v>1.5251745738581346</v>
      </c>
      <c r="R135" s="2" t="s">
        <v>109</v>
      </c>
      <c r="S135" s="2" t="s">
        <v>28</v>
      </c>
      <c r="T135" s="2" t="s">
        <v>110</v>
      </c>
    </row>
    <row r="136" spans="1:20" x14ac:dyDescent="0.3">
      <c r="A136" s="2" t="s">
        <v>107</v>
      </c>
      <c r="B136" s="2" t="s">
        <v>87</v>
      </c>
      <c r="C136" s="2">
        <v>11369071</v>
      </c>
      <c r="D136" s="2">
        <v>2015</v>
      </c>
      <c r="E136" s="2" t="s">
        <v>30</v>
      </c>
      <c r="F136" s="4">
        <v>1.05549521152608E-4</v>
      </c>
      <c r="G136" s="2">
        <v>7</v>
      </c>
      <c r="H136" s="2">
        <f t="shared" si="7"/>
        <v>599.97673884664812</v>
      </c>
      <c r="I136" s="2">
        <v>12</v>
      </c>
      <c r="J136" s="2">
        <v>0.13300000000000001</v>
      </c>
      <c r="K136" s="2">
        <v>6</v>
      </c>
      <c r="L136" s="2">
        <f t="shared" si="8"/>
        <v>9.5760000000000005</v>
      </c>
      <c r="M136" s="2">
        <v>8</v>
      </c>
      <c r="N136" s="2">
        <v>73.8</v>
      </c>
      <c r="O136" s="2">
        <f t="shared" si="9"/>
        <v>590.4</v>
      </c>
      <c r="P136" s="2">
        <f t="shared" si="10"/>
        <v>5.2772714573305786</v>
      </c>
      <c r="Q136" s="7">
        <f t="shared" si="6"/>
        <v>5.1404410064017743</v>
      </c>
      <c r="R136" s="2" t="s">
        <v>111</v>
      </c>
      <c r="S136" s="2" t="s">
        <v>28</v>
      </c>
      <c r="T136" s="2" t="s">
        <v>29</v>
      </c>
    </row>
    <row r="137" spans="1:20" x14ac:dyDescent="0.3">
      <c r="A137" s="2" t="s">
        <v>107</v>
      </c>
      <c r="B137" s="2" t="s">
        <v>87</v>
      </c>
      <c r="C137" s="2">
        <v>11369071</v>
      </c>
      <c r="D137" s="2">
        <v>2015</v>
      </c>
      <c r="E137" s="2" t="s">
        <v>33</v>
      </c>
      <c r="F137" s="4">
        <v>1.7591586858768E-5</v>
      </c>
      <c r="G137" s="2">
        <v>8</v>
      </c>
      <c r="H137" s="2">
        <f t="shared" si="7"/>
        <v>1.8621407326948702</v>
      </c>
      <c r="I137" s="2">
        <v>2</v>
      </c>
      <c r="J137" s="2">
        <v>0.13300000000000001</v>
      </c>
      <c r="K137" s="2">
        <v>7</v>
      </c>
      <c r="L137" s="2">
        <f t="shared" si="8"/>
        <v>1.8620000000000001</v>
      </c>
      <c r="M137" s="2">
        <v>0</v>
      </c>
      <c r="N137" s="2">
        <v>73.8</v>
      </c>
      <c r="O137" s="2">
        <f t="shared" si="9"/>
        <v>0</v>
      </c>
      <c r="P137" s="2">
        <f t="shared" si="10"/>
        <v>1.6379005221225817E-2</v>
      </c>
      <c r="Q137" s="7">
        <f t="shared" si="6"/>
        <v>1.6377663935396303E-2</v>
      </c>
      <c r="R137" s="2" t="s">
        <v>112</v>
      </c>
      <c r="S137" s="2" t="s">
        <v>35</v>
      </c>
      <c r="T137" s="2" t="s">
        <v>29</v>
      </c>
    </row>
    <row r="138" spans="1:20" x14ac:dyDescent="0.3">
      <c r="A138" s="2" t="s">
        <v>107</v>
      </c>
      <c r="B138" s="2" t="s">
        <v>87</v>
      </c>
      <c r="C138" s="2">
        <v>11369071</v>
      </c>
      <c r="D138" s="2">
        <v>2015</v>
      </c>
      <c r="E138" s="2" t="s">
        <v>37</v>
      </c>
      <c r="F138" s="4">
        <v>3.6942332403412702E-4</v>
      </c>
      <c r="G138" s="2">
        <v>6</v>
      </c>
      <c r="H138" s="2">
        <f t="shared" si="7"/>
        <v>26.882216539944206</v>
      </c>
      <c r="I138" s="2">
        <v>42</v>
      </c>
      <c r="J138" s="2">
        <v>0.128</v>
      </c>
      <c r="K138" s="2">
        <v>5</v>
      </c>
      <c r="L138" s="2">
        <f t="shared" si="8"/>
        <v>26.880000000000003</v>
      </c>
      <c r="M138" s="2">
        <v>0</v>
      </c>
      <c r="N138" s="2">
        <v>73.8</v>
      </c>
      <c r="O138" s="2">
        <f t="shared" si="9"/>
        <v>0</v>
      </c>
      <c r="P138" s="2">
        <f t="shared" si="10"/>
        <v>0.23645042360931873</v>
      </c>
      <c r="Q138" s="7">
        <f t="shared" si="6"/>
        <v>0.23617109979268136</v>
      </c>
      <c r="R138" s="2" t="s">
        <v>113</v>
      </c>
      <c r="S138" s="2" t="s">
        <v>39</v>
      </c>
      <c r="T138" s="2" t="s">
        <v>29</v>
      </c>
    </row>
    <row r="139" spans="1:20" x14ac:dyDescent="0.3">
      <c r="A139" s="2" t="s">
        <v>107</v>
      </c>
      <c r="B139" s="2" t="s">
        <v>87</v>
      </c>
      <c r="C139" s="2">
        <v>11369071</v>
      </c>
      <c r="D139" s="2">
        <v>2015</v>
      </c>
      <c r="E139" s="2" t="s">
        <v>41</v>
      </c>
      <c r="F139" s="4">
        <v>2.46282216022752E-4</v>
      </c>
      <c r="G139" s="2">
        <v>6</v>
      </c>
      <c r="H139" s="2">
        <f t="shared" si="7"/>
        <v>13297.441477693297</v>
      </c>
      <c r="I139" s="2">
        <v>28</v>
      </c>
      <c r="J139" s="2">
        <v>0.12</v>
      </c>
      <c r="K139" s="2">
        <v>4</v>
      </c>
      <c r="L139" s="2">
        <f t="shared" si="8"/>
        <v>13.44</v>
      </c>
      <c r="M139" s="2">
        <v>180</v>
      </c>
      <c r="N139" s="2">
        <v>73.8</v>
      </c>
      <c r="O139" s="2">
        <f t="shared" si="9"/>
        <v>13284</v>
      </c>
      <c r="P139" s="2">
        <f t="shared" si="10"/>
        <v>116.96154837711275</v>
      </c>
      <c r="Q139" s="7">
        <f t="shared" si="6"/>
        <v>68.951369466145195</v>
      </c>
      <c r="R139" s="2" t="s">
        <v>114</v>
      </c>
      <c r="S139" s="2" t="s">
        <v>40</v>
      </c>
      <c r="T139" s="2" t="s">
        <v>44</v>
      </c>
    </row>
    <row r="140" spans="1:20" x14ac:dyDescent="0.3">
      <c r="A140" s="2" t="s">
        <v>107</v>
      </c>
      <c r="B140" s="2" t="s">
        <v>87</v>
      </c>
      <c r="C140" s="2">
        <v>11668818</v>
      </c>
      <c r="D140" s="2">
        <v>2016</v>
      </c>
      <c r="E140" s="2" t="s">
        <v>22</v>
      </c>
      <c r="F140" s="4">
        <v>1.5425726924526601E-4</v>
      </c>
      <c r="G140" s="2">
        <v>9</v>
      </c>
      <c r="H140" s="2">
        <f t="shared" si="7"/>
        <v>314.35338831542316</v>
      </c>
      <c r="I140" s="2">
        <v>18</v>
      </c>
      <c r="J140" s="2">
        <v>0.13300000000000001</v>
      </c>
      <c r="K140" s="2">
        <v>8</v>
      </c>
      <c r="L140" s="2">
        <f t="shared" si="8"/>
        <v>19.152000000000001</v>
      </c>
      <c r="M140" s="2">
        <v>4</v>
      </c>
      <c r="N140" s="2">
        <v>73.8</v>
      </c>
      <c r="O140" s="2">
        <f t="shared" si="9"/>
        <v>295.2</v>
      </c>
      <c r="P140" s="2">
        <f t="shared" si="10"/>
        <v>2.6939608477518733</v>
      </c>
      <c r="Q140" s="7">
        <f t="shared" si="6"/>
        <v>2.6579973933337109</v>
      </c>
      <c r="R140" s="2" t="s">
        <v>108</v>
      </c>
      <c r="S140" s="2" t="s">
        <v>28</v>
      </c>
      <c r="T140" s="2" t="s">
        <v>62</v>
      </c>
    </row>
    <row r="141" spans="1:20" x14ac:dyDescent="0.3">
      <c r="A141" s="2" t="s">
        <v>107</v>
      </c>
      <c r="B141" s="2" t="s">
        <v>87</v>
      </c>
      <c r="C141" s="2">
        <v>11668818</v>
      </c>
      <c r="D141" s="2">
        <v>2016</v>
      </c>
      <c r="E141" s="2" t="s">
        <v>26</v>
      </c>
      <c r="F141" s="4">
        <v>2.9137484190772399E-4</v>
      </c>
      <c r="G141" s="2">
        <v>7</v>
      </c>
      <c r="H141" s="2">
        <f t="shared" si="7"/>
        <v>174.73403962389335</v>
      </c>
      <c r="I141" s="2">
        <v>34</v>
      </c>
      <c r="J141" s="2">
        <v>0.13300000000000001</v>
      </c>
      <c r="K141" s="2">
        <v>6</v>
      </c>
      <c r="L141" s="2">
        <f t="shared" si="8"/>
        <v>27.132000000000001</v>
      </c>
      <c r="M141" s="2">
        <v>2</v>
      </c>
      <c r="N141" s="2">
        <v>73.8</v>
      </c>
      <c r="O141" s="2">
        <f t="shared" si="9"/>
        <v>147.6</v>
      </c>
      <c r="P141" s="2">
        <f t="shared" si="10"/>
        <v>1.4974442109208779</v>
      </c>
      <c r="Q141" s="7">
        <f t="shared" si="6"/>
        <v>1.4862882691824675</v>
      </c>
      <c r="R141" s="2" t="s">
        <v>109</v>
      </c>
      <c r="S141" s="2" t="s">
        <v>28</v>
      </c>
      <c r="T141" s="2" t="s">
        <v>110</v>
      </c>
    </row>
    <row r="142" spans="1:20" x14ac:dyDescent="0.3">
      <c r="A142" s="2" t="s">
        <v>107</v>
      </c>
      <c r="B142" s="2" t="s">
        <v>87</v>
      </c>
      <c r="C142" s="2">
        <v>11668818</v>
      </c>
      <c r="D142" s="2">
        <v>2016</v>
      </c>
      <c r="E142" s="2" t="s">
        <v>30</v>
      </c>
      <c r="F142" s="4">
        <v>1.02838179496844E-4</v>
      </c>
      <c r="G142" s="2">
        <v>7</v>
      </c>
      <c r="H142" s="2">
        <f t="shared" si="7"/>
        <v>599.97671986725652</v>
      </c>
      <c r="I142" s="2">
        <v>12</v>
      </c>
      <c r="J142" s="2">
        <v>0.13300000000000001</v>
      </c>
      <c r="K142" s="2">
        <v>6</v>
      </c>
      <c r="L142" s="2">
        <f t="shared" si="8"/>
        <v>9.5760000000000005</v>
      </c>
      <c r="M142" s="2">
        <v>8</v>
      </c>
      <c r="N142" s="2">
        <v>73.8</v>
      </c>
      <c r="O142" s="2">
        <f t="shared" si="9"/>
        <v>590.4</v>
      </c>
      <c r="P142" s="2">
        <f t="shared" si="10"/>
        <v>5.1417094676363666</v>
      </c>
      <c r="Q142" s="7">
        <f t="shared" si="6"/>
        <v>5.0117602994579897</v>
      </c>
      <c r="R142" s="2" t="s">
        <v>111</v>
      </c>
      <c r="S142" s="2" t="s">
        <v>28</v>
      </c>
      <c r="T142" s="2" t="s">
        <v>29</v>
      </c>
    </row>
    <row r="143" spans="1:20" x14ac:dyDescent="0.3">
      <c r="A143" s="2" t="s">
        <v>107</v>
      </c>
      <c r="B143" s="2" t="s">
        <v>87</v>
      </c>
      <c r="C143" s="2">
        <v>11668818</v>
      </c>
      <c r="D143" s="2">
        <v>2016</v>
      </c>
      <c r="E143" s="2" t="s">
        <v>33</v>
      </c>
      <c r="F143" s="4">
        <v>1.7139696582807301E-5</v>
      </c>
      <c r="G143" s="2">
        <v>8</v>
      </c>
      <c r="H143" s="2">
        <f t="shared" si="7"/>
        <v>1.8621371175726626</v>
      </c>
      <c r="I143" s="2">
        <v>2</v>
      </c>
      <c r="J143" s="2">
        <v>0.13300000000000001</v>
      </c>
      <c r="K143" s="2">
        <v>7</v>
      </c>
      <c r="L143" s="2">
        <f t="shared" si="8"/>
        <v>1.8620000000000001</v>
      </c>
      <c r="M143" s="2">
        <v>0</v>
      </c>
      <c r="N143" s="2">
        <v>73.8</v>
      </c>
      <c r="O143" s="2">
        <f t="shared" si="9"/>
        <v>0</v>
      </c>
      <c r="P143" s="2">
        <f t="shared" si="10"/>
        <v>1.5958232595389376E-2</v>
      </c>
      <c r="Q143" s="7">
        <f t="shared" si="6"/>
        <v>1.5956959337182219E-2</v>
      </c>
      <c r="R143" s="2" t="s">
        <v>112</v>
      </c>
      <c r="S143" s="2" t="s">
        <v>35</v>
      </c>
      <c r="T143" s="2" t="s">
        <v>29</v>
      </c>
    </row>
    <row r="144" spans="1:20" x14ac:dyDescent="0.3">
      <c r="A144" s="2" t="s">
        <v>107</v>
      </c>
      <c r="B144" s="2" t="s">
        <v>87</v>
      </c>
      <c r="C144" s="2">
        <v>11668818</v>
      </c>
      <c r="D144" s="2">
        <v>2016</v>
      </c>
      <c r="E144" s="2" t="s">
        <v>37</v>
      </c>
      <c r="F144" s="4">
        <v>3.5993362823895299E-4</v>
      </c>
      <c r="G144" s="2">
        <v>6</v>
      </c>
      <c r="H144" s="2">
        <f t="shared" si="7"/>
        <v>26.882159601769438</v>
      </c>
      <c r="I144" s="2">
        <v>42</v>
      </c>
      <c r="J144" s="2">
        <v>0.128</v>
      </c>
      <c r="K144" s="2">
        <v>5</v>
      </c>
      <c r="L144" s="2">
        <f t="shared" si="8"/>
        <v>26.880000000000003</v>
      </c>
      <c r="M144" s="2">
        <v>0</v>
      </c>
      <c r="N144" s="2">
        <v>73.8</v>
      </c>
      <c r="O144" s="2">
        <f t="shared" si="9"/>
        <v>0</v>
      </c>
      <c r="P144" s="2">
        <f t="shared" si="10"/>
        <v>0.23037602953246367</v>
      </c>
      <c r="Q144" s="7">
        <f t="shared" si="6"/>
        <v>0.23011086761979271</v>
      </c>
      <c r="R144" s="2" t="s">
        <v>113</v>
      </c>
      <c r="S144" s="2" t="s">
        <v>39</v>
      </c>
      <c r="T144" s="2" t="s">
        <v>29</v>
      </c>
    </row>
    <row r="145" spans="1:20" x14ac:dyDescent="0.3">
      <c r="A145" s="2" t="s">
        <v>107</v>
      </c>
      <c r="B145" s="2" t="s">
        <v>87</v>
      </c>
      <c r="C145" s="2">
        <v>11668818</v>
      </c>
      <c r="D145" s="2">
        <v>2016</v>
      </c>
      <c r="E145" s="2" t="s">
        <v>41</v>
      </c>
      <c r="F145" s="4">
        <v>2.3995575215930199E-4</v>
      </c>
      <c r="G145" s="2">
        <v>6</v>
      </c>
      <c r="H145" s="2">
        <f t="shared" si="7"/>
        <v>13297.441439734514</v>
      </c>
      <c r="I145" s="2">
        <v>28</v>
      </c>
      <c r="J145" s="2">
        <v>0.12</v>
      </c>
      <c r="K145" s="2">
        <v>4</v>
      </c>
      <c r="L145" s="2">
        <f t="shared" si="8"/>
        <v>13.44</v>
      </c>
      <c r="M145" s="2">
        <v>180</v>
      </c>
      <c r="N145" s="2">
        <v>73.8</v>
      </c>
      <c r="O145" s="2">
        <f t="shared" si="9"/>
        <v>13284</v>
      </c>
      <c r="P145" s="2">
        <f t="shared" si="10"/>
        <v>113.95705580234873</v>
      </c>
      <c r="Q145" s="7">
        <f t="shared" si="6"/>
        <v>68.004360497604125</v>
      </c>
      <c r="R145" s="2" t="s">
        <v>114</v>
      </c>
      <c r="S145" s="2" t="s">
        <v>40</v>
      </c>
      <c r="T145" s="2" t="s">
        <v>44</v>
      </c>
    </row>
    <row r="146" spans="1:20" x14ac:dyDescent="0.3">
      <c r="A146" s="2" t="s">
        <v>107</v>
      </c>
      <c r="B146" s="2" t="s">
        <v>87</v>
      </c>
      <c r="C146" s="2">
        <v>11980937</v>
      </c>
      <c r="D146" s="2">
        <v>2017</v>
      </c>
      <c r="E146" s="2" t="s">
        <v>22</v>
      </c>
      <c r="F146" s="4">
        <v>1.5023866664185001E-4</v>
      </c>
      <c r="G146" s="2">
        <v>9</v>
      </c>
      <c r="H146" s="2">
        <f t="shared" si="7"/>
        <v>314.35335214799977</v>
      </c>
      <c r="I146" s="2">
        <v>18</v>
      </c>
      <c r="J146" s="2">
        <v>0.13300000000000001</v>
      </c>
      <c r="K146" s="2">
        <v>8</v>
      </c>
      <c r="L146" s="2">
        <f t="shared" si="8"/>
        <v>19.152000000000001</v>
      </c>
      <c r="M146" s="2">
        <v>4</v>
      </c>
      <c r="N146" s="2">
        <v>73.8</v>
      </c>
      <c r="O146" s="2">
        <f t="shared" si="9"/>
        <v>295.2</v>
      </c>
      <c r="P146" s="2">
        <f t="shared" si="10"/>
        <v>2.6237793600617358</v>
      </c>
      <c r="Q146" s="7">
        <f t="shared" si="6"/>
        <v>2.589657349532315</v>
      </c>
      <c r="R146" s="2" t="s">
        <v>108</v>
      </c>
      <c r="S146" s="2" t="s">
        <v>28</v>
      </c>
      <c r="T146" s="2" t="s">
        <v>62</v>
      </c>
    </row>
    <row r="147" spans="1:20" x14ac:dyDescent="0.3">
      <c r="A147" s="2" t="s">
        <v>107</v>
      </c>
      <c r="B147" s="2" t="s">
        <v>87</v>
      </c>
      <c r="C147" s="2">
        <v>11980937</v>
      </c>
      <c r="D147" s="2">
        <v>2017</v>
      </c>
      <c r="E147" s="2" t="s">
        <v>26</v>
      </c>
      <c r="F147" s="4">
        <v>2.8378414810127103E-4</v>
      </c>
      <c r="G147" s="2">
        <v>7</v>
      </c>
      <c r="H147" s="2">
        <f t="shared" si="7"/>
        <v>174.73398648903671</v>
      </c>
      <c r="I147" s="2">
        <v>34</v>
      </c>
      <c r="J147" s="2">
        <v>0.13300000000000001</v>
      </c>
      <c r="K147" s="2">
        <v>6</v>
      </c>
      <c r="L147" s="2">
        <f t="shared" si="8"/>
        <v>27.132000000000001</v>
      </c>
      <c r="M147" s="2">
        <v>2</v>
      </c>
      <c r="N147" s="2">
        <v>73.8</v>
      </c>
      <c r="O147" s="2">
        <f t="shared" si="9"/>
        <v>147.6</v>
      </c>
      <c r="P147" s="2">
        <f t="shared" si="10"/>
        <v>1.4584333970626564</v>
      </c>
      <c r="Q147" s="7">
        <f t="shared" si="6"/>
        <v>1.4478497713763971</v>
      </c>
      <c r="R147" s="2" t="s">
        <v>109</v>
      </c>
      <c r="S147" s="2" t="s">
        <v>28</v>
      </c>
      <c r="T147" s="2" t="s">
        <v>110</v>
      </c>
    </row>
    <row r="148" spans="1:20" x14ac:dyDescent="0.3">
      <c r="A148" s="2" t="s">
        <v>107</v>
      </c>
      <c r="B148" s="2" t="s">
        <v>87</v>
      </c>
      <c r="C148" s="2">
        <v>11980937</v>
      </c>
      <c r="D148" s="2">
        <v>2017</v>
      </c>
      <c r="E148" s="2" t="s">
        <v>30</v>
      </c>
      <c r="F148" s="4">
        <v>1.00159111094566E-4</v>
      </c>
      <c r="G148" s="2">
        <v>7</v>
      </c>
      <c r="H148" s="2">
        <f t="shared" si="7"/>
        <v>599.97670111377761</v>
      </c>
      <c r="I148" s="2">
        <v>12</v>
      </c>
      <c r="J148" s="2">
        <v>0.13300000000000001</v>
      </c>
      <c r="K148" s="2">
        <v>6</v>
      </c>
      <c r="L148" s="2">
        <f t="shared" si="8"/>
        <v>9.5760000000000005</v>
      </c>
      <c r="M148" s="2">
        <v>8</v>
      </c>
      <c r="N148" s="2">
        <v>73.8</v>
      </c>
      <c r="O148" s="2">
        <f t="shared" si="9"/>
        <v>590.4</v>
      </c>
      <c r="P148" s="2">
        <f t="shared" si="10"/>
        <v>5.0077610884171886</v>
      </c>
      <c r="Q148" s="7">
        <f t="shared" si="6"/>
        <v>4.8844398391204802</v>
      </c>
      <c r="R148" s="2" t="s">
        <v>111</v>
      </c>
      <c r="S148" s="2" t="s">
        <v>28</v>
      </c>
      <c r="T148" s="2" t="s">
        <v>29</v>
      </c>
    </row>
    <row r="149" spans="1:20" x14ac:dyDescent="0.3">
      <c r="A149" s="2" t="s">
        <v>107</v>
      </c>
      <c r="B149" s="2" t="s">
        <v>87</v>
      </c>
      <c r="C149" s="2">
        <v>11980937</v>
      </c>
      <c r="D149" s="2">
        <v>2017</v>
      </c>
      <c r="E149" s="2" t="s">
        <v>33</v>
      </c>
      <c r="F149" s="4">
        <v>1.6693185182427699E-5</v>
      </c>
      <c r="G149" s="2">
        <v>8</v>
      </c>
      <c r="H149" s="2">
        <f t="shared" si="7"/>
        <v>1.8621335454814596</v>
      </c>
      <c r="I149" s="2">
        <v>2</v>
      </c>
      <c r="J149" s="2">
        <v>0.13300000000000001</v>
      </c>
      <c r="K149" s="2">
        <v>7</v>
      </c>
      <c r="L149" s="2">
        <f t="shared" si="8"/>
        <v>1.8620000000000001</v>
      </c>
      <c r="M149" s="2">
        <v>0</v>
      </c>
      <c r="N149" s="2">
        <v>73.8</v>
      </c>
      <c r="O149" s="2">
        <f t="shared" si="9"/>
        <v>0</v>
      </c>
      <c r="P149" s="2">
        <f t="shared" si="10"/>
        <v>1.5542470054566347E-2</v>
      </c>
      <c r="Q149" s="7">
        <f t="shared" si="6"/>
        <v>1.5541262275264867E-2</v>
      </c>
      <c r="R149" s="2" t="s">
        <v>112</v>
      </c>
      <c r="S149" s="2" t="s">
        <v>35</v>
      </c>
      <c r="T149" s="2" t="s">
        <v>29</v>
      </c>
    </row>
    <row r="150" spans="1:20" x14ac:dyDescent="0.3">
      <c r="A150" s="2" t="s">
        <v>107</v>
      </c>
      <c r="B150" s="2" t="s">
        <v>87</v>
      </c>
      <c r="C150" s="2">
        <v>11980937</v>
      </c>
      <c r="D150" s="2">
        <v>2017</v>
      </c>
      <c r="E150" s="2" t="s">
        <v>37</v>
      </c>
      <c r="F150" s="4">
        <v>3.5055688883098198E-4</v>
      </c>
      <c r="G150" s="2">
        <v>6</v>
      </c>
      <c r="H150" s="2">
        <f t="shared" si="7"/>
        <v>26.882103341332989</v>
      </c>
      <c r="I150" s="2">
        <v>42</v>
      </c>
      <c r="J150" s="2">
        <v>0.128</v>
      </c>
      <c r="K150" s="2">
        <v>5</v>
      </c>
      <c r="L150" s="2">
        <f t="shared" si="8"/>
        <v>26.880000000000003</v>
      </c>
      <c r="M150" s="2">
        <v>0</v>
      </c>
      <c r="N150" s="2">
        <v>73.8</v>
      </c>
      <c r="O150" s="2">
        <f t="shared" si="9"/>
        <v>0</v>
      </c>
      <c r="P150" s="2">
        <f t="shared" si="10"/>
        <v>0.22437396458501524</v>
      </c>
      <c r="Q150" s="7">
        <f t="shared" si="6"/>
        <v>0.2241224343630388</v>
      </c>
      <c r="R150" s="2" t="s">
        <v>113</v>
      </c>
      <c r="S150" s="2" t="s">
        <v>39</v>
      </c>
      <c r="T150" s="2" t="s">
        <v>29</v>
      </c>
    </row>
    <row r="151" spans="1:20" x14ac:dyDescent="0.3">
      <c r="A151" s="2" t="s">
        <v>107</v>
      </c>
      <c r="B151" s="2" t="s">
        <v>87</v>
      </c>
      <c r="C151" s="2">
        <v>11980937</v>
      </c>
      <c r="D151" s="2">
        <v>2017</v>
      </c>
      <c r="E151" s="2" t="s">
        <v>41</v>
      </c>
      <c r="F151" s="4">
        <v>2.33704592553988E-4</v>
      </c>
      <c r="G151" s="2">
        <v>6</v>
      </c>
      <c r="H151" s="2">
        <f t="shared" si="7"/>
        <v>13297.441402227556</v>
      </c>
      <c r="I151" s="2">
        <v>28</v>
      </c>
      <c r="J151" s="2">
        <v>0.12</v>
      </c>
      <c r="K151" s="2">
        <v>4</v>
      </c>
      <c r="L151" s="2">
        <f t="shared" si="8"/>
        <v>13.44</v>
      </c>
      <c r="M151" s="2">
        <v>180</v>
      </c>
      <c r="N151" s="2">
        <v>73.8</v>
      </c>
      <c r="O151" s="2">
        <f t="shared" si="9"/>
        <v>13284</v>
      </c>
      <c r="P151" s="2">
        <f t="shared" si="10"/>
        <v>110.98832588993295</v>
      </c>
      <c r="Q151" s="7">
        <f t="shared" si="6"/>
        <v>67.040256360317713</v>
      </c>
      <c r="R151" s="2" t="s">
        <v>114</v>
      </c>
      <c r="S151" s="2" t="s">
        <v>40</v>
      </c>
      <c r="T151" s="2" t="s">
        <v>44</v>
      </c>
    </row>
    <row r="152" spans="1:20" x14ac:dyDescent="0.3">
      <c r="A152" s="2" t="s">
        <v>107</v>
      </c>
      <c r="B152" s="2" t="s">
        <v>87</v>
      </c>
      <c r="C152" s="2">
        <v>12301939</v>
      </c>
      <c r="D152" s="2">
        <v>2018</v>
      </c>
      <c r="E152" s="2" t="s">
        <v>22</v>
      </c>
      <c r="F152" s="4">
        <v>1.4631839744937801E-4</v>
      </c>
      <c r="G152" s="2">
        <v>9</v>
      </c>
      <c r="H152" s="2">
        <f t="shared" si="7"/>
        <v>314.35331686557703</v>
      </c>
      <c r="I152" s="2">
        <v>18</v>
      </c>
      <c r="J152" s="2">
        <v>0.13300000000000001</v>
      </c>
      <c r="K152" s="2">
        <v>8</v>
      </c>
      <c r="L152" s="2">
        <f t="shared" si="8"/>
        <v>19.152000000000001</v>
      </c>
      <c r="M152" s="2">
        <v>4</v>
      </c>
      <c r="N152" s="2">
        <v>73.8</v>
      </c>
      <c r="O152" s="2">
        <f t="shared" si="9"/>
        <v>295.2</v>
      </c>
      <c r="P152" s="2">
        <f t="shared" si="10"/>
        <v>2.5553151975926478</v>
      </c>
      <c r="Q152" s="7">
        <f t="shared" si="6"/>
        <v>2.5229433392901512</v>
      </c>
      <c r="R152" s="2" t="s">
        <v>108</v>
      </c>
      <c r="S152" s="2" t="s">
        <v>28</v>
      </c>
      <c r="T152" s="2" t="s">
        <v>62</v>
      </c>
    </row>
    <row r="153" spans="1:20" x14ac:dyDescent="0.3">
      <c r="A153" s="2" t="s">
        <v>107</v>
      </c>
      <c r="B153" s="2" t="s">
        <v>87</v>
      </c>
      <c r="C153" s="2">
        <v>12301939</v>
      </c>
      <c r="D153" s="2">
        <v>2018</v>
      </c>
      <c r="E153" s="2" t="s">
        <v>26</v>
      </c>
      <c r="F153" s="4">
        <v>2.7637919518215802E-4</v>
      </c>
      <c r="G153" s="2">
        <v>7</v>
      </c>
      <c r="H153" s="2">
        <f t="shared" si="7"/>
        <v>174.73393465436627</v>
      </c>
      <c r="I153" s="2">
        <v>34</v>
      </c>
      <c r="J153" s="2">
        <v>0.13300000000000001</v>
      </c>
      <c r="K153" s="2">
        <v>6</v>
      </c>
      <c r="L153" s="2">
        <f t="shared" si="8"/>
        <v>27.132000000000001</v>
      </c>
      <c r="M153" s="2">
        <v>2</v>
      </c>
      <c r="N153" s="2">
        <v>73.8</v>
      </c>
      <c r="O153" s="2">
        <f t="shared" si="9"/>
        <v>147.6</v>
      </c>
      <c r="P153" s="2">
        <f t="shared" si="10"/>
        <v>1.4203771832583976</v>
      </c>
      <c r="Q153" s="7">
        <f t="shared" si="6"/>
        <v>1.4103374169385341</v>
      </c>
      <c r="R153" s="2" t="s">
        <v>109</v>
      </c>
      <c r="S153" s="2" t="s">
        <v>28</v>
      </c>
      <c r="T153" s="2" t="s">
        <v>110</v>
      </c>
    </row>
    <row r="154" spans="1:20" x14ac:dyDescent="0.3">
      <c r="A154" s="2" t="s">
        <v>107</v>
      </c>
      <c r="B154" s="2" t="s">
        <v>87</v>
      </c>
      <c r="C154" s="2">
        <v>12301939</v>
      </c>
      <c r="D154" s="2">
        <v>2018</v>
      </c>
      <c r="E154" s="2" t="s">
        <v>30</v>
      </c>
      <c r="F154" s="4">
        <v>9.7545598299585102E-5</v>
      </c>
      <c r="G154" s="2">
        <v>7</v>
      </c>
      <c r="H154" s="2">
        <f t="shared" si="7"/>
        <v>599.97668281918811</v>
      </c>
      <c r="I154" s="2">
        <v>12</v>
      </c>
      <c r="J154" s="2">
        <v>0.13300000000000001</v>
      </c>
      <c r="K154" s="2">
        <v>6</v>
      </c>
      <c r="L154" s="2">
        <f t="shared" si="8"/>
        <v>9.5760000000000005</v>
      </c>
      <c r="M154" s="2">
        <v>8</v>
      </c>
      <c r="N154" s="2">
        <v>73.8</v>
      </c>
      <c r="O154" s="2">
        <f t="shared" si="9"/>
        <v>590.4</v>
      </c>
      <c r="P154" s="2">
        <f t="shared" si="10"/>
        <v>4.8770903742831768</v>
      </c>
      <c r="Q154" s="7">
        <f t="shared" si="6"/>
        <v>4.7600704178968112</v>
      </c>
      <c r="R154" s="2" t="s">
        <v>111</v>
      </c>
      <c r="S154" s="2" t="s">
        <v>28</v>
      </c>
      <c r="T154" s="2" t="s">
        <v>29</v>
      </c>
    </row>
    <row r="155" spans="1:20" x14ac:dyDescent="0.3">
      <c r="A155" s="2" t="s">
        <v>107</v>
      </c>
      <c r="B155" s="2" t="s">
        <v>87</v>
      </c>
      <c r="C155" s="2">
        <v>12301939</v>
      </c>
      <c r="D155" s="2">
        <v>2018</v>
      </c>
      <c r="E155" s="2" t="s">
        <v>33</v>
      </c>
      <c r="F155" s="4">
        <v>1.6257599716597499E-5</v>
      </c>
      <c r="G155" s="2">
        <v>8</v>
      </c>
      <c r="H155" s="2">
        <f t="shared" si="7"/>
        <v>1.8621300607977329</v>
      </c>
      <c r="I155" s="2">
        <v>2</v>
      </c>
      <c r="J155" s="2">
        <v>0.13300000000000001</v>
      </c>
      <c r="K155" s="2">
        <v>7</v>
      </c>
      <c r="L155" s="2">
        <f t="shared" si="8"/>
        <v>1.8620000000000001</v>
      </c>
      <c r="M155" s="2">
        <v>0</v>
      </c>
      <c r="N155" s="2">
        <v>73.8</v>
      </c>
      <c r="O155" s="2">
        <f t="shared" si="9"/>
        <v>0</v>
      </c>
      <c r="P155" s="2">
        <f t="shared" si="10"/>
        <v>1.5136882574346472E-2</v>
      </c>
      <c r="Q155" s="7">
        <f t="shared" si="6"/>
        <v>1.5135737006077843E-2</v>
      </c>
      <c r="R155" s="2" t="s">
        <v>112</v>
      </c>
      <c r="S155" s="2" t="s">
        <v>35</v>
      </c>
      <c r="T155" s="2" t="s">
        <v>29</v>
      </c>
    </row>
    <row r="156" spans="1:20" x14ac:dyDescent="0.3">
      <c r="A156" s="2" t="s">
        <v>107</v>
      </c>
      <c r="B156" s="2" t="s">
        <v>87</v>
      </c>
      <c r="C156" s="2">
        <v>12301939</v>
      </c>
      <c r="D156" s="2">
        <v>2018</v>
      </c>
      <c r="E156" s="2" t="s">
        <v>37</v>
      </c>
      <c r="F156" s="4">
        <v>3.4140959404854802E-4</v>
      </c>
      <c r="G156" s="2">
        <v>6</v>
      </c>
      <c r="H156" s="2">
        <f t="shared" si="7"/>
        <v>26.882048457564295</v>
      </c>
      <c r="I156" s="2">
        <v>42</v>
      </c>
      <c r="J156" s="2">
        <v>0.128</v>
      </c>
      <c r="K156" s="2">
        <v>5</v>
      </c>
      <c r="L156" s="2">
        <f t="shared" si="8"/>
        <v>26.880000000000003</v>
      </c>
      <c r="M156" s="2">
        <v>0</v>
      </c>
      <c r="N156" s="2">
        <v>73.8</v>
      </c>
      <c r="O156" s="2">
        <f t="shared" si="9"/>
        <v>0</v>
      </c>
      <c r="P156" s="2">
        <f t="shared" si="10"/>
        <v>0.21851879169262908</v>
      </c>
      <c r="Q156" s="7">
        <f t="shared" si="6"/>
        <v>0.21828021319227897</v>
      </c>
      <c r="R156" s="2" t="s">
        <v>113</v>
      </c>
      <c r="S156" s="2" t="s">
        <v>39</v>
      </c>
      <c r="T156" s="2" t="s">
        <v>29</v>
      </c>
    </row>
    <row r="157" spans="1:20" x14ac:dyDescent="0.3">
      <c r="A157" s="2" t="s">
        <v>107</v>
      </c>
      <c r="B157" s="2" t="s">
        <v>87</v>
      </c>
      <c r="C157" s="2">
        <v>12301939</v>
      </c>
      <c r="D157" s="2">
        <v>2018</v>
      </c>
      <c r="E157" s="2" t="s">
        <v>41</v>
      </c>
      <c r="F157" s="4">
        <v>2.2760639603236501E-4</v>
      </c>
      <c r="G157" s="2">
        <v>6</v>
      </c>
      <c r="H157" s="2">
        <f t="shared" si="7"/>
        <v>13297.441365638377</v>
      </c>
      <c r="I157" s="2">
        <v>28</v>
      </c>
      <c r="J157" s="2">
        <v>0.12</v>
      </c>
      <c r="K157" s="2">
        <v>4</v>
      </c>
      <c r="L157" s="2">
        <f t="shared" si="8"/>
        <v>13.44</v>
      </c>
      <c r="M157" s="2">
        <v>180</v>
      </c>
      <c r="N157" s="2">
        <v>73.8</v>
      </c>
      <c r="O157" s="2">
        <f t="shared" si="9"/>
        <v>13284</v>
      </c>
      <c r="P157" s="2">
        <f t="shared" si="10"/>
        <v>108.09223948873732</v>
      </c>
      <c r="Q157" s="7">
        <f t="shared" si="6"/>
        <v>66.07175711100686</v>
      </c>
      <c r="R157" s="2" t="s">
        <v>114</v>
      </c>
      <c r="S157" s="2" t="s">
        <v>40</v>
      </c>
      <c r="T157" s="2" t="s">
        <v>44</v>
      </c>
    </row>
    <row r="158" spans="1:20" x14ac:dyDescent="0.3">
      <c r="A158" s="2" t="s">
        <v>107</v>
      </c>
      <c r="B158" s="2" t="s">
        <v>87</v>
      </c>
      <c r="C158" s="2">
        <v>12626950</v>
      </c>
      <c r="D158" s="2">
        <v>2019</v>
      </c>
      <c r="E158" s="2" t="s">
        <v>22</v>
      </c>
      <c r="F158" s="4">
        <v>1.42552239456084E-4</v>
      </c>
      <c r="G158" s="2">
        <v>9</v>
      </c>
      <c r="H158" s="2">
        <f t="shared" si="7"/>
        <v>314.35328297015508</v>
      </c>
      <c r="I158" s="2">
        <v>18</v>
      </c>
      <c r="J158" s="2">
        <v>0.13300000000000001</v>
      </c>
      <c r="K158" s="2">
        <v>8</v>
      </c>
      <c r="L158" s="2">
        <f t="shared" si="8"/>
        <v>19.152000000000001</v>
      </c>
      <c r="M158" s="2">
        <v>4</v>
      </c>
      <c r="N158" s="2">
        <v>73.8</v>
      </c>
      <c r="O158" s="2">
        <f t="shared" si="9"/>
        <v>295.2</v>
      </c>
      <c r="P158" s="2">
        <f t="shared" si="10"/>
        <v>2.4895424704315379</v>
      </c>
      <c r="Q158" s="7">
        <f t="shared" si="6"/>
        <v>2.458808931605605</v>
      </c>
      <c r="R158" s="2" t="s">
        <v>108</v>
      </c>
      <c r="S158" s="2" t="s">
        <v>28</v>
      </c>
      <c r="T158" s="2" t="s">
        <v>62</v>
      </c>
    </row>
    <row r="159" spans="1:20" x14ac:dyDescent="0.3">
      <c r="A159" s="2" t="s">
        <v>107</v>
      </c>
      <c r="B159" s="2" t="s">
        <v>87</v>
      </c>
      <c r="C159" s="2">
        <v>12626950</v>
      </c>
      <c r="D159" s="2">
        <v>2019</v>
      </c>
      <c r="E159" s="2" t="s">
        <v>26</v>
      </c>
      <c r="F159" s="4">
        <v>2.6926534119482497E-4</v>
      </c>
      <c r="G159" s="2">
        <v>7</v>
      </c>
      <c r="H159" s="2">
        <f t="shared" si="7"/>
        <v>174.73388485738838</v>
      </c>
      <c r="I159" s="2">
        <v>34</v>
      </c>
      <c r="J159" s="2">
        <v>0.13300000000000001</v>
      </c>
      <c r="K159" s="2">
        <v>6</v>
      </c>
      <c r="L159" s="2">
        <f t="shared" si="8"/>
        <v>27.132000000000001</v>
      </c>
      <c r="M159" s="2">
        <v>2</v>
      </c>
      <c r="N159" s="2">
        <v>73.8</v>
      </c>
      <c r="O159" s="2">
        <f t="shared" si="9"/>
        <v>147.6</v>
      </c>
      <c r="P159" s="2">
        <f t="shared" si="10"/>
        <v>1.3838170330712356</v>
      </c>
      <c r="Q159" s="7">
        <f t="shared" si="6"/>
        <v>1.3742862984591819</v>
      </c>
      <c r="R159" s="2" t="s">
        <v>109</v>
      </c>
      <c r="S159" s="2" t="s">
        <v>28</v>
      </c>
      <c r="T159" s="2" t="s">
        <v>110</v>
      </c>
    </row>
    <row r="160" spans="1:20" x14ac:dyDescent="0.3">
      <c r="A160" s="2" t="s">
        <v>107</v>
      </c>
      <c r="B160" s="2" t="s">
        <v>87</v>
      </c>
      <c r="C160" s="2">
        <v>12626950</v>
      </c>
      <c r="D160" s="2">
        <v>2019</v>
      </c>
      <c r="E160" s="2" t="s">
        <v>30</v>
      </c>
      <c r="F160" s="4">
        <v>9.5034826304056007E-5</v>
      </c>
      <c r="G160" s="2">
        <v>7</v>
      </c>
      <c r="H160" s="2">
        <f t="shared" si="7"/>
        <v>599.97666524378417</v>
      </c>
      <c r="I160" s="2">
        <v>12</v>
      </c>
      <c r="J160" s="2">
        <v>0.13300000000000001</v>
      </c>
      <c r="K160" s="2">
        <v>6</v>
      </c>
      <c r="L160" s="2">
        <f t="shared" si="8"/>
        <v>9.5760000000000005</v>
      </c>
      <c r="M160" s="2">
        <v>8</v>
      </c>
      <c r="N160" s="2">
        <v>73.8</v>
      </c>
      <c r="O160" s="2">
        <f t="shared" si="9"/>
        <v>590.4</v>
      </c>
      <c r="P160" s="2">
        <f t="shared" si="10"/>
        <v>4.7515565139941485</v>
      </c>
      <c r="Q160" s="7">
        <f t="shared" si="6"/>
        <v>4.6404369832320995</v>
      </c>
      <c r="R160" s="2" t="s">
        <v>111</v>
      </c>
      <c r="S160" s="2" t="s">
        <v>28</v>
      </c>
      <c r="T160" s="2" t="s">
        <v>29</v>
      </c>
    </row>
    <row r="161" spans="1:20" x14ac:dyDescent="0.3">
      <c r="A161" s="2" t="s">
        <v>107</v>
      </c>
      <c r="B161" s="2" t="s">
        <v>87</v>
      </c>
      <c r="C161" s="2">
        <v>12626950</v>
      </c>
      <c r="D161" s="2">
        <v>2019</v>
      </c>
      <c r="E161" s="2" t="s">
        <v>33</v>
      </c>
      <c r="F161" s="4">
        <v>1.5839137717342699E-5</v>
      </c>
      <c r="G161" s="2">
        <v>8</v>
      </c>
      <c r="H161" s="2">
        <f t="shared" si="7"/>
        <v>1.8621267131017389</v>
      </c>
      <c r="I161" s="2">
        <v>2</v>
      </c>
      <c r="J161" s="2">
        <v>0.13300000000000001</v>
      </c>
      <c r="K161" s="2">
        <v>7</v>
      </c>
      <c r="L161" s="2">
        <f t="shared" si="8"/>
        <v>1.8620000000000001</v>
      </c>
      <c r="M161" s="2">
        <v>0</v>
      </c>
      <c r="N161" s="2">
        <v>73.8</v>
      </c>
      <c r="O161" s="2">
        <f t="shared" si="9"/>
        <v>0</v>
      </c>
      <c r="P161" s="2">
        <f t="shared" si="10"/>
        <v>1.474724072798054E-2</v>
      </c>
      <c r="Q161" s="7">
        <f t="shared" si="6"/>
        <v>1.4746153375888582E-2</v>
      </c>
      <c r="R161" s="2" t="s">
        <v>112</v>
      </c>
      <c r="S161" s="2" t="s">
        <v>35</v>
      </c>
      <c r="T161" s="2" t="s">
        <v>29</v>
      </c>
    </row>
    <row r="162" spans="1:20" x14ac:dyDescent="0.3">
      <c r="A162" s="2" t="s">
        <v>107</v>
      </c>
      <c r="B162" s="2" t="s">
        <v>87</v>
      </c>
      <c r="C162" s="2">
        <v>12626950</v>
      </c>
      <c r="D162" s="2">
        <v>2019</v>
      </c>
      <c r="E162" s="2" t="s">
        <v>37</v>
      </c>
      <c r="F162" s="4">
        <v>3.3262189206419602E-4</v>
      </c>
      <c r="G162" s="2">
        <v>6</v>
      </c>
      <c r="H162" s="2">
        <f t="shared" si="7"/>
        <v>26.881995731352387</v>
      </c>
      <c r="I162" s="2">
        <v>42</v>
      </c>
      <c r="J162" s="2">
        <v>0.128</v>
      </c>
      <c r="K162" s="2">
        <v>5</v>
      </c>
      <c r="L162" s="2">
        <f t="shared" si="8"/>
        <v>26.880000000000003</v>
      </c>
      <c r="M162" s="2">
        <v>0</v>
      </c>
      <c r="N162" s="2">
        <v>73.8</v>
      </c>
      <c r="O162" s="2">
        <f t="shared" si="9"/>
        <v>0</v>
      </c>
      <c r="P162" s="2">
        <f t="shared" si="10"/>
        <v>0.21289381625295412</v>
      </c>
      <c r="Q162" s="7">
        <f t="shared" si="6"/>
        <v>0.21266735810160364</v>
      </c>
      <c r="R162" s="2" t="s">
        <v>113</v>
      </c>
      <c r="S162" s="2" t="s">
        <v>39</v>
      </c>
      <c r="T162" s="2" t="s">
        <v>29</v>
      </c>
    </row>
    <row r="163" spans="1:20" x14ac:dyDescent="0.3">
      <c r="A163" s="2" t="s">
        <v>107</v>
      </c>
      <c r="B163" s="2" t="s">
        <v>87</v>
      </c>
      <c r="C163" s="2">
        <v>12626950</v>
      </c>
      <c r="D163" s="2">
        <v>2019</v>
      </c>
      <c r="E163" s="2" t="s">
        <v>41</v>
      </c>
      <c r="F163" s="4">
        <v>2.2174792804279699E-4</v>
      </c>
      <c r="G163" s="2">
        <v>6</v>
      </c>
      <c r="H163" s="2">
        <f t="shared" si="7"/>
        <v>13297.441330487569</v>
      </c>
      <c r="I163" s="2">
        <v>28</v>
      </c>
      <c r="J163" s="2">
        <v>0.12</v>
      </c>
      <c r="K163" s="2">
        <v>4</v>
      </c>
      <c r="L163" s="2">
        <f t="shared" si="8"/>
        <v>13.44</v>
      </c>
      <c r="M163" s="2">
        <v>180</v>
      </c>
      <c r="N163" s="2">
        <v>73.8</v>
      </c>
      <c r="O163" s="2">
        <f t="shared" si="9"/>
        <v>13284</v>
      </c>
      <c r="P163" s="2">
        <f t="shared" si="10"/>
        <v>105.31000226093846</v>
      </c>
      <c r="Q163" s="7">
        <f t="shared" si="6"/>
        <v>65.114538608374644</v>
      </c>
      <c r="R163" s="2" t="s">
        <v>114</v>
      </c>
      <c r="S163" s="2" t="s">
        <v>40</v>
      </c>
      <c r="T163" s="2" t="s">
        <v>44</v>
      </c>
    </row>
    <row r="164" spans="1:20" x14ac:dyDescent="0.3">
      <c r="A164" s="2" t="s">
        <v>107</v>
      </c>
      <c r="B164" s="2" t="s">
        <v>87</v>
      </c>
      <c r="C164" s="2">
        <v>12951934</v>
      </c>
      <c r="D164" s="2">
        <v>2020</v>
      </c>
      <c r="E164" s="2" t="s">
        <v>22</v>
      </c>
      <c r="F164" s="4">
        <v>1.3897538390791699E-4</v>
      </c>
      <c r="G164" s="2">
        <v>9</v>
      </c>
      <c r="H164" s="2">
        <f t="shared" si="7"/>
        <v>314.35325077845516</v>
      </c>
      <c r="I164" s="2">
        <v>18</v>
      </c>
      <c r="J164" s="2">
        <v>0.13300000000000001</v>
      </c>
      <c r="K164" s="2">
        <v>8</v>
      </c>
      <c r="L164" s="2">
        <f t="shared" si="8"/>
        <v>19.152000000000001</v>
      </c>
      <c r="M164" s="2">
        <v>4</v>
      </c>
      <c r="N164" s="2">
        <v>73.8</v>
      </c>
      <c r="O164" s="2">
        <f t="shared" si="9"/>
        <v>295.2</v>
      </c>
      <c r="P164" s="2">
        <f t="shared" si="10"/>
        <v>2.4270757616465244</v>
      </c>
      <c r="Q164" s="7">
        <f t="shared" si="6"/>
        <v>2.3978591251483494</v>
      </c>
      <c r="R164" s="2" t="s">
        <v>108</v>
      </c>
      <c r="S164" s="2" t="s">
        <v>28</v>
      </c>
      <c r="T164" s="2" t="s">
        <v>62</v>
      </c>
    </row>
    <row r="165" spans="1:20" x14ac:dyDescent="0.3">
      <c r="A165" s="2" t="s">
        <v>107</v>
      </c>
      <c r="B165" s="2" t="s">
        <v>87</v>
      </c>
      <c r="C165" s="2">
        <v>12951934</v>
      </c>
      <c r="D165" s="2">
        <v>2020</v>
      </c>
      <c r="E165" s="2" t="s">
        <v>26</v>
      </c>
      <c r="F165" s="4">
        <v>2.62509058492732E-4</v>
      </c>
      <c r="G165" s="2">
        <v>7</v>
      </c>
      <c r="H165" s="2">
        <f t="shared" ref="H165:H196" si="11">L165+O165+G165*F165</f>
        <v>174.73383756340945</v>
      </c>
      <c r="I165" s="2">
        <v>34</v>
      </c>
      <c r="J165" s="2">
        <v>0.13300000000000001</v>
      </c>
      <c r="K165" s="2">
        <v>6</v>
      </c>
      <c r="L165" s="2">
        <f t="shared" ref="L165:L196" si="12">I165*J165*K165</f>
        <v>27.132000000000001</v>
      </c>
      <c r="M165" s="2">
        <v>2</v>
      </c>
      <c r="N165" s="2">
        <v>73.8</v>
      </c>
      <c r="O165" s="2">
        <f t="shared" ref="O165:O196" si="13">M165*N165</f>
        <v>147.6</v>
      </c>
      <c r="P165" s="2">
        <f t="shared" ref="P165:P199" si="14">H165/C165*100000</f>
        <v>1.3490945642821333</v>
      </c>
      <c r="Q165" s="7">
        <f t="shared" si="6"/>
        <v>1.3400350697091556</v>
      </c>
      <c r="R165" s="2" t="s">
        <v>109</v>
      </c>
      <c r="S165" s="2" t="s">
        <v>28</v>
      </c>
      <c r="T165" s="2" t="s">
        <v>110</v>
      </c>
    </row>
    <row r="166" spans="1:20" x14ac:dyDescent="0.3">
      <c r="A166" s="2" t="s">
        <v>107</v>
      </c>
      <c r="B166" s="2" t="s">
        <v>87</v>
      </c>
      <c r="C166" s="2">
        <v>12951934</v>
      </c>
      <c r="D166" s="2">
        <v>2020</v>
      </c>
      <c r="E166" s="2" t="s">
        <v>30</v>
      </c>
      <c r="F166" s="4">
        <v>9.2650255938611195E-5</v>
      </c>
      <c r="G166" s="2">
        <v>7</v>
      </c>
      <c r="H166" s="2">
        <f t="shared" si="11"/>
        <v>599.97664855179153</v>
      </c>
      <c r="I166" s="2">
        <v>12</v>
      </c>
      <c r="J166" s="2">
        <v>0.13300000000000001</v>
      </c>
      <c r="K166" s="2">
        <v>6</v>
      </c>
      <c r="L166" s="2">
        <f t="shared" si="12"/>
        <v>9.5760000000000005</v>
      </c>
      <c r="M166" s="2">
        <v>8</v>
      </c>
      <c r="N166" s="2">
        <v>73.8</v>
      </c>
      <c r="O166" s="2">
        <f t="shared" si="13"/>
        <v>590.4</v>
      </c>
      <c r="P166" s="2">
        <f t="shared" si="14"/>
        <v>4.6323325037928047</v>
      </c>
      <c r="Q166" s="7">
        <f t="shared" si="6"/>
        <v>4.5266776873709063</v>
      </c>
      <c r="R166" s="2" t="s">
        <v>111</v>
      </c>
      <c r="S166" s="2" t="s">
        <v>28</v>
      </c>
      <c r="T166" s="2" t="s">
        <v>29</v>
      </c>
    </row>
    <row r="167" spans="1:20" x14ac:dyDescent="0.3">
      <c r="A167" s="2" t="s">
        <v>107</v>
      </c>
      <c r="B167" s="2" t="s">
        <v>87</v>
      </c>
      <c r="C167" s="2">
        <v>12951934</v>
      </c>
      <c r="D167" s="2">
        <v>2020</v>
      </c>
      <c r="E167" s="2" t="s">
        <v>33</v>
      </c>
      <c r="F167" s="4">
        <v>1.54417093231019E-5</v>
      </c>
      <c r="G167" s="2">
        <v>8</v>
      </c>
      <c r="H167" s="2">
        <f t="shared" si="11"/>
        <v>1.8621235336745849</v>
      </c>
      <c r="I167" s="2">
        <v>2</v>
      </c>
      <c r="J167" s="2">
        <v>0.13300000000000001</v>
      </c>
      <c r="K167" s="2">
        <v>7</v>
      </c>
      <c r="L167" s="2">
        <f t="shared" si="12"/>
        <v>1.8620000000000001</v>
      </c>
      <c r="M167" s="2">
        <v>0</v>
      </c>
      <c r="N167" s="2">
        <v>73.8</v>
      </c>
      <c r="O167" s="2">
        <f t="shared" si="13"/>
        <v>0</v>
      </c>
      <c r="P167" s="2">
        <f t="shared" si="14"/>
        <v>1.4377185165355112E-2</v>
      </c>
      <c r="Q167" s="7">
        <f t="shared" si="6"/>
        <v>1.4376151697614858E-2</v>
      </c>
      <c r="R167" s="2" t="s">
        <v>112</v>
      </c>
      <c r="S167" s="2" t="s">
        <v>35</v>
      </c>
      <c r="T167" s="2" t="s">
        <v>29</v>
      </c>
    </row>
    <row r="168" spans="1:20" x14ac:dyDescent="0.3">
      <c r="A168" s="2" t="s">
        <v>107</v>
      </c>
      <c r="B168" s="2" t="s">
        <v>87</v>
      </c>
      <c r="C168" s="2">
        <v>12951934</v>
      </c>
      <c r="D168" s="2">
        <v>2020</v>
      </c>
      <c r="E168" s="2" t="s">
        <v>37</v>
      </c>
      <c r="F168" s="4">
        <v>3.24275895785139E-4</v>
      </c>
      <c r="G168" s="2">
        <v>6</v>
      </c>
      <c r="H168" s="2">
        <f t="shared" si="11"/>
        <v>26.881945655374714</v>
      </c>
      <c r="I168" s="2">
        <v>42</v>
      </c>
      <c r="J168" s="2">
        <v>0.128</v>
      </c>
      <c r="K168" s="2">
        <v>5</v>
      </c>
      <c r="L168" s="2">
        <f t="shared" si="12"/>
        <v>26.880000000000003</v>
      </c>
      <c r="M168" s="2">
        <v>0</v>
      </c>
      <c r="N168" s="2">
        <v>73.8</v>
      </c>
      <c r="O168" s="2">
        <f t="shared" si="13"/>
        <v>0</v>
      </c>
      <c r="P168" s="2">
        <f t="shared" si="14"/>
        <v>0.20755159542485868</v>
      </c>
      <c r="Q168" s="7">
        <f t="shared" si="6"/>
        <v>0.20733635603772393</v>
      </c>
      <c r="R168" s="2" t="s">
        <v>113</v>
      </c>
      <c r="S168" s="2" t="s">
        <v>39</v>
      </c>
      <c r="T168" s="2" t="s">
        <v>29</v>
      </c>
    </row>
    <row r="169" spans="1:20" x14ac:dyDescent="0.3">
      <c r="A169" s="2" t="s">
        <v>107</v>
      </c>
      <c r="B169" s="2" t="s">
        <v>87</v>
      </c>
      <c r="C169" s="2">
        <v>12951934</v>
      </c>
      <c r="D169" s="2">
        <v>2020</v>
      </c>
      <c r="E169" s="2" t="s">
        <v>41</v>
      </c>
      <c r="F169" s="4">
        <v>2.16183930523426E-4</v>
      </c>
      <c r="G169" s="2">
        <v>6</v>
      </c>
      <c r="H169" s="2">
        <f t="shared" si="11"/>
        <v>13297.441297103584</v>
      </c>
      <c r="I169" s="2">
        <v>28</v>
      </c>
      <c r="J169" s="2">
        <v>0.12</v>
      </c>
      <c r="K169" s="2">
        <v>4</v>
      </c>
      <c r="L169" s="2">
        <f t="shared" si="12"/>
        <v>13.44</v>
      </c>
      <c r="M169" s="2">
        <v>180</v>
      </c>
      <c r="N169" s="2">
        <v>73.8</v>
      </c>
      <c r="O169" s="2">
        <f t="shared" si="13"/>
        <v>13284</v>
      </c>
      <c r="P169" s="2">
        <f t="shared" si="14"/>
        <v>102.66761162544206</v>
      </c>
      <c r="Q169" s="7">
        <f t="shared" si="6"/>
        <v>64.180441546796956</v>
      </c>
      <c r="R169" s="2" t="s">
        <v>114</v>
      </c>
      <c r="S169" s="2" t="s">
        <v>40</v>
      </c>
      <c r="T169" s="2" t="s">
        <v>44</v>
      </c>
    </row>
    <row r="170" spans="1:20" x14ac:dyDescent="0.3">
      <c r="A170" s="2" t="s">
        <v>107</v>
      </c>
      <c r="B170" s="2" t="s">
        <v>87</v>
      </c>
      <c r="C170" s="2">
        <v>13276513</v>
      </c>
      <c r="D170" s="2">
        <v>2021</v>
      </c>
      <c r="E170" s="2" t="s">
        <v>22</v>
      </c>
      <c r="F170" s="4">
        <v>1.3557776804798099E-4</v>
      </c>
      <c r="G170" s="2">
        <v>9</v>
      </c>
      <c r="H170" s="2">
        <f t="shared" si="11"/>
        <v>314.35322019991241</v>
      </c>
      <c r="I170" s="2">
        <v>18</v>
      </c>
      <c r="J170" s="2">
        <v>0.13300000000000001</v>
      </c>
      <c r="K170" s="2">
        <v>8</v>
      </c>
      <c r="L170" s="2">
        <f t="shared" si="12"/>
        <v>19.152000000000001</v>
      </c>
      <c r="M170" s="2">
        <v>4</v>
      </c>
      <c r="N170" s="2">
        <v>73.8</v>
      </c>
      <c r="O170" s="2">
        <f t="shared" si="13"/>
        <v>295.2</v>
      </c>
      <c r="P170" s="2">
        <f t="shared" si="14"/>
        <v>2.3677393318555287</v>
      </c>
      <c r="Q170" s="7">
        <f t="shared" si="6"/>
        <v>2.3399283140157934</v>
      </c>
      <c r="R170" s="2" t="s">
        <v>108</v>
      </c>
      <c r="S170" s="2" t="s">
        <v>28</v>
      </c>
      <c r="T170" s="2" t="s">
        <v>62</v>
      </c>
    </row>
    <row r="171" spans="1:20" x14ac:dyDescent="0.3">
      <c r="A171" s="2" t="s">
        <v>107</v>
      </c>
      <c r="B171" s="2" t="s">
        <v>87</v>
      </c>
      <c r="C171" s="2">
        <v>13276513</v>
      </c>
      <c r="D171" s="2">
        <v>2021</v>
      </c>
      <c r="E171" s="2" t="s">
        <v>26</v>
      </c>
      <c r="F171" s="4">
        <v>2.5609133964618603E-4</v>
      </c>
      <c r="G171" s="2">
        <v>7</v>
      </c>
      <c r="H171" s="2">
        <f t="shared" si="11"/>
        <v>174.73379263937753</v>
      </c>
      <c r="I171" s="2">
        <v>34</v>
      </c>
      <c r="J171" s="2">
        <v>0.13300000000000001</v>
      </c>
      <c r="K171" s="2">
        <v>6</v>
      </c>
      <c r="L171" s="2">
        <f t="shared" si="12"/>
        <v>27.132000000000001</v>
      </c>
      <c r="M171" s="2">
        <v>2</v>
      </c>
      <c r="N171" s="2">
        <v>73.8</v>
      </c>
      <c r="O171" s="2">
        <f t="shared" si="13"/>
        <v>147.6</v>
      </c>
      <c r="P171" s="2">
        <f t="shared" si="14"/>
        <v>1.3161120893669711</v>
      </c>
      <c r="Q171" s="7">
        <f t="shared" si="6"/>
        <v>1.3074892046038511</v>
      </c>
      <c r="R171" s="2" t="s">
        <v>109</v>
      </c>
      <c r="S171" s="2" t="s">
        <v>28</v>
      </c>
      <c r="T171" s="2" t="s">
        <v>110</v>
      </c>
    </row>
    <row r="172" spans="1:20" x14ac:dyDescent="0.3">
      <c r="A172" s="2" t="s">
        <v>107</v>
      </c>
      <c r="B172" s="2" t="s">
        <v>87</v>
      </c>
      <c r="C172" s="2">
        <v>13276513</v>
      </c>
      <c r="D172" s="2">
        <v>2021</v>
      </c>
      <c r="E172" s="2" t="s">
        <v>30</v>
      </c>
      <c r="F172" s="4">
        <v>9.0385178698653798E-5</v>
      </c>
      <c r="G172" s="2">
        <v>7</v>
      </c>
      <c r="H172" s="2">
        <f t="shared" si="11"/>
        <v>599.97663269625093</v>
      </c>
      <c r="I172" s="2">
        <v>12</v>
      </c>
      <c r="J172" s="2">
        <v>0.13300000000000001</v>
      </c>
      <c r="K172" s="2">
        <v>6</v>
      </c>
      <c r="L172" s="2">
        <f t="shared" si="12"/>
        <v>9.5760000000000005</v>
      </c>
      <c r="M172" s="2">
        <v>8</v>
      </c>
      <c r="N172" s="2">
        <v>73.8</v>
      </c>
      <c r="O172" s="2">
        <f t="shared" si="13"/>
        <v>590.4</v>
      </c>
      <c r="P172" s="2">
        <f t="shared" si="14"/>
        <v>4.5190829301055997</v>
      </c>
      <c r="Q172" s="7">
        <f t="shared" si="6"/>
        <v>4.4184933092559664</v>
      </c>
      <c r="R172" s="2" t="s">
        <v>111</v>
      </c>
      <c r="S172" s="2" t="s">
        <v>28</v>
      </c>
      <c r="T172" s="2" t="s">
        <v>29</v>
      </c>
    </row>
    <row r="173" spans="1:20" x14ac:dyDescent="0.3">
      <c r="A173" s="2" t="s">
        <v>107</v>
      </c>
      <c r="B173" s="2" t="s">
        <v>87</v>
      </c>
      <c r="C173" s="2">
        <v>13276513</v>
      </c>
      <c r="D173" s="2">
        <v>2021</v>
      </c>
      <c r="E173" s="2" t="s">
        <v>33</v>
      </c>
      <c r="F173" s="4">
        <v>1.5064196449775601E-5</v>
      </c>
      <c r="G173" s="2">
        <v>8</v>
      </c>
      <c r="H173" s="2">
        <f t="shared" si="11"/>
        <v>1.8621205135715984</v>
      </c>
      <c r="I173" s="2">
        <v>2</v>
      </c>
      <c r="J173" s="2">
        <v>0.13300000000000001</v>
      </c>
      <c r="K173" s="2">
        <v>7</v>
      </c>
      <c r="L173" s="2">
        <f t="shared" si="12"/>
        <v>1.8620000000000001</v>
      </c>
      <c r="M173" s="2">
        <v>0</v>
      </c>
      <c r="N173" s="2">
        <v>73.8</v>
      </c>
      <c r="O173" s="2">
        <f t="shared" si="13"/>
        <v>0</v>
      </c>
      <c r="P173" s="2">
        <f t="shared" si="14"/>
        <v>1.4025674614799822E-2</v>
      </c>
      <c r="Q173" s="7">
        <f t="shared" si="6"/>
        <v>1.4024691063041494E-2</v>
      </c>
      <c r="R173" s="2" t="s">
        <v>112</v>
      </c>
      <c r="S173" s="2" t="s">
        <v>35</v>
      </c>
      <c r="T173" s="2" t="s">
        <v>29</v>
      </c>
    </row>
    <row r="174" spans="1:20" x14ac:dyDescent="0.3">
      <c r="A174" s="2" t="s">
        <v>107</v>
      </c>
      <c r="B174" s="2" t="s">
        <v>87</v>
      </c>
      <c r="C174" s="2">
        <v>13276513</v>
      </c>
      <c r="D174" s="2">
        <v>2021</v>
      </c>
      <c r="E174" s="2" t="s">
        <v>37</v>
      </c>
      <c r="F174" s="4">
        <v>3.1634812544528799E-4</v>
      </c>
      <c r="G174" s="2">
        <v>6</v>
      </c>
      <c r="H174" s="2">
        <f t="shared" si="11"/>
        <v>26.881898088752674</v>
      </c>
      <c r="I174" s="2">
        <v>42</v>
      </c>
      <c r="J174" s="2">
        <v>0.128</v>
      </c>
      <c r="K174" s="2">
        <v>5</v>
      </c>
      <c r="L174" s="2">
        <f t="shared" si="12"/>
        <v>26.880000000000003</v>
      </c>
      <c r="M174" s="2">
        <v>0</v>
      </c>
      <c r="N174" s="2">
        <v>73.8</v>
      </c>
      <c r="O174" s="2">
        <f t="shared" si="13"/>
        <v>0</v>
      </c>
      <c r="P174" s="2">
        <f t="shared" si="14"/>
        <v>0.20247709687590917</v>
      </c>
      <c r="Q174" s="7">
        <f t="shared" si="6"/>
        <v>0.20227225028125462</v>
      </c>
      <c r="R174" s="2" t="s">
        <v>113</v>
      </c>
      <c r="S174" s="2" t="s">
        <v>39</v>
      </c>
      <c r="T174" s="2" t="s">
        <v>29</v>
      </c>
    </row>
    <row r="175" spans="1:20" x14ac:dyDescent="0.3">
      <c r="A175" s="2" t="s">
        <v>107</v>
      </c>
      <c r="B175" s="2" t="s">
        <v>87</v>
      </c>
      <c r="C175" s="2">
        <v>13276513</v>
      </c>
      <c r="D175" s="2">
        <v>2021</v>
      </c>
      <c r="E175" s="2" t="s">
        <v>41</v>
      </c>
      <c r="F175" s="4">
        <v>2.1089875029685901E-4</v>
      </c>
      <c r="G175" s="2">
        <v>6</v>
      </c>
      <c r="H175" s="2">
        <f t="shared" si="11"/>
        <v>13297.441265392503</v>
      </c>
      <c r="I175" s="2">
        <v>28</v>
      </c>
      <c r="J175" s="2">
        <v>0.12</v>
      </c>
      <c r="K175" s="2">
        <v>4</v>
      </c>
      <c r="L175" s="2">
        <f t="shared" si="12"/>
        <v>13.44</v>
      </c>
      <c r="M175" s="2">
        <v>180</v>
      </c>
      <c r="N175" s="2">
        <v>73.8</v>
      </c>
      <c r="O175" s="2">
        <f t="shared" si="13"/>
        <v>13284</v>
      </c>
      <c r="P175" s="2">
        <f t="shared" si="14"/>
        <v>100.15763375061285</v>
      </c>
      <c r="Q175" s="7">
        <f t="shared" si="6"/>
        <v>63.270000416871277</v>
      </c>
      <c r="R175" s="2" t="s">
        <v>114</v>
      </c>
      <c r="S175" s="2" t="s">
        <v>40</v>
      </c>
      <c r="T175" s="2" t="s">
        <v>44</v>
      </c>
    </row>
    <row r="176" spans="1:20" x14ac:dyDescent="0.3">
      <c r="A176" s="2" t="s">
        <v>107</v>
      </c>
      <c r="B176" s="2" t="s">
        <v>87</v>
      </c>
      <c r="C176" s="2">
        <v>13600464</v>
      </c>
      <c r="D176" s="2">
        <v>2022</v>
      </c>
      <c r="E176" s="2" t="s">
        <v>22</v>
      </c>
      <c r="F176" s="4">
        <v>9.11733599677187E-4</v>
      </c>
      <c r="G176" s="2">
        <v>9</v>
      </c>
      <c r="H176" s="2">
        <f t="shared" si="11"/>
        <v>2641.1442056023971</v>
      </c>
      <c r="I176" s="2">
        <v>124</v>
      </c>
      <c r="J176" s="2">
        <v>0.13300000000000001</v>
      </c>
      <c r="K176" s="2">
        <v>8</v>
      </c>
      <c r="L176" s="2">
        <f t="shared" si="12"/>
        <v>131.93600000000001</v>
      </c>
      <c r="M176" s="2">
        <v>34</v>
      </c>
      <c r="N176" s="2">
        <v>73.8</v>
      </c>
      <c r="O176" s="2">
        <f t="shared" si="13"/>
        <v>2509.1999999999998</v>
      </c>
      <c r="P176" s="2">
        <f t="shared" si="14"/>
        <v>19.419515434196928</v>
      </c>
      <c r="Q176" s="7">
        <f t="shared" si="6"/>
        <v>17.650282046416365</v>
      </c>
      <c r="R176" s="2" t="s">
        <v>115</v>
      </c>
      <c r="S176" s="2" t="s">
        <v>28</v>
      </c>
      <c r="T176" s="2" t="s">
        <v>62</v>
      </c>
    </row>
    <row r="177" spans="1:20" x14ac:dyDescent="0.3">
      <c r="A177" s="2" t="s">
        <v>107</v>
      </c>
      <c r="B177" s="2" t="s">
        <v>87</v>
      </c>
      <c r="C177" s="2">
        <v>13600464</v>
      </c>
      <c r="D177" s="2">
        <v>2022</v>
      </c>
      <c r="E177" s="2" t="s">
        <v>26</v>
      </c>
      <c r="F177" s="4">
        <v>2.4999147087922903E-4</v>
      </c>
      <c r="G177" s="2">
        <v>7</v>
      </c>
      <c r="H177" s="2">
        <f t="shared" si="11"/>
        <v>174.73374994029615</v>
      </c>
      <c r="I177" s="2">
        <v>34</v>
      </c>
      <c r="J177" s="2">
        <v>0.13300000000000001</v>
      </c>
      <c r="K177" s="2">
        <v>6</v>
      </c>
      <c r="L177" s="2">
        <f t="shared" si="12"/>
        <v>27.132000000000001</v>
      </c>
      <c r="M177" s="2">
        <v>2</v>
      </c>
      <c r="N177" s="2">
        <v>73.8</v>
      </c>
      <c r="O177" s="2">
        <f t="shared" si="13"/>
        <v>147.6</v>
      </c>
      <c r="P177" s="2">
        <f t="shared" si="14"/>
        <v>1.2847631517593527</v>
      </c>
      <c r="Q177" s="7">
        <f t="shared" si="6"/>
        <v>1.2765453009321082</v>
      </c>
      <c r="R177" s="2" t="s">
        <v>109</v>
      </c>
      <c r="S177" s="2" t="s">
        <v>28</v>
      </c>
      <c r="T177" s="2" t="s">
        <v>110</v>
      </c>
    </row>
    <row r="178" spans="1:20" x14ac:dyDescent="0.3">
      <c r="A178" s="2" t="s">
        <v>107</v>
      </c>
      <c r="B178" s="2" t="s">
        <v>87</v>
      </c>
      <c r="C178" s="2">
        <v>13600464</v>
      </c>
      <c r="D178" s="2">
        <v>2022</v>
      </c>
      <c r="E178" s="2" t="s">
        <v>30</v>
      </c>
      <c r="F178" s="4">
        <v>8.8232283839727795E-5</v>
      </c>
      <c r="G178" s="2">
        <v>7</v>
      </c>
      <c r="H178" s="2">
        <f t="shared" si="11"/>
        <v>599.97661762598693</v>
      </c>
      <c r="I178" s="2">
        <v>12</v>
      </c>
      <c r="J178" s="2">
        <v>0.13300000000000001</v>
      </c>
      <c r="K178" s="2">
        <v>6</v>
      </c>
      <c r="L178" s="2">
        <f t="shared" si="12"/>
        <v>9.5760000000000005</v>
      </c>
      <c r="M178" s="2">
        <v>8</v>
      </c>
      <c r="N178" s="2">
        <v>73.8</v>
      </c>
      <c r="O178" s="2">
        <f t="shared" si="13"/>
        <v>590.4</v>
      </c>
      <c r="P178" s="2">
        <f t="shared" si="14"/>
        <v>4.411442268631327</v>
      </c>
      <c r="Q178" s="7">
        <f t="shared" si="6"/>
        <v>4.3155533505200072</v>
      </c>
      <c r="R178" s="2" t="s">
        <v>111</v>
      </c>
      <c r="S178" s="2" t="s">
        <v>28</v>
      </c>
      <c r="T178" s="2" t="s">
        <v>29</v>
      </c>
    </row>
    <row r="179" spans="1:20" x14ac:dyDescent="0.3">
      <c r="A179" s="2" t="s">
        <v>107</v>
      </c>
      <c r="B179" s="2" t="s">
        <v>87</v>
      </c>
      <c r="C179" s="2">
        <v>13600464</v>
      </c>
      <c r="D179" s="2">
        <v>2022</v>
      </c>
      <c r="E179" s="2" t="s">
        <v>33</v>
      </c>
      <c r="F179" s="4">
        <v>1.47053806399546E-5</v>
      </c>
      <c r="G179" s="2">
        <v>8</v>
      </c>
      <c r="H179" s="2">
        <f t="shared" si="11"/>
        <v>1.8621176430451198</v>
      </c>
      <c r="I179" s="2">
        <v>2</v>
      </c>
      <c r="J179" s="2">
        <v>0.13300000000000001</v>
      </c>
      <c r="K179" s="2">
        <v>7</v>
      </c>
      <c r="L179" s="2">
        <f t="shared" si="12"/>
        <v>1.8620000000000001</v>
      </c>
      <c r="M179" s="2">
        <v>0</v>
      </c>
      <c r="N179" s="2">
        <v>73.8</v>
      </c>
      <c r="O179" s="2">
        <f t="shared" si="13"/>
        <v>0</v>
      </c>
      <c r="P179" s="2">
        <f t="shared" si="14"/>
        <v>1.3691574368676834E-2</v>
      </c>
      <c r="Q179" s="7">
        <f t="shared" si="6"/>
        <v>1.3690637115404414E-2</v>
      </c>
      <c r="R179" s="2" t="s">
        <v>112</v>
      </c>
      <c r="S179" s="2" t="s">
        <v>35</v>
      </c>
      <c r="T179" s="2" t="s">
        <v>29</v>
      </c>
    </row>
    <row r="180" spans="1:20" x14ac:dyDescent="0.3">
      <c r="A180" s="2" t="s">
        <v>107</v>
      </c>
      <c r="B180" s="2" t="s">
        <v>87</v>
      </c>
      <c r="C180" s="2">
        <v>13600464</v>
      </c>
      <c r="D180" s="2">
        <v>2022</v>
      </c>
      <c r="E180" s="2" t="s">
        <v>37</v>
      </c>
      <c r="F180" s="4">
        <v>3.0881299343904701E-4</v>
      </c>
      <c r="G180" s="2">
        <v>6</v>
      </c>
      <c r="H180" s="2">
        <f t="shared" si="11"/>
        <v>26.881852877960636</v>
      </c>
      <c r="I180" s="2">
        <v>42</v>
      </c>
      <c r="J180" s="2">
        <v>0.128</v>
      </c>
      <c r="K180" s="2">
        <v>5</v>
      </c>
      <c r="L180" s="2">
        <f t="shared" si="12"/>
        <v>26.880000000000003</v>
      </c>
      <c r="M180" s="2">
        <v>0</v>
      </c>
      <c r="N180" s="2">
        <v>73.8</v>
      </c>
      <c r="O180" s="2">
        <f t="shared" si="13"/>
        <v>0</v>
      </c>
      <c r="P180" s="2">
        <f t="shared" si="14"/>
        <v>0.19765393943883558</v>
      </c>
      <c r="Q180" s="7">
        <f t="shared" si="6"/>
        <v>0.19745873267242864</v>
      </c>
      <c r="R180" s="2" t="s">
        <v>113</v>
      </c>
      <c r="S180" s="2" t="s">
        <v>39</v>
      </c>
      <c r="T180" s="2" t="s">
        <v>29</v>
      </c>
    </row>
    <row r="181" spans="1:20" x14ac:dyDescent="0.3">
      <c r="A181" s="2" t="s">
        <v>107</v>
      </c>
      <c r="B181" s="2" t="s">
        <v>87</v>
      </c>
      <c r="C181" s="2">
        <v>13600464</v>
      </c>
      <c r="D181" s="2">
        <v>2022</v>
      </c>
      <c r="E181" s="2" t="s">
        <v>41</v>
      </c>
      <c r="F181" s="4">
        <v>2.0587532895936499E-4</v>
      </c>
      <c r="G181" s="2">
        <v>6</v>
      </c>
      <c r="H181" s="2">
        <f t="shared" si="11"/>
        <v>13297.441235251974</v>
      </c>
      <c r="I181" s="2">
        <v>28</v>
      </c>
      <c r="J181" s="2">
        <v>0.12</v>
      </c>
      <c r="K181" s="2">
        <v>4</v>
      </c>
      <c r="L181" s="2">
        <f t="shared" si="12"/>
        <v>13.44</v>
      </c>
      <c r="M181" s="2">
        <v>180</v>
      </c>
      <c r="N181" s="2">
        <v>73.8</v>
      </c>
      <c r="O181" s="2">
        <f t="shared" si="13"/>
        <v>13284</v>
      </c>
      <c r="P181" s="2">
        <f t="shared" si="14"/>
        <v>97.771967450904427</v>
      </c>
      <c r="Q181" s="7">
        <f t="shared" si="6"/>
        <v>62.383209315357021</v>
      </c>
      <c r="R181" s="2" t="s">
        <v>114</v>
      </c>
      <c r="S181" s="2" t="s">
        <v>40</v>
      </c>
      <c r="T181" s="2" t="s">
        <v>44</v>
      </c>
    </row>
    <row r="182" spans="1:20" x14ac:dyDescent="0.3">
      <c r="A182" s="2" t="s">
        <v>107</v>
      </c>
      <c r="B182" s="2" t="s">
        <v>87</v>
      </c>
      <c r="C182" s="2">
        <v>13924098</v>
      </c>
      <c r="D182" s="2">
        <v>2023</v>
      </c>
      <c r="E182" s="2" t="s">
        <v>22</v>
      </c>
      <c r="F182" s="4">
        <v>1.4219951626309999E-3</v>
      </c>
      <c r="G182" s="2">
        <v>9</v>
      </c>
      <c r="H182" s="2">
        <f t="shared" si="11"/>
        <v>4048.2847979564635</v>
      </c>
      <c r="I182" s="2">
        <v>198</v>
      </c>
      <c r="J182" s="2">
        <v>0.13300000000000001</v>
      </c>
      <c r="K182" s="2">
        <v>8</v>
      </c>
      <c r="L182" s="2">
        <f t="shared" si="12"/>
        <v>210.67200000000003</v>
      </c>
      <c r="M182" s="2">
        <v>52</v>
      </c>
      <c r="N182" s="2">
        <v>73.8</v>
      </c>
      <c r="O182" s="2">
        <f t="shared" si="13"/>
        <v>3837.6</v>
      </c>
      <c r="P182" s="2">
        <f t="shared" si="14"/>
        <v>29.073946462862182</v>
      </c>
      <c r="Q182" s="7">
        <f t="shared" si="6"/>
        <v>25.228954233473345</v>
      </c>
      <c r="R182" s="2" t="s">
        <v>116</v>
      </c>
      <c r="S182" s="2" t="s">
        <v>28</v>
      </c>
      <c r="T182" s="2" t="s">
        <v>62</v>
      </c>
    </row>
    <row r="183" spans="1:20" x14ac:dyDescent="0.3">
      <c r="A183" s="2" t="s">
        <v>107</v>
      </c>
      <c r="B183" s="2" t="s">
        <v>87</v>
      </c>
      <c r="C183" s="2">
        <v>13924098</v>
      </c>
      <c r="D183" s="2">
        <v>2023</v>
      </c>
      <c r="E183" s="2" t="s">
        <v>26</v>
      </c>
      <c r="F183" s="4">
        <v>2.4418098752249502E-4</v>
      </c>
      <c r="G183" s="2">
        <v>7</v>
      </c>
      <c r="H183" s="2">
        <f t="shared" si="11"/>
        <v>174.73370926691265</v>
      </c>
      <c r="I183" s="2">
        <v>34</v>
      </c>
      <c r="J183" s="2">
        <v>0.13300000000000001</v>
      </c>
      <c r="K183" s="2">
        <v>6</v>
      </c>
      <c r="L183" s="2">
        <f t="shared" si="12"/>
        <v>27.132000000000001</v>
      </c>
      <c r="M183" s="2">
        <v>2</v>
      </c>
      <c r="N183" s="2">
        <v>73.8</v>
      </c>
      <c r="O183" s="2">
        <f t="shared" si="13"/>
        <v>147.6</v>
      </c>
      <c r="P183" s="2">
        <f t="shared" si="14"/>
        <v>1.2549014612430383</v>
      </c>
      <c r="Q183" s="7">
        <f t="shared" si="6"/>
        <v>1.2470604062979618</v>
      </c>
      <c r="R183" s="2" t="s">
        <v>109</v>
      </c>
      <c r="S183" s="2" t="s">
        <v>28</v>
      </c>
      <c r="T183" s="2" t="s">
        <v>110</v>
      </c>
    </row>
    <row r="184" spans="1:20" x14ac:dyDescent="0.3">
      <c r="A184" s="2" t="s">
        <v>107</v>
      </c>
      <c r="B184" s="2" t="s">
        <v>87</v>
      </c>
      <c r="C184" s="2">
        <v>13924098</v>
      </c>
      <c r="D184" s="2">
        <v>2023</v>
      </c>
      <c r="E184" s="2" t="s">
        <v>30</v>
      </c>
      <c r="F184" s="4">
        <v>8.6181525007939501E-5</v>
      </c>
      <c r="G184" s="2">
        <v>7</v>
      </c>
      <c r="H184" s="2">
        <f t="shared" si="11"/>
        <v>599.97660327067501</v>
      </c>
      <c r="I184" s="2">
        <v>12</v>
      </c>
      <c r="J184" s="2">
        <v>0.13300000000000001</v>
      </c>
      <c r="K184" s="2">
        <v>6</v>
      </c>
      <c r="L184" s="2">
        <f t="shared" si="12"/>
        <v>9.5760000000000005</v>
      </c>
      <c r="M184" s="2">
        <v>8</v>
      </c>
      <c r="N184" s="2">
        <v>73.8</v>
      </c>
      <c r="O184" s="2">
        <f t="shared" si="13"/>
        <v>590.4</v>
      </c>
      <c r="P184" s="2">
        <f t="shared" si="14"/>
        <v>4.3089082199125208</v>
      </c>
      <c r="Q184" s="7">
        <f t="shared" si="6"/>
        <v>4.2173938985457298</v>
      </c>
      <c r="R184" s="2" t="s">
        <v>111</v>
      </c>
      <c r="S184" s="2" t="s">
        <v>28</v>
      </c>
      <c r="T184" s="2" t="s">
        <v>29</v>
      </c>
    </row>
    <row r="185" spans="1:20" x14ac:dyDescent="0.3">
      <c r="A185" s="2" t="s">
        <v>107</v>
      </c>
      <c r="B185" s="2" t="s">
        <v>87</v>
      </c>
      <c r="C185" s="2">
        <v>13924098</v>
      </c>
      <c r="D185" s="2">
        <v>2023</v>
      </c>
      <c r="E185" s="2" t="s">
        <v>33</v>
      </c>
      <c r="F185" s="4">
        <v>1.4363587501323299E-5</v>
      </c>
      <c r="G185" s="2">
        <v>8</v>
      </c>
      <c r="H185" s="2">
        <f t="shared" si="11"/>
        <v>1.8621149087000106</v>
      </c>
      <c r="I185" s="2">
        <v>2</v>
      </c>
      <c r="J185" s="2">
        <v>0.13300000000000001</v>
      </c>
      <c r="K185" s="2">
        <v>7</v>
      </c>
      <c r="L185" s="2">
        <f t="shared" si="12"/>
        <v>1.8620000000000001</v>
      </c>
      <c r="M185" s="2">
        <v>0</v>
      </c>
      <c r="N185" s="2">
        <v>73.8</v>
      </c>
      <c r="O185" s="2">
        <f t="shared" si="13"/>
        <v>0</v>
      </c>
      <c r="P185" s="2">
        <f t="shared" si="14"/>
        <v>1.3373325214315576E-2</v>
      </c>
      <c r="Q185" s="7">
        <f t="shared" si="6"/>
        <v>1.3372431025038267E-2</v>
      </c>
      <c r="R185" s="2" t="s">
        <v>112</v>
      </c>
      <c r="S185" s="2" t="s">
        <v>35</v>
      </c>
      <c r="T185" s="2" t="s">
        <v>29</v>
      </c>
    </row>
    <row r="186" spans="1:20" x14ac:dyDescent="0.3">
      <c r="A186" s="2" t="s">
        <v>107</v>
      </c>
      <c r="B186" s="2" t="s">
        <v>87</v>
      </c>
      <c r="C186" s="2">
        <v>13924098</v>
      </c>
      <c r="D186" s="2">
        <v>2023</v>
      </c>
      <c r="E186" s="2" t="s">
        <v>37</v>
      </c>
      <c r="F186" s="4">
        <v>3.0163533752778802E-4</v>
      </c>
      <c r="G186" s="2">
        <v>6</v>
      </c>
      <c r="H186" s="2">
        <f t="shared" si="11"/>
        <v>26.881809812025168</v>
      </c>
      <c r="I186" s="2">
        <v>42</v>
      </c>
      <c r="J186" s="2">
        <v>0.128</v>
      </c>
      <c r="K186" s="2">
        <v>5</v>
      </c>
      <c r="L186" s="2">
        <f t="shared" si="12"/>
        <v>26.880000000000003</v>
      </c>
      <c r="M186" s="2">
        <v>0</v>
      </c>
      <c r="N186" s="2">
        <v>73.8</v>
      </c>
      <c r="O186" s="2">
        <f t="shared" si="13"/>
        <v>0</v>
      </c>
      <c r="P186" s="2">
        <f t="shared" si="14"/>
        <v>0.19305961371447664</v>
      </c>
      <c r="Q186" s="7">
        <f t="shared" si="6"/>
        <v>0.19287337351305833</v>
      </c>
      <c r="R186" s="2" t="s">
        <v>113</v>
      </c>
      <c r="S186" s="2" t="s">
        <v>39</v>
      </c>
      <c r="T186" s="2" t="s">
        <v>29</v>
      </c>
    </row>
    <row r="187" spans="1:20" x14ac:dyDescent="0.3">
      <c r="A187" s="2" t="s">
        <v>107</v>
      </c>
      <c r="B187" s="2" t="s">
        <v>87</v>
      </c>
      <c r="C187" s="2">
        <v>13924098</v>
      </c>
      <c r="D187" s="2">
        <v>2023</v>
      </c>
      <c r="E187" s="2" t="s">
        <v>41</v>
      </c>
      <c r="F187" s="4">
        <v>2.0109022501852501E-4</v>
      </c>
      <c r="G187" s="2">
        <v>6</v>
      </c>
      <c r="H187" s="2">
        <f t="shared" si="11"/>
        <v>13297.441206541351</v>
      </c>
      <c r="I187" s="2">
        <v>28</v>
      </c>
      <c r="J187" s="2">
        <v>0.12</v>
      </c>
      <c r="K187" s="2">
        <v>4</v>
      </c>
      <c r="L187" s="2">
        <f t="shared" si="12"/>
        <v>13.44</v>
      </c>
      <c r="M187" s="2">
        <v>180</v>
      </c>
      <c r="N187" s="2">
        <v>73.8</v>
      </c>
      <c r="O187" s="2">
        <f t="shared" si="13"/>
        <v>13284</v>
      </c>
      <c r="P187" s="2">
        <f t="shared" si="14"/>
        <v>95.499480156929025</v>
      </c>
      <c r="Q187" s="7">
        <f t="shared" si="6"/>
        <v>61.51858550225522</v>
      </c>
      <c r="R187" s="2" t="s">
        <v>114</v>
      </c>
      <c r="S187" s="2" t="s">
        <v>40</v>
      </c>
      <c r="T187" s="2" t="s">
        <v>44</v>
      </c>
    </row>
    <row r="188" spans="1:20" x14ac:dyDescent="0.3">
      <c r="A188" s="2" t="s">
        <v>107</v>
      </c>
      <c r="B188" s="2" t="s">
        <v>87</v>
      </c>
      <c r="C188" s="2">
        <v>14256567</v>
      </c>
      <c r="D188" s="2">
        <v>2024</v>
      </c>
      <c r="E188" s="2" t="s">
        <v>22</v>
      </c>
      <c r="F188" s="4">
        <v>1.4730053876224199E-3</v>
      </c>
      <c r="G188" s="2">
        <v>9</v>
      </c>
      <c r="H188" s="2">
        <f t="shared" si="11"/>
        <v>4503.8532570484876</v>
      </c>
      <c r="I188" s="2">
        <v>210</v>
      </c>
      <c r="J188" s="2">
        <v>0.13300000000000001</v>
      </c>
      <c r="K188" s="2">
        <v>8</v>
      </c>
      <c r="L188" s="2">
        <f t="shared" si="12"/>
        <v>223.44</v>
      </c>
      <c r="M188" s="2">
        <v>58</v>
      </c>
      <c r="N188" s="2">
        <v>73.8</v>
      </c>
      <c r="O188" s="2">
        <f t="shared" si="13"/>
        <v>4280.3999999999996</v>
      </c>
      <c r="P188" s="2">
        <f t="shared" si="14"/>
        <v>31.591429108062886</v>
      </c>
      <c r="Q188" s="7">
        <f t="shared" si="6"/>
        <v>27.087806025682625</v>
      </c>
      <c r="R188" s="2" t="s">
        <v>117</v>
      </c>
      <c r="S188" s="2" t="s">
        <v>28</v>
      </c>
      <c r="T188" s="2" t="s">
        <v>62</v>
      </c>
    </row>
    <row r="189" spans="1:20" x14ac:dyDescent="0.3">
      <c r="A189" s="2" t="s">
        <v>107</v>
      </c>
      <c r="B189" s="2" t="s">
        <v>87</v>
      </c>
      <c r="C189" s="2">
        <v>14256567</v>
      </c>
      <c r="D189" s="2">
        <v>2024</v>
      </c>
      <c r="E189" s="2" t="s">
        <v>26</v>
      </c>
      <c r="F189" s="4">
        <v>2.3848658656743901E-4</v>
      </c>
      <c r="G189" s="2">
        <v>7</v>
      </c>
      <c r="H189" s="2">
        <f t="shared" si="11"/>
        <v>174.73366940610597</v>
      </c>
      <c r="I189" s="2">
        <v>34</v>
      </c>
      <c r="J189" s="2">
        <v>0.13300000000000001</v>
      </c>
      <c r="K189" s="2">
        <v>6</v>
      </c>
      <c r="L189" s="2">
        <f t="shared" si="12"/>
        <v>27.132000000000001</v>
      </c>
      <c r="M189" s="2">
        <v>2</v>
      </c>
      <c r="N189" s="2">
        <v>73.8</v>
      </c>
      <c r="O189" s="2">
        <f t="shared" si="13"/>
        <v>147.6</v>
      </c>
      <c r="P189" s="2">
        <f t="shared" si="14"/>
        <v>1.2256363639725187</v>
      </c>
      <c r="Q189" s="7">
        <f t="shared" si="6"/>
        <v>1.2181560332282126</v>
      </c>
      <c r="R189" s="2" t="s">
        <v>109</v>
      </c>
      <c r="S189" s="2" t="s">
        <v>28</v>
      </c>
      <c r="T189" s="2" t="s">
        <v>110</v>
      </c>
    </row>
    <row r="190" spans="1:20" x14ac:dyDescent="0.3">
      <c r="A190" s="2" t="s">
        <v>107</v>
      </c>
      <c r="B190" s="2" t="s">
        <v>87</v>
      </c>
      <c r="C190" s="2">
        <v>14256567</v>
      </c>
      <c r="D190" s="2">
        <v>2024</v>
      </c>
      <c r="E190" s="2" t="s">
        <v>30</v>
      </c>
      <c r="F190" s="4">
        <v>8.4171736435566897E-5</v>
      </c>
      <c r="G190" s="2">
        <v>7</v>
      </c>
      <c r="H190" s="2">
        <f t="shared" si="11"/>
        <v>599.97658920215508</v>
      </c>
      <c r="I190" s="2">
        <v>12</v>
      </c>
      <c r="J190" s="2">
        <v>0.13300000000000001</v>
      </c>
      <c r="K190" s="2">
        <v>6</v>
      </c>
      <c r="L190" s="2">
        <f t="shared" si="12"/>
        <v>9.5760000000000005</v>
      </c>
      <c r="M190" s="2">
        <v>8</v>
      </c>
      <c r="N190" s="2">
        <v>73.8</v>
      </c>
      <c r="O190" s="2">
        <f t="shared" si="13"/>
        <v>590.4</v>
      </c>
      <c r="P190" s="2">
        <f t="shared" si="14"/>
        <v>4.2084226111528462</v>
      </c>
      <c r="Q190" s="7">
        <f t="shared" si="6"/>
        <v>4.1210977899561403</v>
      </c>
      <c r="R190" s="2" t="s">
        <v>111</v>
      </c>
      <c r="S190" s="2" t="s">
        <v>28</v>
      </c>
      <c r="T190" s="2" t="s">
        <v>29</v>
      </c>
    </row>
    <row r="191" spans="1:20" x14ac:dyDescent="0.3">
      <c r="A191" s="2" t="s">
        <v>107</v>
      </c>
      <c r="B191" s="2" t="s">
        <v>87</v>
      </c>
      <c r="C191" s="2">
        <v>14256567</v>
      </c>
      <c r="D191" s="2">
        <v>2024</v>
      </c>
      <c r="E191" s="2" t="s">
        <v>33</v>
      </c>
      <c r="F191" s="4">
        <v>1.40286227392611E-5</v>
      </c>
      <c r="G191" s="2">
        <v>8</v>
      </c>
      <c r="H191" s="2">
        <f t="shared" si="11"/>
        <v>1.8621122289819141</v>
      </c>
      <c r="I191" s="2">
        <v>2</v>
      </c>
      <c r="J191" s="2">
        <v>0.13300000000000001</v>
      </c>
      <c r="K191" s="2">
        <v>7</v>
      </c>
      <c r="L191" s="2">
        <f t="shared" si="12"/>
        <v>1.8620000000000001</v>
      </c>
      <c r="M191" s="2">
        <v>0</v>
      </c>
      <c r="N191" s="2">
        <v>73.8</v>
      </c>
      <c r="O191" s="2">
        <f t="shared" si="13"/>
        <v>0</v>
      </c>
      <c r="P191" s="2">
        <f t="shared" si="14"/>
        <v>1.3061434979275966E-2</v>
      </c>
      <c r="Q191" s="7">
        <f t="shared" si="6"/>
        <v>1.3060582010993027E-2</v>
      </c>
      <c r="R191" s="2" t="s">
        <v>112</v>
      </c>
      <c r="S191" s="2" t="s">
        <v>35</v>
      </c>
      <c r="T191" s="2" t="s">
        <v>29</v>
      </c>
    </row>
    <row r="192" spans="1:20" x14ac:dyDescent="0.3">
      <c r="A192" s="2" t="s">
        <v>107</v>
      </c>
      <c r="B192" s="2" t="s">
        <v>87</v>
      </c>
      <c r="C192" s="2">
        <v>14256567</v>
      </c>
      <c r="D192" s="2">
        <v>2024</v>
      </c>
      <c r="E192" s="2" t="s">
        <v>37</v>
      </c>
      <c r="F192" s="4">
        <v>2.9460107752448398E-4</v>
      </c>
      <c r="G192" s="2">
        <v>6</v>
      </c>
      <c r="H192" s="2">
        <f t="shared" si="11"/>
        <v>26.88176760646515</v>
      </c>
      <c r="I192" s="2">
        <v>42</v>
      </c>
      <c r="J192" s="2">
        <v>0.128</v>
      </c>
      <c r="K192" s="2">
        <v>5</v>
      </c>
      <c r="L192" s="2">
        <f t="shared" si="12"/>
        <v>26.880000000000003</v>
      </c>
      <c r="M192" s="2">
        <v>0</v>
      </c>
      <c r="N192" s="2">
        <v>73.8</v>
      </c>
      <c r="O192" s="2">
        <f t="shared" si="13"/>
        <v>0</v>
      </c>
      <c r="P192" s="2">
        <f t="shared" si="14"/>
        <v>0.18855708815779526</v>
      </c>
      <c r="Q192" s="7">
        <f t="shared" si="6"/>
        <v>0.18837943095961762</v>
      </c>
      <c r="R192" s="2" t="s">
        <v>113</v>
      </c>
      <c r="S192" s="2" t="s">
        <v>39</v>
      </c>
      <c r="T192" s="2" t="s">
        <v>29</v>
      </c>
    </row>
    <row r="193" spans="1:20" x14ac:dyDescent="0.3">
      <c r="A193" s="2" t="s">
        <v>107</v>
      </c>
      <c r="B193" s="2" t="s">
        <v>87</v>
      </c>
      <c r="C193" s="2">
        <v>14256567</v>
      </c>
      <c r="D193" s="2">
        <v>2024</v>
      </c>
      <c r="E193" s="2" t="s">
        <v>41</v>
      </c>
      <c r="F193" s="4">
        <v>1.9640071834965599E-4</v>
      </c>
      <c r="G193" s="2">
        <v>6</v>
      </c>
      <c r="H193" s="2">
        <f t="shared" si="11"/>
        <v>13297.441178404311</v>
      </c>
      <c r="I193" s="2">
        <v>28</v>
      </c>
      <c r="J193" s="2">
        <v>0.12</v>
      </c>
      <c r="K193" s="2">
        <v>4</v>
      </c>
      <c r="L193" s="2">
        <f t="shared" si="12"/>
        <v>13.44</v>
      </c>
      <c r="M193" s="2">
        <v>180</v>
      </c>
      <c r="N193" s="2">
        <v>73.8</v>
      </c>
      <c r="O193" s="2">
        <f t="shared" si="13"/>
        <v>13284</v>
      </c>
      <c r="P193" s="2">
        <f t="shared" si="14"/>
        <v>93.272392844675096</v>
      </c>
      <c r="Q193" s="7">
        <f t="shared" si="6"/>
        <v>60.651956327991428</v>
      </c>
      <c r="R193" s="2" t="s">
        <v>114</v>
      </c>
      <c r="S193" s="2" t="s">
        <v>40</v>
      </c>
      <c r="T193" s="2" t="s">
        <v>44</v>
      </c>
    </row>
    <row r="194" spans="1:20" x14ac:dyDescent="0.3">
      <c r="A194" s="2" t="s">
        <v>107</v>
      </c>
      <c r="B194" s="2" t="s">
        <v>87</v>
      </c>
      <c r="C194" s="2">
        <v>14576628</v>
      </c>
      <c r="D194" s="2">
        <v>2025</v>
      </c>
      <c r="E194" s="2" t="s">
        <v>22</v>
      </c>
      <c r="F194" s="4">
        <v>1.5778683519947099E-3</v>
      </c>
      <c r="G194" s="2">
        <v>9</v>
      </c>
      <c r="H194" s="2">
        <f t="shared" si="11"/>
        <v>5041.7342008151682</v>
      </c>
      <c r="I194" s="2">
        <v>230</v>
      </c>
      <c r="J194" s="2">
        <v>0.13300000000000001</v>
      </c>
      <c r="K194" s="2">
        <v>8</v>
      </c>
      <c r="L194" s="2">
        <f t="shared" si="12"/>
        <v>244.72000000000003</v>
      </c>
      <c r="M194" s="2">
        <v>65</v>
      </c>
      <c r="N194" s="2">
        <v>73.8</v>
      </c>
      <c r="O194" s="2">
        <f t="shared" si="13"/>
        <v>4797</v>
      </c>
      <c r="P194" s="2">
        <f t="shared" si="14"/>
        <v>34.587794933198325</v>
      </c>
      <c r="Q194" s="7">
        <f t="shared" ref="Q194:Q257" si="15">100*(1-EXP(-P194/100))</f>
        <v>29.240115525192</v>
      </c>
      <c r="R194" s="2" t="s">
        <v>118</v>
      </c>
      <c r="S194" s="2" t="s">
        <v>28</v>
      </c>
      <c r="T194" s="2" t="s">
        <v>62</v>
      </c>
    </row>
    <row r="195" spans="1:20" x14ac:dyDescent="0.3">
      <c r="A195" s="2" t="s">
        <v>107</v>
      </c>
      <c r="B195" s="2" t="s">
        <v>87</v>
      </c>
      <c r="C195" s="2">
        <v>14576628</v>
      </c>
      <c r="D195" s="2">
        <v>2025</v>
      </c>
      <c r="E195" s="2" t="s">
        <v>26</v>
      </c>
      <c r="F195" s="4">
        <v>2.33250104207914E-4</v>
      </c>
      <c r="G195" s="2">
        <v>7</v>
      </c>
      <c r="H195" s="2">
        <f t="shared" si="11"/>
        <v>174.73363275072944</v>
      </c>
      <c r="I195" s="2">
        <v>34</v>
      </c>
      <c r="J195" s="2">
        <v>0.13300000000000001</v>
      </c>
      <c r="K195" s="2">
        <v>6</v>
      </c>
      <c r="L195" s="2">
        <f t="shared" si="12"/>
        <v>27.132000000000001</v>
      </c>
      <c r="M195" s="2">
        <v>2</v>
      </c>
      <c r="N195" s="2">
        <v>73.8</v>
      </c>
      <c r="O195" s="2">
        <f t="shared" si="13"/>
        <v>147.6</v>
      </c>
      <c r="P195" s="2">
        <f t="shared" si="14"/>
        <v>1.1987246484627956</v>
      </c>
      <c r="Q195" s="7">
        <f t="shared" si="15"/>
        <v>1.1915685669934506</v>
      </c>
      <c r="R195" s="2" t="s">
        <v>109</v>
      </c>
      <c r="S195" s="2" t="s">
        <v>28</v>
      </c>
      <c r="T195" s="2" t="s">
        <v>110</v>
      </c>
    </row>
    <row r="196" spans="1:20" x14ac:dyDescent="0.3">
      <c r="A196" s="2" t="s">
        <v>107</v>
      </c>
      <c r="B196" s="2" t="s">
        <v>87</v>
      </c>
      <c r="C196" s="2">
        <v>14576628</v>
      </c>
      <c r="D196" s="2">
        <v>2025</v>
      </c>
      <c r="E196" s="2" t="s">
        <v>30</v>
      </c>
      <c r="F196" s="4">
        <v>8.2323566191028501E-5</v>
      </c>
      <c r="G196" s="2">
        <v>7</v>
      </c>
      <c r="H196" s="2">
        <f t="shared" si="11"/>
        <v>599.97657626496334</v>
      </c>
      <c r="I196" s="2">
        <v>12</v>
      </c>
      <c r="J196" s="2">
        <v>0.13300000000000001</v>
      </c>
      <c r="K196" s="2">
        <v>6</v>
      </c>
      <c r="L196" s="2">
        <f t="shared" si="12"/>
        <v>9.5760000000000005</v>
      </c>
      <c r="M196" s="2">
        <v>8</v>
      </c>
      <c r="N196" s="2">
        <v>73.8</v>
      </c>
      <c r="O196" s="2">
        <f t="shared" si="13"/>
        <v>590.4</v>
      </c>
      <c r="P196" s="2">
        <f t="shared" si="14"/>
        <v>4.1160176157679489</v>
      </c>
      <c r="Q196" s="7">
        <f t="shared" si="15"/>
        <v>4.032459948204159</v>
      </c>
      <c r="R196" s="2" t="s">
        <v>111</v>
      </c>
      <c r="S196" s="2" t="s">
        <v>28</v>
      </c>
      <c r="T196" s="2" t="s">
        <v>29</v>
      </c>
    </row>
    <row r="197" spans="1:20" x14ac:dyDescent="0.3">
      <c r="A197" s="2" t="s">
        <v>107</v>
      </c>
      <c r="B197" s="2" t="s">
        <v>87</v>
      </c>
      <c r="C197" s="2">
        <v>14576628</v>
      </c>
      <c r="D197" s="2">
        <v>2025</v>
      </c>
      <c r="E197" s="2" t="s">
        <v>33</v>
      </c>
      <c r="F197" s="4">
        <v>1.37205943651714E-5</v>
      </c>
      <c r="G197" s="2">
        <v>8</v>
      </c>
      <c r="H197" s="2">
        <f t="shared" ref="H197:H228" si="16">L197+O197+G197*F197</f>
        <v>1.8621097647549214</v>
      </c>
      <c r="I197" s="2">
        <v>2</v>
      </c>
      <c r="J197" s="2">
        <v>0.13300000000000001</v>
      </c>
      <c r="K197" s="2">
        <v>7</v>
      </c>
      <c r="L197" s="2">
        <f t="shared" ref="L197:L228" si="17">I197*J197*K197</f>
        <v>1.8620000000000001</v>
      </c>
      <c r="M197" s="2">
        <v>0</v>
      </c>
      <c r="N197" s="2">
        <v>73.8</v>
      </c>
      <c r="O197" s="2">
        <f t="shared" ref="O197:O228" si="18">M197*N197</f>
        <v>0</v>
      </c>
      <c r="P197" s="2">
        <f t="shared" si="14"/>
        <v>1.2774626372813529E-2</v>
      </c>
      <c r="Q197" s="7">
        <f t="shared" si="15"/>
        <v>1.2773810452160195E-2</v>
      </c>
      <c r="R197" s="2" t="s">
        <v>112</v>
      </c>
      <c r="S197" s="2" t="s">
        <v>35</v>
      </c>
      <c r="T197" s="2" t="s">
        <v>29</v>
      </c>
    </row>
    <row r="198" spans="1:20" x14ac:dyDescent="0.3">
      <c r="A198" s="2" t="s">
        <v>107</v>
      </c>
      <c r="B198" s="2" t="s">
        <v>87</v>
      </c>
      <c r="C198" s="2">
        <v>14576628</v>
      </c>
      <c r="D198" s="2">
        <v>2025</v>
      </c>
      <c r="E198" s="2" t="s">
        <v>37</v>
      </c>
      <c r="F198" s="4">
        <v>2.881324816686E-4</v>
      </c>
      <c r="G198" s="2">
        <v>6</v>
      </c>
      <c r="H198" s="2">
        <f t="shared" si="16"/>
        <v>26.881728794890016</v>
      </c>
      <c r="I198" s="2">
        <v>42</v>
      </c>
      <c r="J198" s="2">
        <v>0.128</v>
      </c>
      <c r="K198" s="2">
        <v>5</v>
      </c>
      <c r="L198" s="2">
        <f t="shared" si="17"/>
        <v>26.880000000000003</v>
      </c>
      <c r="M198" s="2">
        <v>0</v>
      </c>
      <c r="N198" s="2">
        <v>73.8</v>
      </c>
      <c r="O198" s="2">
        <f t="shared" si="18"/>
        <v>0</v>
      </c>
      <c r="P198" s="2">
        <f t="shared" si="14"/>
        <v>0.18441664831461718</v>
      </c>
      <c r="Q198" s="7">
        <f t="shared" si="15"/>
        <v>0.18424670529753051</v>
      </c>
      <c r="R198" s="2" t="s">
        <v>113</v>
      </c>
      <c r="S198" s="2" t="s">
        <v>39</v>
      </c>
      <c r="T198" s="2" t="s">
        <v>29</v>
      </c>
    </row>
    <row r="199" spans="1:20" x14ac:dyDescent="0.3">
      <c r="A199" s="2" t="s">
        <v>107</v>
      </c>
      <c r="B199" s="2" t="s">
        <v>87</v>
      </c>
      <c r="C199" s="2">
        <v>14576628</v>
      </c>
      <c r="D199" s="2">
        <v>2025</v>
      </c>
      <c r="E199" s="2" t="s">
        <v>41</v>
      </c>
      <c r="F199" s="4">
        <v>1.920883211124E-4</v>
      </c>
      <c r="G199" s="2">
        <v>6</v>
      </c>
      <c r="H199" s="2">
        <f t="shared" si="16"/>
        <v>13297.441152529927</v>
      </c>
      <c r="I199" s="2">
        <v>28</v>
      </c>
      <c r="J199" s="2">
        <v>0.12</v>
      </c>
      <c r="K199" s="2">
        <v>4</v>
      </c>
      <c r="L199" s="2">
        <f t="shared" si="17"/>
        <v>13.44</v>
      </c>
      <c r="M199" s="2">
        <v>180</v>
      </c>
      <c r="N199" s="2">
        <v>73.8</v>
      </c>
      <c r="O199" s="2">
        <f t="shared" si="18"/>
        <v>13284</v>
      </c>
      <c r="P199" s="2">
        <f t="shared" si="14"/>
        <v>91.224398074300353</v>
      </c>
      <c r="Q199" s="7">
        <f t="shared" si="15"/>
        <v>59.837801988609698</v>
      </c>
      <c r="R199" s="2" t="s">
        <v>114</v>
      </c>
      <c r="S199" s="2" t="s">
        <v>40</v>
      </c>
      <c r="T199" s="2" t="s">
        <v>44</v>
      </c>
    </row>
    <row r="200" spans="1:20" x14ac:dyDescent="0.3">
      <c r="A200" s="2" t="s">
        <v>119</v>
      </c>
      <c r="B200" s="2" t="s">
        <v>87</v>
      </c>
      <c r="C200" s="2">
        <v>54490406</v>
      </c>
      <c r="D200" s="2">
        <v>2015</v>
      </c>
      <c r="E200" s="2" t="s">
        <v>22</v>
      </c>
      <c r="F200" s="4" t="s">
        <v>29</v>
      </c>
      <c r="G200" s="2">
        <v>9</v>
      </c>
      <c r="H200" s="2" t="s">
        <v>29</v>
      </c>
      <c r="I200" s="2" t="s">
        <v>29</v>
      </c>
      <c r="J200" s="2">
        <v>0.13300000000000001</v>
      </c>
      <c r="K200" s="2">
        <v>8</v>
      </c>
      <c r="L200" s="2" t="s">
        <v>29</v>
      </c>
      <c r="M200" s="2" t="s">
        <v>29</v>
      </c>
      <c r="N200" s="2">
        <v>73.8</v>
      </c>
      <c r="O200" s="2" t="s">
        <v>29</v>
      </c>
      <c r="P200" s="2" t="s">
        <v>29</v>
      </c>
      <c r="Q200" s="7" t="e">
        <f t="shared" si="15"/>
        <v>#VALUE!</v>
      </c>
      <c r="R200" s="2" t="s">
        <v>120</v>
      </c>
      <c r="S200" s="2" t="s">
        <v>28</v>
      </c>
      <c r="T200" s="2" t="s">
        <v>29</v>
      </c>
    </row>
    <row r="201" spans="1:20" x14ac:dyDescent="0.3">
      <c r="A201" s="2" t="s">
        <v>119</v>
      </c>
      <c r="B201" s="2" t="s">
        <v>87</v>
      </c>
      <c r="C201" s="2">
        <v>54490406</v>
      </c>
      <c r="D201" s="2">
        <v>2015</v>
      </c>
      <c r="E201" s="2" t="s">
        <v>26</v>
      </c>
      <c r="F201" s="4">
        <v>5.7257785893538799E-4</v>
      </c>
      <c r="G201" s="2">
        <v>7</v>
      </c>
      <c r="H201" s="2">
        <f>L201+O201+G201*F201</f>
        <v>839.38000804501257</v>
      </c>
      <c r="I201" s="2">
        <v>312</v>
      </c>
      <c r="J201" s="2">
        <v>0.13300000000000001</v>
      </c>
      <c r="K201" s="2">
        <v>6</v>
      </c>
      <c r="L201" s="2">
        <f>I201*J201*K201</f>
        <v>248.976</v>
      </c>
      <c r="M201" s="2">
        <v>8</v>
      </c>
      <c r="N201" s="2">
        <v>73.8</v>
      </c>
      <c r="O201" s="2">
        <f>M201*N201</f>
        <v>590.4</v>
      </c>
      <c r="P201" s="2">
        <f>H201/C201*100000</f>
        <v>1.5404179738448134</v>
      </c>
      <c r="Q201" s="7">
        <f t="shared" si="15"/>
        <v>1.5286142229303579</v>
      </c>
      <c r="R201" s="2" t="s">
        <v>121</v>
      </c>
      <c r="S201" s="2" t="s">
        <v>28</v>
      </c>
      <c r="T201" s="2" t="s">
        <v>29</v>
      </c>
    </row>
    <row r="202" spans="1:20" x14ac:dyDescent="0.3">
      <c r="A202" s="2" t="s">
        <v>119</v>
      </c>
      <c r="B202" s="2" t="s">
        <v>87</v>
      </c>
      <c r="C202" s="2">
        <v>54490406</v>
      </c>
      <c r="D202" s="2">
        <v>2015</v>
      </c>
      <c r="E202" s="2" t="s">
        <v>30</v>
      </c>
      <c r="F202" s="4">
        <v>7.7261307247371196E-3</v>
      </c>
      <c r="G202" s="2">
        <v>7</v>
      </c>
      <c r="H202" s="2">
        <f>L202+O202+G202*F202</f>
        <v>661655.63408291503</v>
      </c>
      <c r="I202" s="2">
        <v>4210</v>
      </c>
      <c r="J202" s="2">
        <v>0.13300000000000001</v>
      </c>
      <c r="K202" s="2">
        <v>6</v>
      </c>
      <c r="L202" s="2">
        <f>I202*J202*K202</f>
        <v>3359.5800000000004</v>
      </c>
      <c r="M202" s="2">
        <v>8920</v>
      </c>
      <c r="N202" s="2">
        <v>73.8</v>
      </c>
      <c r="O202" s="2">
        <f>M202*N202</f>
        <v>658296</v>
      </c>
      <c r="P202" s="2">
        <f>H202/C202*100000</f>
        <v>1214.2607894734992</v>
      </c>
      <c r="Q202" s="7">
        <f t="shared" si="15"/>
        <v>99.999467239036832</v>
      </c>
      <c r="R202" s="2" t="s">
        <v>122</v>
      </c>
      <c r="S202" s="2" t="s">
        <v>28</v>
      </c>
      <c r="T202" s="2" t="s">
        <v>32</v>
      </c>
    </row>
    <row r="203" spans="1:20" x14ac:dyDescent="0.3">
      <c r="A203" s="2" t="s">
        <v>119</v>
      </c>
      <c r="B203" s="2" t="s">
        <v>87</v>
      </c>
      <c r="C203" s="2">
        <v>54490406</v>
      </c>
      <c r="D203" s="2">
        <v>2015</v>
      </c>
      <c r="E203" s="2" t="s">
        <v>33</v>
      </c>
      <c r="F203" s="4">
        <v>2.2022225343668801E-5</v>
      </c>
      <c r="G203" s="2">
        <v>8</v>
      </c>
      <c r="H203" s="2">
        <f>L203+O203+G203*F203</f>
        <v>306.37217617780277</v>
      </c>
      <c r="I203" s="2">
        <v>12</v>
      </c>
      <c r="J203" s="2">
        <v>0.13300000000000001</v>
      </c>
      <c r="K203" s="2">
        <v>7</v>
      </c>
      <c r="L203" s="2">
        <f>I203*J203*K203</f>
        <v>11.172000000000001</v>
      </c>
      <c r="M203" s="2">
        <v>4</v>
      </c>
      <c r="N203" s="2">
        <v>73.8</v>
      </c>
      <c r="O203" s="2">
        <f>M203*N203</f>
        <v>295.2</v>
      </c>
      <c r="P203" s="2">
        <f>H203/C203*100000</f>
        <v>0.56224975856814641</v>
      </c>
      <c r="Q203" s="7">
        <f t="shared" si="15"/>
        <v>0.56067209280528107</v>
      </c>
      <c r="R203" s="2" t="s">
        <v>123</v>
      </c>
      <c r="S203" s="2" t="s">
        <v>35</v>
      </c>
      <c r="T203" s="2" t="s">
        <v>36</v>
      </c>
    </row>
    <row r="204" spans="1:20" x14ac:dyDescent="0.3">
      <c r="A204" s="2" t="s">
        <v>119</v>
      </c>
      <c r="B204" s="2" t="s">
        <v>87</v>
      </c>
      <c r="C204" s="2">
        <v>54490406</v>
      </c>
      <c r="D204" s="2">
        <v>2015</v>
      </c>
      <c r="E204" s="2" t="s">
        <v>37</v>
      </c>
      <c r="F204" s="4">
        <v>3.3033338015503101E-2</v>
      </c>
      <c r="G204" s="2">
        <v>6</v>
      </c>
      <c r="H204" s="2">
        <f>L204+O204+G204*F204</f>
        <v>11520.198200028093</v>
      </c>
      <c r="I204" s="2">
        <v>18000</v>
      </c>
      <c r="J204" s="2">
        <v>0.128</v>
      </c>
      <c r="K204" s="2">
        <v>5</v>
      </c>
      <c r="L204" s="2">
        <f>I204*J204*K204</f>
        <v>11520</v>
      </c>
      <c r="M204" s="2">
        <v>0</v>
      </c>
      <c r="N204" s="2">
        <v>73.8</v>
      </c>
      <c r="O204" s="2">
        <f>M204*N204</f>
        <v>0</v>
      </c>
      <c r="P204" s="2">
        <f>H204/C204*100000</f>
        <v>21.14170006372882</v>
      </c>
      <c r="Q204" s="7">
        <f t="shared" si="15"/>
        <v>19.056353902484148</v>
      </c>
      <c r="R204" s="2" t="s">
        <v>124</v>
      </c>
      <c r="S204" s="2" t="s">
        <v>39</v>
      </c>
      <c r="T204" s="2" t="s">
        <v>29</v>
      </c>
    </row>
    <row r="205" spans="1:20" x14ac:dyDescent="0.3">
      <c r="A205" s="2" t="s">
        <v>119</v>
      </c>
      <c r="B205" s="2" t="s">
        <v>87</v>
      </c>
      <c r="C205" s="2">
        <v>54490406</v>
      </c>
      <c r="D205" s="2">
        <v>2015</v>
      </c>
      <c r="E205" s="2" t="s">
        <v>41</v>
      </c>
      <c r="F205" s="4">
        <v>6.2396305140394794E-5</v>
      </c>
      <c r="G205" s="2">
        <v>6</v>
      </c>
      <c r="H205" s="2">
        <f>L205+O205+G205*F205</f>
        <v>5329.9203743778298</v>
      </c>
      <c r="I205" s="2">
        <v>34</v>
      </c>
      <c r="J205" s="2">
        <v>0.12</v>
      </c>
      <c r="K205" s="2">
        <v>4</v>
      </c>
      <c r="L205" s="2">
        <f>I205*J205*K205</f>
        <v>16.32</v>
      </c>
      <c r="M205" s="2">
        <v>72</v>
      </c>
      <c r="N205" s="2">
        <v>73.8</v>
      </c>
      <c r="O205" s="2">
        <f>M205*N205</f>
        <v>5313.5999999999995</v>
      </c>
      <c r="P205" s="2">
        <f>H205/C205*100000</f>
        <v>9.7813922956966586</v>
      </c>
      <c r="Q205" s="7">
        <f t="shared" si="15"/>
        <v>9.318237400181772</v>
      </c>
      <c r="R205" s="2" t="s">
        <v>125</v>
      </c>
      <c r="S205" s="2" t="s">
        <v>40</v>
      </c>
      <c r="T205" s="2" t="s">
        <v>44</v>
      </c>
    </row>
    <row r="206" spans="1:20" x14ac:dyDescent="0.3">
      <c r="A206" s="2" t="s">
        <v>119</v>
      </c>
      <c r="B206" s="2" t="s">
        <v>87</v>
      </c>
      <c r="C206" s="2">
        <v>55291225</v>
      </c>
      <c r="D206" s="2">
        <v>2016</v>
      </c>
      <c r="E206" s="2" t="s">
        <v>22</v>
      </c>
      <c r="F206" s="4" t="s">
        <v>29</v>
      </c>
      <c r="G206" s="2">
        <v>9</v>
      </c>
      <c r="H206" s="2" t="s">
        <v>29</v>
      </c>
      <c r="I206" s="2" t="s">
        <v>29</v>
      </c>
      <c r="J206" s="2">
        <v>0.13300000000000001</v>
      </c>
      <c r="K206" s="2">
        <v>8</v>
      </c>
      <c r="L206" s="2" t="s">
        <v>29</v>
      </c>
      <c r="M206" s="2" t="s">
        <v>29</v>
      </c>
      <c r="N206" s="2">
        <v>73.8</v>
      </c>
      <c r="O206" s="2" t="s">
        <v>29</v>
      </c>
      <c r="P206" s="2" t="s">
        <v>29</v>
      </c>
      <c r="Q206" s="7" t="e">
        <f t="shared" si="15"/>
        <v>#VALUE!</v>
      </c>
      <c r="R206" s="2" t="s">
        <v>120</v>
      </c>
      <c r="S206" s="2" t="s">
        <v>28</v>
      </c>
      <c r="T206" s="2" t="s">
        <v>29</v>
      </c>
    </row>
    <row r="207" spans="1:20" x14ac:dyDescent="0.3">
      <c r="A207" s="2" t="s">
        <v>119</v>
      </c>
      <c r="B207" s="2" t="s">
        <v>87</v>
      </c>
      <c r="C207" s="2">
        <v>55291225</v>
      </c>
      <c r="D207" s="2">
        <v>2016</v>
      </c>
      <c r="E207" s="2" t="s">
        <v>26</v>
      </c>
      <c r="F207" s="4">
        <v>5.6428483904995795E-4</v>
      </c>
      <c r="G207" s="2">
        <v>7</v>
      </c>
      <c r="H207" s="2">
        <f>L207+O207+G207*F207</f>
        <v>839.37994999387331</v>
      </c>
      <c r="I207" s="2">
        <v>312</v>
      </c>
      <c r="J207" s="2">
        <v>0.13300000000000001</v>
      </c>
      <c r="K207" s="2">
        <v>6</v>
      </c>
      <c r="L207" s="2">
        <f>I207*J207*K207</f>
        <v>248.976</v>
      </c>
      <c r="M207" s="2">
        <v>8</v>
      </c>
      <c r="N207" s="2">
        <v>73.8</v>
      </c>
      <c r="O207" s="2">
        <f>M207*N207</f>
        <v>590.4</v>
      </c>
      <c r="P207" s="2">
        <f>H207/C207*100000</f>
        <v>1.5181069871283794</v>
      </c>
      <c r="Q207" s="7">
        <f t="shared" si="15"/>
        <v>1.5066418340929144</v>
      </c>
      <c r="R207" s="2" t="s">
        <v>121</v>
      </c>
      <c r="S207" s="2" t="s">
        <v>28</v>
      </c>
      <c r="T207" s="2" t="s">
        <v>29</v>
      </c>
    </row>
    <row r="208" spans="1:20" x14ac:dyDescent="0.3">
      <c r="A208" s="2" t="s">
        <v>119</v>
      </c>
      <c r="B208" s="2" t="s">
        <v>87</v>
      </c>
      <c r="C208" s="2">
        <v>55291225</v>
      </c>
      <c r="D208" s="2">
        <v>2016</v>
      </c>
      <c r="E208" s="2" t="s">
        <v>30</v>
      </c>
      <c r="F208" s="4">
        <v>7.6142281166676996E-3</v>
      </c>
      <c r="G208" s="2">
        <v>7</v>
      </c>
      <c r="H208" s="2">
        <f>L208+O208+G208*F208</f>
        <v>661655.63329959672</v>
      </c>
      <c r="I208" s="2">
        <v>4210</v>
      </c>
      <c r="J208" s="2">
        <v>0.13300000000000001</v>
      </c>
      <c r="K208" s="2">
        <v>6</v>
      </c>
      <c r="L208" s="2">
        <f>I208*J208*K208</f>
        <v>3359.5800000000004</v>
      </c>
      <c r="M208" s="2">
        <v>8920</v>
      </c>
      <c r="N208" s="2">
        <v>73.8</v>
      </c>
      <c r="O208" s="2">
        <f>M208*N208</f>
        <v>658296</v>
      </c>
      <c r="P208" s="2">
        <f>H208/C208*100000</f>
        <v>1196.6738543043614</v>
      </c>
      <c r="Q208" s="7">
        <f t="shared" si="15"/>
        <v>99.999364798544761</v>
      </c>
      <c r="R208" s="2" t="s">
        <v>122</v>
      </c>
      <c r="S208" s="2" t="s">
        <v>28</v>
      </c>
      <c r="T208" s="2" t="s">
        <v>32</v>
      </c>
    </row>
    <row r="209" spans="1:20" x14ac:dyDescent="0.3">
      <c r="A209" s="2" t="s">
        <v>119</v>
      </c>
      <c r="B209" s="2" t="s">
        <v>87</v>
      </c>
      <c r="C209" s="2">
        <v>55291225</v>
      </c>
      <c r="D209" s="2">
        <v>2016</v>
      </c>
      <c r="E209" s="2" t="s">
        <v>33</v>
      </c>
      <c r="F209" s="4">
        <v>2.1703263040382999E-5</v>
      </c>
      <c r="G209" s="2">
        <v>8</v>
      </c>
      <c r="H209" s="2">
        <f>L209+O209+G209*F209</f>
        <v>306.37217362610431</v>
      </c>
      <c r="I209" s="2">
        <v>12</v>
      </c>
      <c r="J209" s="2">
        <v>0.13300000000000001</v>
      </c>
      <c r="K209" s="2">
        <v>7</v>
      </c>
      <c r="L209" s="2">
        <f>I209*J209*K209</f>
        <v>11.172000000000001</v>
      </c>
      <c r="M209" s="2">
        <v>4</v>
      </c>
      <c r="N209" s="2">
        <v>73.8</v>
      </c>
      <c r="O209" s="2">
        <f>M209*N209</f>
        <v>295.2</v>
      </c>
      <c r="P209" s="2">
        <f>H209/C209*100000</f>
        <v>0.55410632270510252</v>
      </c>
      <c r="Q209" s="7">
        <f t="shared" si="15"/>
        <v>0.55257398518688827</v>
      </c>
      <c r="R209" s="2" t="s">
        <v>123</v>
      </c>
      <c r="S209" s="2" t="s">
        <v>35</v>
      </c>
      <c r="T209" s="2" t="s">
        <v>36</v>
      </c>
    </row>
    <row r="210" spans="1:20" x14ac:dyDescent="0.3">
      <c r="A210" s="2" t="s">
        <v>119</v>
      </c>
      <c r="B210" s="2" t="s">
        <v>87</v>
      </c>
      <c r="C210" s="2">
        <v>55291225</v>
      </c>
      <c r="D210" s="2">
        <v>2016</v>
      </c>
      <c r="E210" s="2" t="s">
        <v>37</v>
      </c>
      <c r="F210" s="4">
        <v>3.2554894560574497E-2</v>
      </c>
      <c r="G210" s="2">
        <v>6</v>
      </c>
      <c r="H210" s="2">
        <f>L210+O210+G210*F210</f>
        <v>11520.195329367363</v>
      </c>
      <c r="I210" s="2">
        <v>18000</v>
      </c>
      <c r="J210" s="2">
        <v>0.128</v>
      </c>
      <c r="K210" s="2">
        <v>5</v>
      </c>
      <c r="L210" s="2">
        <f>I210*J210*K210</f>
        <v>11520</v>
      </c>
      <c r="M210" s="2">
        <v>0</v>
      </c>
      <c r="N210" s="2">
        <v>73.8</v>
      </c>
      <c r="O210" s="2">
        <f>M210*N210</f>
        <v>0</v>
      </c>
      <c r="P210" s="2">
        <f>H210/C210*100000</f>
        <v>20.835485792487621</v>
      </c>
      <c r="Q210" s="7">
        <f t="shared" si="15"/>
        <v>18.808113025948781</v>
      </c>
      <c r="R210" s="2" t="s">
        <v>124</v>
      </c>
      <c r="S210" s="2" t="s">
        <v>39</v>
      </c>
      <c r="T210" s="2" t="s">
        <v>29</v>
      </c>
    </row>
    <row r="211" spans="1:20" x14ac:dyDescent="0.3">
      <c r="A211" s="2" t="s">
        <v>119</v>
      </c>
      <c r="B211" s="2" t="s">
        <v>87</v>
      </c>
      <c r="C211" s="2">
        <v>55291225</v>
      </c>
      <c r="D211" s="2">
        <v>2016</v>
      </c>
      <c r="E211" s="2" t="s">
        <v>41</v>
      </c>
      <c r="F211" s="4">
        <v>6.1492578614418504E-5</v>
      </c>
      <c r="G211" s="2">
        <v>6</v>
      </c>
      <c r="H211" s="2">
        <f>L211+O211+G211*F211</f>
        <v>5329.9203689554706</v>
      </c>
      <c r="I211" s="2">
        <v>34</v>
      </c>
      <c r="J211" s="2">
        <v>0.12</v>
      </c>
      <c r="K211" s="2">
        <v>4</v>
      </c>
      <c r="L211" s="2">
        <f>I211*J211*K211</f>
        <v>16.32</v>
      </c>
      <c r="M211" s="2">
        <v>72</v>
      </c>
      <c r="N211" s="2">
        <v>73.8</v>
      </c>
      <c r="O211" s="2">
        <f>M211*N211</f>
        <v>5313.5999999999995</v>
      </c>
      <c r="P211" s="2">
        <f>H211/C211*100000</f>
        <v>9.6397219793113127</v>
      </c>
      <c r="Q211" s="7">
        <f t="shared" si="15"/>
        <v>9.1896772158950988</v>
      </c>
      <c r="R211" s="2" t="s">
        <v>125</v>
      </c>
      <c r="S211" s="2" t="s">
        <v>40</v>
      </c>
      <c r="T211" s="2" t="s">
        <v>44</v>
      </c>
    </row>
    <row r="212" spans="1:20" x14ac:dyDescent="0.3">
      <c r="A212" s="2" t="s">
        <v>119</v>
      </c>
      <c r="B212" s="2" t="s">
        <v>87</v>
      </c>
      <c r="C212" s="2">
        <v>56015738</v>
      </c>
      <c r="D212" s="2">
        <v>2017</v>
      </c>
      <c r="E212" s="2" t="s">
        <v>22</v>
      </c>
      <c r="F212" s="4" t="s">
        <v>29</v>
      </c>
      <c r="G212" s="2">
        <v>9</v>
      </c>
      <c r="H212" s="2" t="s">
        <v>29</v>
      </c>
      <c r="I212" s="2" t="s">
        <v>29</v>
      </c>
      <c r="J212" s="2">
        <v>0.13300000000000001</v>
      </c>
      <c r="K212" s="2">
        <v>8</v>
      </c>
      <c r="L212" s="2" t="s">
        <v>29</v>
      </c>
      <c r="M212" s="2" t="s">
        <v>29</v>
      </c>
      <c r="N212" s="2">
        <v>73.8</v>
      </c>
      <c r="O212" s="2" t="s">
        <v>29</v>
      </c>
      <c r="P212" s="2" t="s">
        <v>29</v>
      </c>
      <c r="Q212" s="7" t="e">
        <f t="shared" si="15"/>
        <v>#VALUE!</v>
      </c>
      <c r="R212" s="2" t="s">
        <v>120</v>
      </c>
      <c r="S212" s="2" t="s">
        <v>28</v>
      </c>
      <c r="T212" s="2" t="s">
        <v>29</v>
      </c>
    </row>
    <row r="213" spans="1:20" x14ac:dyDescent="0.3">
      <c r="A213" s="2" t="s">
        <v>119</v>
      </c>
      <c r="B213" s="2" t="s">
        <v>87</v>
      </c>
      <c r="C213" s="2">
        <v>56015738</v>
      </c>
      <c r="D213" s="2">
        <v>2017</v>
      </c>
      <c r="E213" s="2" t="s">
        <v>26</v>
      </c>
      <c r="F213" s="4">
        <v>5.5698632409341799E-4</v>
      </c>
      <c r="G213" s="2">
        <v>7</v>
      </c>
      <c r="H213" s="2">
        <f>L213+O213+G213*F213</f>
        <v>839.37989890426866</v>
      </c>
      <c r="I213" s="2">
        <v>312</v>
      </c>
      <c r="J213" s="2">
        <v>0.13300000000000001</v>
      </c>
      <c r="K213" s="2">
        <v>6</v>
      </c>
      <c r="L213" s="2">
        <f>I213*J213*K213</f>
        <v>248.976</v>
      </c>
      <c r="M213" s="2">
        <v>8</v>
      </c>
      <c r="N213" s="2">
        <v>73.8</v>
      </c>
      <c r="O213" s="2">
        <f>M213*N213</f>
        <v>590.4</v>
      </c>
      <c r="P213" s="2">
        <f>H213/C213*100000</f>
        <v>1.4984715525916461</v>
      </c>
      <c r="Q213" s="7">
        <f t="shared" si="15"/>
        <v>1.4873003363957915</v>
      </c>
      <c r="R213" s="2" t="s">
        <v>121</v>
      </c>
      <c r="S213" s="2" t="s">
        <v>28</v>
      </c>
      <c r="T213" s="2" t="s">
        <v>29</v>
      </c>
    </row>
    <row r="214" spans="1:20" x14ac:dyDescent="0.3">
      <c r="A214" s="2" t="s">
        <v>119</v>
      </c>
      <c r="B214" s="2" t="s">
        <v>87</v>
      </c>
      <c r="C214" s="2">
        <v>56015738</v>
      </c>
      <c r="D214" s="2">
        <v>2017</v>
      </c>
      <c r="E214" s="2" t="s">
        <v>30</v>
      </c>
      <c r="F214" s="4">
        <v>7.5157449501067003E-3</v>
      </c>
      <c r="G214" s="2">
        <v>7</v>
      </c>
      <c r="H214" s="2">
        <f>L214+O214+G214*F214</f>
        <v>661655.63261021464</v>
      </c>
      <c r="I214" s="2">
        <v>4210</v>
      </c>
      <c r="J214" s="2">
        <v>0.13300000000000001</v>
      </c>
      <c r="K214" s="2">
        <v>6</v>
      </c>
      <c r="L214" s="2">
        <f>I214*J214*K214</f>
        <v>3359.5800000000004</v>
      </c>
      <c r="M214" s="2">
        <v>8920</v>
      </c>
      <c r="N214" s="2">
        <v>73.8</v>
      </c>
      <c r="O214" s="2">
        <f>M214*N214</f>
        <v>658296</v>
      </c>
      <c r="P214" s="2">
        <f>H214/C214*100000</f>
        <v>1181.195957125861</v>
      </c>
      <c r="Q214" s="7">
        <f t="shared" si="15"/>
        <v>99.999258465881965</v>
      </c>
      <c r="R214" s="2" t="s">
        <v>122</v>
      </c>
      <c r="S214" s="2" t="s">
        <v>28</v>
      </c>
      <c r="T214" s="2" t="s">
        <v>32</v>
      </c>
    </row>
    <row r="215" spans="1:20" x14ac:dyDescent="0.3">
      <c r="A215" s="2" t="s">
        <v>119</v>
      </c>
      <c r="B215" s="2" t="s">
        <v>87</v>
      </c>
      <c r="C215" s="2">
        <v>56015738</v>
      </c>
      <c r="D215" s="2">
        <v>2017</v>
      </c>
      <c r="E215" s="2" t="s">
        <v>33</v>
      </c>
      <c r="F215" s="4">
        <v>2.1422550926669901E-5</v>
      </c>
      <c r="G215" s="2">
        <v>8</v>
      </c>
      <c r="H215" s="2">
        <f>L215+O215+G215*F215</f>
        <v>306.37217138040745</v>
      </c>
      <c r="I215" s="2">
        <v>12</v>
      </c>
      <c r="J215" s="2">
        <v>0.13300000000000001</v>
      </c>
      <c r="K215" s="2">
        <v>7</v>
      </c>
      <c r="L215" s="2">
        <f>I215*J215*K215</f>
        <v>11.172000000000001</v>
      </c>
      <c r="M215" s="2">
        <v>4</v>
      </c>
      <c r="N215" s="2">
        <v>73.8</v>
      </c>
      <c r="O215" s="2">
        <f>M215*N215</f>
        <v>295.2</v>
      </c>
      <c r="P215" s="2">
        <f>H215/C215*100000</f>
        <v>0.54693945365926888</v>
      </c>
      <c r="Q215" s="7">
        <f t="shared" si="15"/>
        <v>0.54544646298791966</v>
      </c>
      <c r="R215" s="2" t="s">
        <v>123</v>
      </c>
      <c r="S215" s="2" t="s">
        <v>35</v>
      </c>
      <c r="T215" s="2" t="s">
        <v>36</v>
      </c>
    </row>
    <row r="216" spans="1:20" x14ac:dyDescent="0.3">
      <c r="A216" s="2" t="s">
        <v>119</v>
      </c>
      <c r="B216" s="2" t="s">
        <v>87</v>
      </c>
      <c r="C216" s="2">
        <v>56015738</v>
      </c>
      <c r="D216" s="2">
        <v>2017</v>
      </c>
      <c r="E216" s="2" t="s">
        <v>37</v>
      </c>
      <c r="F216" s="4">
        <v>3.2133826390004901E-2</v>
      </c>
      <c r="G216" s="2">
        <v>6</v>
      </c>
      <c r="H216" s="2">
        <f>L216+O216+G216*F216</f>
        <v>11520.19280295834</v>
      </c>
      <c r="I216" s="2">
        <v>18000</v>
      </c>
      <c r="J216" s="2">
        <v>0.128</v>
      </c>
      <c r="K216" s="2">
        <v>5</v>
      </c>
      <c r="L216" s="2">
        <f>I216*J216*K216</f>
        <v>11520</v>
      </c>
      <c r="M216" s="2">
        <v>0</v>
      </c>
      <c r="N216" s="2">
        <v>73.8</v>
      </c>
      <c r="O216" s="2">
        <f>M216*N216</f>
        <v>0</v>
      </c>
      <c r="P216" s="2">
        <f>H216/C216*100000</f>
        <v>20.565993083869287</v>
      </c>
      <c r="Q216" s="7">
        <f t="shared" si="15"/>
        <v>18.589011712135793</v>
      </c>
      <c r="R216" s="2" t="s">
        <v>124</v>
      </c>
      <c r="S216" s="2" t="s">
        <v>39</v>
      </c>
      <c r="T216" s="2" t="s">
        <v>29</v>
      </c>
    </row>
    <row r="217" spans="1:20" x14ac:dyDescent="0.3">
      <c r="A217" s="2" t="s">
        <v>119</v>
      </c>
      <c r="B217" s="2" t="s">
        <v>87</v>
      </c>
      <c r="C217" s="2">
        <v>56015738</v>
      </c>
      <c r="D217" s="2">
        <v>2017</v>
      </c>
      <c r="E217" s="2" t="s">
        <v>41</v>
      </c>
      <c r="F217" s="4">
        <v>6.0697227625564798E-5</v>
      </c>
      <c r="G217" s="2">
        <v>6</v>
      </c>
      <c r="H217" s="2">
        <f>L217+O217+G217*F217</f>
        <v>5329.9203641833647</v>
      </c>
      <c r="I217" s="2">
        <v>34</v>
      </c>
      <c r="J217" s="2">
        <v>0.12</v>
      </c>
      <c r="K217" s="2">
        <v>4</v>
      </c>
      <c r="L217" s="2">
        <f>I217*J217*K217</f>
        <v>16.32</v>
      </c>
      <c r="M217" s="2">
        <v>72</v>
      </c>
      <c r="N217" s="2">
        <v>73.8</v>
      </c>
      <c r="O217" s="2">
        <f>M217*N217</f>
        <v>5313.5999999999995</v>
      </c>
      <c r="P217" s="2">
        <f>H217/C217*100000</f>
        <v>9.51504086973444</v>
      </c>
      <c r="Q217" s="7">
        <f t="shared" si="15"/>
        <v>9.0763832844487631</v>
      </c>
      <c r="R217" s="2" t="s">
        <v>125</v>
      </c>
      <c r="S217" s="2" t="s">
        <v>40</v>
      </c>
      <c r="T217" s="2" t="s">
        <v>44</v>
      </c>
    </row>
    <row r="218" spans="1:20" x14ac:dyDescent="0.3">
      <c r="A218" s="2" t="s">
        <v>119</v>
      </c>
      <c r="B218" s="2" t="s">
        <v>87</v>
      </c>
      <c r="C218" s="2">
        <v>56717156</v>
      </c>
      <c r="D218" s="2">
        <v>2018</v>
      </c>
      <c r="E218" s="2" t="s">
        <v>22</v>
      </c>
      <c r="F218" s="4" t="s">
        <v>29</v>
      </c>
      <c r="G218" s="2">
        <v>9</v>
      </c>
      <c r="H218" s="2" t="s">
        <v>29</v>
      </c>
      <c r="I218" s="2" t="s">
        <v>29</v>
      </c>
      <c r="J218" s="2">
        <v>0.13300000000000001</v>
      </c>
      <c r="K218" s="2">
        <v>8</v>
      </c>
      <c r="L218" s="2" t="s">
        <v>29</v>
      </c>
      <c r="M218" s="2" t="s">
        <v>29</v>
      </c>
      <c r="N218" s="2">
        <v>73.8</v>
      </c>
      <c r="O218" s="2" t="s">
        <v>29</v>
      </c>
      <c r="P218" s="2" t="s">
        <v>29</v>
      </c>
      <c r="Q218" s="7" t="e">
        <f t="shared" si="15"/>
        <v>#VALUE!</v>
      </c>
      <c r="R218" s="2" t="s">
        <v>120</v>
      </c>
      <c r="S218" s="2" t="s">
        <v>28</v>
      </c>
      <c r="T218" s="2" t="s">
        <v>29</v>
      </c>
    </row>
    <row r="219" spans="1:20" x14ac:dyDescent="0.3">
      <c r="A219" s="2" t="s">
        <v>119</v>
      </c>
      <c r="B219" s="2" t="s">
        <v>87</v>
      </c>
      <c r="C219" s="2">
        <v>56717156</v>
      </c>
      <c r="D219" s="2">
        <v>2018</v>
      </c>
      <c r="E219" s="2" t="s">
        <v>26</v>
      </c>
      <c r="F219" s="4">
        <v>5.5009810435488005E-4</v>
      </c>
      <c r="G219" s="2">
        <v>7</v>
      </c>
      <c r="H219" s="2">
        <f>L219+O219+G219*F219</f>
        <v>839.37985068673049</v>
      </c>
      <c r="I219" s="2">
        <v>312</v>
      </c>
      <c r="J219" s="2">
        <v>0.13300000000000001</v>
      </c>
      <c r="K219" s="2">
        <v>6</v>
      </c>
      <c r="L219" s="2">
        <f>I219*J219*K219</f>
        <v>248.976</v>
      </c>
      <c r="M219" s="2">
        <v>8</v>
      </c>
      <c r="N219" s="2">
        <v>73.8</v>
      </c>
      <c r="O219" s="2">
        <f>M219*N219</f>
        <v>590.4</v>
      </c>
      <c r="P219" s="2">
        <f>H219/C219*100000</f>
        <v>1.4799399509501683</v>
      </c>
      <c r="Q219" s="7">
        <f t="shared" si="15"/>
        <v>1.4690426636605358</v>
      </c>
      <c r="R219" s="2" t="s">
        <v>121</v>
      </c>
      <c r="S219" s="2" t="s">
        <v>28</v>
      </c>
      <c r="T219" s="2" t="s">
        <v>29</v>
      </c>
    </row>
    <row r="220" spans="1:20" x14ac:dyDescent="0.3">
      <c r="A220" s="2" t="s">
        <v>119</v>
      </c>
      <c r="B220" s="2" t="s">
        <v>87</v>
      </c>
      <c r="C220" s="2">
        <v>56717156</v>
      </c>
      <c r="D220" s="2">
        <v>2018</v>
      </c>
      <c r="E220" s="2" t="s">
        <v>30</v>
      </c>
      <c r="F220" s="4">
        <v>7.4227981388911698E-3</v>
      </c>
      <c r="G220" s="2">
        <v>7</v>
      </c>
      <c r="H220" s="2">
        <f>L220+O220+G220*F220</f>
        <v>661655.63195958699</v>
      </c>
      <c r="I220" s="2">
        <v>4210</v>
      </c>
      <c r="J220" s="2">
        <v>0.13300000000000001</v>
      </c>
      <c r="K220" s="2">
        <v>6</v>
      </c>
      <c r="L220" s="2">
        <f>I220*J220*K220</f>
        <v>3359.5800000000004</v>
      </c>
      <c r="M220" s="2">
        <v>8920</v>
      </c>
      <c r="N220" s="2">
        <v>73.8</v>
      </c>
      <c r="O220" s="2">
        <f>M220*N220</f>
        <v>658296</v>
      </c>
      <c r="P220" s="2">
        <f>H220/C220*100000</f>
        <v>1166.588169476599</v>
      </c>
      <c r="Q220" s="7">
        <f t="shared" si="15"/>
        <v>99.999141832716859</v>
      </c>
      <c r="R220" s="2" t="s">
        <v>122</v>
      </c>
      <c r="S220" s="2" t="s">
        <v>28</v>
      </c>
      <c r="T220" s="2" t="s">
        <v>32</v>
      </c>
    </row>
    <row r="221" spans="1:20" x14ac:dyDescent="0.3">
      <c r="A221" s="2" t="s">
        <v>119</v>
      </c>
      <c r="B221" s="2" t="s">
        <v>87</v>
      </c>
      <c r="C221" s="2">
        <v>56717156</v>
      </c>
      <c r="D221" s="2">
        <v>2018</v>
      </c>
      <c r="E221" s="2" t="s">
        <v>33</v>
      </c>
      <c r="F221" s="4">
        <v>2.1157619398264599E-5</v>
      </c>
      <c r="G221" s="2">
        <v>8</v>
      </c>
      <c r="H221" s="2">
        <f>L221+O221+G221*F221</f>
        <v>306.37216926095522</v>
      </c>
      <c r="I221" s="2">
        <v>12</v>
      </c>
      <c r="J221" s="2">
        <v>0.13300000000000001</v>
      </c>
      <c r="K221" s="2">
        <v>7</v>
      </c>
      <c r="L221" s="2">
        <f>I221*J221*K221</f>
        <v>11.172000000000001</v>
      </c>
      <c r="M221" s="2">
        <v>4</v>
      </c>
      <c r="N221" s="2">
        <v>73.8</v>
      </c>
      <c r="O221" s="2">
        <f>M221*N221</f>
        <v>295.2</v>
      </c>
      <c r="P221" s="2">
        <f>H221/C221*100000</f>
        <v>0.54017547928699949</v>
      </c>
      <c r="Q221" s="7">
        <f t="shared" si="15"/>
        <v>0.5387191549604875</v>
      </c>
      <c r="R221" s="2" t="s">
        <v>123</v>
      </c>
      <c r="S221" s="2" t="s">
        <v>35</v>
      </c>
      <c r="T221" s="2" t="s">
        <v>36</v>
      </c>
    </row>
    <row r="222" spans="1:20" x14ac:dyDescent="0.3">
      <c r="A222" s="2" t="s">
        <v>119</v>
      </c>
      <c r="B222" s="2" t="s">
        <v>87</v>
      </c>
      <c r="C222" s="2">
        <v>56717156</v>
      </c>
      <c r="D222" s="2">
        <v>2018</v>
      </c>
      <c r="E222" s="2" t="s">
        <v>37</v>
      </c>
      <c r="F222" s="4">
        <v>3.17364290973969E-2</v>
      </c>
      <c r="G222" s="2">
        <v>6</v>
      </c>
      <c r="H222" s="2">
        <f>L222+O222+G222*F222</f>
        <v>11520.190418574584</v>
      </c>
      <c r="I222" s="2">
        <v>18000</v>
      </c>
      <c r="J222" s="2">
        <v>0.128</v>
      </c>
      <c r="K222" s="2">
        <v>5</v>
      </c>
      <c r="L222" s="2">
        <f>I222*J222*K222</f>
        <v>11520</v>
      </c>
      <c r="M222" s="2">
        <v>0</v>
      </c>
      <c r="N222" s="2">
        <v>73.8</v>
      </c>
      <c r="O222" s="2">
        <f>M222*N222</f>
        <v>0</v>
      </c>
      <c r="P222" s="2">
        <f>H222/C222*100000</f>
        <v>20.311650355977978</v>
      </c>
      <c r="Q222" s="7">
        <f t="shared" si="15"/>
        <v>18.381685235579738</v>
      </c>
      <c r="R222" s="2" t="s">
        <v>124</v>
      </c>
      <c r="S222" s="2" t="s">
        <v>39</v>
      </c>
      <c r="T222" s="2" t="s">
        <v>29</v>
      </c>
    </row>
    <row r="223" spans="1:20" x14ac:dyDescent="0.3">
      <c r="A223" s="2" t="s">
        <v>119</v>
      </c>
      <c r="B223" s="2" t="s">
        <v>87</v>
      </c>
      <c r="C223" s="2">
        <v>56717156</v>
      </c>
      <c r="D223" s="2">
        <v>2018</v>
      </c>
      <c r="E223" s="2" t="s">
        <v>41</v>
      </c>
      <c r="F223" s="4">
        <v>5.9946588295083097E-5</v>
      </c>
      <c r="G223" s="2">
        <v>6</v>
      </c>
      <c r="H223" s="2">
        <f>L223+O223+G223*F223</f>
        <v>5329.9203596795287</v>
      </c>
      <c r="I223" s="2">
        <v>34</v>
      </c>
      <c r="J223" s="2">
        <v>0.12</v>
      </c>
      <c r="K223" s="2">
        <v>4</v>
      </c>
      <c r="L223" s="2">
        <f>I223*J223*K223</f>
        <v>16.32</v>
      </c>
      <c r="M223" s="2">
        <v>72</v>
      </c>
      <c r="N223" s="2">
        <v>73.8</v>
      </c>
      <c r="O223" s="2">
        <f>M223*N223</f>
        <v>5313.5999999999995</v>
      </c>
      <c r="P223" s="2">
        <f>H223/C223*100000</f>
        <v>9.3973688660967571</v>
      </c>
      <c r="Q223" s="7">
        <f t="shared" si="15"/>
        <v>8.9693286685769369</v>
      </c>
      <c r="R223" s="2" t="s">
        <v>125</v>
      </c>
      <c r="S223" s="2" t="s">
        <v>40</v>
      </c>
      <c r="T223" s="2" t="s">
        <v>44</v>
      </c>
    </row>
    <row r="224" spans="1:20" x14ac:dyDescent="0.3">
      <c r="A224" s="2" t="s">
        <v>119</v>
      </c>
      <c r="B224" s="2" t="s">
        <v>87</v>
      </c>
      <c r="C224" s="2">
        <v>57779622</v>
      </c>
      <c r="D224" s="2">
        <v>2019</v>
      </c>
      <c r="E224" s="2" t="s">
        <v>22</v>
      </c>
      <c r="F224" s="4" t="s">
        <v>29</v>
      </c>
      <c r="G224" s="2">
        <v>9</v>
      </c>
      <c r="H224" s="2" t="s">
        <v>29</v>
      </c>
      <c r="I224" s="2" t="s">
        <v>29</v>
      </c>
      <c r="J224" s="2">
        <v>0.13300000000000001</v>
      </c>
      <c r="K224" s="2">
        <v>8</v>
      </c>
      <c r="L224" s="2" t="s">
        <v>29</v>
      </c>
      <c r="M224" s="2" t="s">
        <v>29</v>
      </c>
      <c r="N224" s="2">
        <v>73.8</v>
      </c>
      <c r="O224" s="2" t="s">
        <v>29</v>
      </c>
      <c r="P224" s="2" t="s">
        <v>29</v>
      </c>
      <c r="Q224" s="7" t="e">
        <f t="shared" si="15"/>
        <v>#VALUE!</v>
      </c>
      <c r="R224" s="2" t="s">
        <v>120</v>
      </c>
      <c r="S224" s="2" t="s">
        <v>28</v>
      </c>
      <c r="T224" s="2" t="s">
        <v>29</v>
      </c>
    </row>
    <row r="225" spans="1:20" x14ac:dyDescent="0.3">
      <c r="A225" s="2" t="s">
        <v>119</v>
      </c>
      <c r="B225" s="2" t="s">
        <v>87</v>
      </c>
      <c r="C225" s="2">
        <v>57779622</v>
      </c>
      <c r="D225" s="2">
        <v>2019</v>
      </c>
      <c r="E225" s="2" t="s">
        <v>26</v>
      </c>
      <c r="F225" s="4">
        <v>5.3998276416553895E-4</v>
      </c>
      <c r="G225" s="2">
        <v>7</v>
      </c>
      <c r="H225" s="2">
        <f>L225+O225+G225*F225</f>
        <v>839.37977987934914</v>
      </c>
      <c r="I225" s="2">
        <v>312</v>
      </c>
      <c r="J225" s="2">
        <v>0.13300000000000001</v>
      </c>
      <c r="K225" s="2">
        <v>6</v>
      </c>
      <c r="L225" s="2">
        <f>I225*J225*K225</f>
        <v>248.976</v>
      </c>
      <c r="M225" s="2">
        <v>8</v>
      </c>
      <c r="N225" s="2">
        <v>73.8</v>
      </c>
      <c r="O225" s="2">
        <f>M225*N225</f>
        <v>590.4</v>
      </c>
      <c r="P225" s="2">
        <f>H225/C225*100000</f>
        <v>1.452726326038182</v>
      </c>
      <c r="Q225" s="7">
        <f t="shared" si="15"/>
        <v>1.4422251696682209</v>
      </c>
      <c r="R225" s="2" t="s">
        <v>121</v>
      </c>
      <c r="S225" s="2" t="s">
        <v>28</v>
      </c>
      <c r="T225" s="2" t="s">
        <v>29</v>
      </c>
    </row>
    <row r="226" spans="1:20" x14ac:dyDescent="0.3">
      <c r="A226" s="2" t="s">
        <v>119</v>
      </c>
      <c r="B226" s="2" t="s">
        <v>87</v>
      </c>
      <c r="C226" s="2">
        <v>57779622</v>
      </c>
      <c r="D226" s="2">
        <v>2019</v>
      </c>
      <c r="E226" s="2" t="s">
        <v>30</v>
      </c>
      <c r="F226" s="4">
        <v>7.28630588825936E-3</v>
      </c>
      <c r="G226" s="2">
        <v>7</v>
      </c>
      <c r="H226" s="2">
        <f>L226+O226+G226*F226</f>
        <v>661655.63100414118</v>
      </c>
      <c r="I226" s="2">
        <v>4210</v>
      </c>
      <c r="J226" s="2">
        <v>0.13300000000000001</v>
      </c>
      <c r="K226" s="2">
        <v>6</v>
      </c>
      <c r="L226" s="2">
        <f>I226*J226*K226</f>
        <v>3359.5800000000004</v>
      </c>
      <c r="M226" s="2">
        <v>8920</v>
      </c>
      <c r="N226" s="2">
        <v>73.8</v>
      </c>
      <c r="O226" s="2">
        <f>M226*N226</f>
        <v>658296</v>
      </c>
      <c r="P226" s="2">
        <f>H226/C226*100000</f>
        <v>1145.1366556259941</v>
      </c>
      <c r="Q226" s="7">
        <f t="shared" si="15"/>
        <v>99.99893650685631</v>
      </c>
      <c r="R226" s="2" t="s">
        <v>122</v>
      </c>
      <c r="S226" s="2" t="s">
        <v>28</v>
      </c>
      <c r="T226" s="2" t="s">
        <v>32</v>
      </c>
    </row>
    <row r="227" spans="1:20" x14ac:dyDescent="0.3">
      <c r="A227" s="2" t="s">
        <v>119</v>
      </c>
      <c r="B227" s="2" t="s">
        <v>87</v>
      </c>
      <c r="C227" s="2">
        <v>57779622</v>
      </c>
      <c r="D227" s="2">
        <v>2019</v>
      </c>
      <c r="E227" s="2" t="s">
        <v>33</v>
      </c>
      <c r="F227" s="4">
        <v>2.07685678525207E-5</v>
      </c>
      <c r="G227" s="2">
        <v>8</v>
      </c>
      <c r="H227" s="2">
        <f>L227+O227+G227*F227</f>
        <v>306.37216614854282</v>
      </c>
      <c r="I227" s="2">
        <v>12</v>
      </c>
      <c r="J227" s="2">
        <v>0.13300000000000001</v>
      </c>
      <c r="K227" s="2">
        <v>7</v>
      </c>
      <c r="L227" s="2">
        <f>I227*J227*K227</f>
        <v>11.172000000000001</v>
      </c>
      <c r="M227" s="2">
        <v>4</v>
      </c>
      <c r="N227" s="2">
        <v>73.8</v>
      </c>
      <c r="O227" s="2">
        <f>M227*N227</f>
        <v>295.2</v>
      </c>
      <c r="P227" s="2">
        <f>H227/C227*100000</f>
        <v>0.53024259339831403</v>
      </c>
      <c r="Q227" s="7">
        <f t="shared" si="15"/>
        <v>0.52883928876092945</v>
      </c>
      <c r="R227" s="2" t="s">
        <v>123</v>
      </c>
      <c r="S227" s="2" t="s">
        <v>35</v>
      </c>
      <c r="T227" s="2" t="s">
        <v>36</v>
      </c>
    </row>
    <row r="228" spans="1:20" x14ac:dyDescent="0.3">
      <c r="A228" s="2" t="s">
        <v>119</v>
      </c>
      <c r="B228" s="2" t="s">
        <v>87</v>
      </c>
      <c r="C228" s="2">
        <v>57779622</v>
      </c>
      <c r="D228" s="2">
        <v>2019</v>
      </c>
      <c r="E228" s="2" t="s">
        <v>37</v>
      </c>
      <c r="F228" s="4">
        <v>3.1152851778781101E-2</v>
      </c>
      <c r="G228" s="2">
        <v>6</v>
      </c>
      <c r="H228" s="2">
        <f>L228+O228+G228*F228</f>
        <v>11520.186917110672</v>
      </c>
      <c r="I228" s="2">
        <v>18000</v>
      </c>
      <c r="J228" s="2">
        <v>0.128</v>
      </c>
      <c r="K228" s="2">
        <v>5</v>
      </c>
      <c r="L228" s="2">
        <f>I228*J228*K228</f>
        <v>11520</v>
      </c>
      <c r="M228" s="2">
        <v>0</v>
      </c>
      <c r="N228" s="2">
        <v>73.8</v>
      </c>
      <c r="O228" s="2">
        <f>M228*N228</f>
        <v>0</v>
      </c>
      <c r="P228" s="2">
        <f>H228/C228*100000</f>
        <v>19.938148638477891</v>
      </c>
      <c r="Q228" s="7">
        <f t="shared" si="15"/>
        <v>18.076269416529968</v>
      </c>
      <c r="R228" s="2" t="s">
        <v>124</v>
      </c>
      <c r="S228" s="2" t="s">
        <v>39</v>
      </c>
      <c r="T228" s="2" t="s">
        <v>29</v>
      </c>
    </row>
    <row r="229" spans="1:20" x14ac:dyDescent="0.3">
      <c r="A229" s="2" t="s">
        <v>119</v>
      </c>
      <c r="B229" s="2" t="s">
        <v>87</v>
      </c>
      <c r="C229" s="2">
        <v>57779622</v>
      </c>
      <c r="D229" s="2">
        <v>2019</v>
      </c>
      <c r="E229" s="2" t="s">
        <v>41</v>
      </c>
      <c r="F229" s="4">
        <v>5.8844275582142102E-5</v>
      </c>
      <c r="G229" s="2">
        <v>6</v>
      </c>
      <c r="H229" s="2">
        <f>L229+O229+G229*F229</f>
        <v>5329.9203530656523</v>
      </c>
      <c r="I229" s="2">
        <v>34</v>
      </c>
      <c r="J229" s="2">
        <v>0.12</v>
      </c>
      <c r="K229" s="2">
        <v>4</v>
      </c>
      <c r="L229" s="2">
        <f>I229*J229*K229</f>
        <v>16.32</v>
      </c>
      <c r="M229" s="2">
        <v>72</v>
      </c>
      <c r="N229" s="2">
        <v>73.8</v>
      </c>
      <c r="O229" s="2">
        <f>M229*N229</f>
        <v>5313.5999999999995</v>
      </c>
      <c r="P229" s="2">
        <f>H229/C229*100000</f>
        <v>9.2245677084312732</v>
      </c>
      <c r="Q229" s="7">
        <f t="shared" si="15"/>
        <v>8.8118906264820431</v>
      </c>
      <c r="R229" s="2" t="s">
        <v>125</v>
      </c>
      <c r="S229" s="2" t="s">
        <v>40</v>
      </c>
      <c r="T229" s="2" t="s">
        <v>44</v>
      </c>
    </row>
    <row r="230" spans="1:20" x14ac:dyDescent="0.3">
      <c r="A230" s="2" t="s">
        <v>119</v>
      </c>
      <c r="B230" s="2" t="s">
        <v>87</v>
      </c>
      <c r="C230" s="2">
        <v>58801927</v>
      </c>
      <c r="D230" s="2">
        <v>2020</v>
      </c>
      <c r="E230" s="2" t="s">
        <v>22</v>
      </c>
      <c r="F230" s="4" t="s">
        <v>29</v>
      </c>
      <c r="G230" s="2">
        <v>9</v>
      </c>
      <c r="H230" s="2" t="s">
        <v>29</v>
      </c>
      <c r="I230" s="2" t="s">
        <v>29</v>
      </c>
      <c r="J230" s="2">
        <v>0.13300000000000001</v>
      </c>
      <c r="K230" s="2">
        <v>8</v>
      </c>
      <c r="L230" s="2" t="s">
        <v>29</v>
      </c>
      <c r="M230" s="2" t="s">
        <v>29</v>
      </c>
      <c r="N230" s="2">
        <v>73.8</v>
      </c>
      <c r="O230" s="2" t="s">
        <v>29</v>
      </c>
      <c r="P230" s="2" t="s">
        <v>29</v>
      </c>
      <c r="Q230" s="7" t="e">
        <f t="shared" si="15"/>
        <v>#VALUE!</v>
      </c>
      <c r="R230" s="2" t="s">
        <v>120</v>
      </c>
      <c r="S230" s="2" t="s">
        <v>28</v>
      </c>
      <c r="T230" s="2" t="s">
        <v>29</v>
      </c>
    </row>
    <row r="231" spans="1:20" x14ac:dyDescent="0.3">
      <c r="A231" s="2" t="s">
        <v>119</v>
      </c>
      <c r="B231" s="2" t="s">
        <v>87</v>
      </c>
      <c r="C231" s="2">
        <v>58801927</v>
      </c>
      <c r="D231" s="2">
        <v>2020</v>
      </c>
      <c r="E231" s="2" t="s">
        <v>26</v>
      </c>
      <c r="F231" s="4">
        <v>5.3059485618558099E-4</v>
      </c>
      <c r="G231" s="2">
        <v>7</v>
      </c>
      <c r="H231" s="2">
        <f>L231+O231+G231*F231</f>
        <v>839.3797141639933</v>
      </c>
      <c r="I231" s="2">
        <v>312</v>
      </c>
      <c r="J231" s="2">
        <v>0.13300000000000001</v>
      </c>
      <c r="K231" s="2">
        <v>6</v>
      </c>
      <c r="L231" s="2">
        <f>I231*J231*K231</f>
        <v>248.976</v>
      </c>
      <c r="M231" s="2">
        <v>8</v>
      </c>
      <c r="N231" s="2">
        <v>73.8</v>
      </c>
      <c r="O231" s="2">
        <f>M231*N231</f>
        <v>590.4</v>
      </c>
      <c r="P231" s="2">
        <f>H231/C231*100000</f>
        <v>1.4274697394933897</v>
      </c>
      <c r="Q231" s="7">
        <f t="shared" si="15"/>
        <v>1.4173296962305182</v>
      </c>
      <c r="R231" s="2" t="s">
        <v>121</v>
      </c>
      <c r="S231" s="2" t="s">
        <v>28</v>
      </c>
      <c r="T231" s="2" t="s">
        <v>29</v>
      </c>
    </row>
    <row r="232" spans="1:20" x14ac:dyDescent="0.3">
      <c r="A232" s="2" t="s">
        <v>119</v>
      </c>
      <c r="B232" s="2" t="s">
        <v>87</v>
      </c>
      <c r="C232" s="2">
        <v>58801927</v>
      </c>
      <c r="D232" s="2">
        <v>2020</v>
      </c>
      <c r="E232" s="2" t="s">
        <v>30</v>
      </c>
      <c r="F232" s="4">
        <v>7.1596293094272198E-3</v>
      </c>
      <c r="G232" s="2">
        <v>7</v>
      </c>
      <c r="H232" s="2">
        <f>L232+O232+G232*F232</f>
        <v>661655.63011740509</v>
      </c>
      <c r="I232" s="2">
        <v>4210</v>
      </c>
      <c r="J232" s="2">
        <v>0.13300000000000001</v>
      </c>
      <c r="K232" s="2">
        <v>6</v>
      </c>
      <c r="L232" s="2">
        <f>I232*J232*K232</f>
        <v>3359.5800000000004</v>
      </c>
      <c r="M232" s="2">
        <v>8920</v>
      </c>
      <c r="N232" s="2">
        <v>73.8</v>
      </c>
      <c r="O232" s="2">
        <f>M232*N232</f>
        <v>658296</v>
      </c>
      <c r="P232" s="2">
        <f>H232/C232*100000</f>
        <v>1125.2278009824493</v>
      </c>
      <c r="Q232" s="7">
        <f t="shared" si="15"/>
        <v>99.998702229937379</v>
      </c>
      <c r="R232" s="2" t="s">
        <v>122</v>
      </c>
      <c r="S232" s="2" t="s">
        <v>28</v>
      </c>
      <c r="T232" s="2" t="s">
        <v>32</v>
      </c>
    </row>
    <row r="233" spans="1:20" x14ac:dyDescent="0.3">
      <c r="A233" s="2" t="s">
        <v>119</v>
      </c>
      <c r="B233" s="2" t="s">
        <v>87</v>
      </c>
      <c r="C233" s="2">
        <v>58801927</v>
      </c>
      <c r="D233" s="2">
        <v>2020</v>
      </c>
      <c r="E233" s="2" t="s">
        <v>33</v>
      </c>
      <c r="F233" s="4">
        <v>2.0407494468676199E-5</v>
      </c>
      <c r="G233" s="2">
        <v>8</v>
      </c>
      <c r="H233" s="2">
        <f>L233+O233+G233*F233</f>
        <v>306.37216325995576</v>
      </c>
      <c r="I233" s="2">
        <v>12</v>
      </c>
      <c r="J233" s="2">
        <v>0.13300000000000001</v>
      </c>
      <c r="K233" s="2">
        <v>7</v>
      </c>
      <c r="L233" s="2">
        <f>I233*J233*K233</f>
        <v>11.172000000000001</v>
      </c>
      <c r="M233" s="2">
        <v>4</v>
      </c>
      <c r="N233" s="2">
        <v>73.8</v>
      </c>
      <c r="O233" s="2">
        <f>M233*N233</f>
        <v>295.2</v>
      </c>
      <c r="P233" s="2">
        <f>H233/C233*100000</f>
        <v>0.52102401892365835</v>
      </c>
      <c r="Q233" s="7">
        <f t="shared" si="15"/>
        <v>0.51966904305348338</v>
      </c>
      <c r="R233" s="2" t="s">
        <v>123</v>
      </c>
      <c r="S233" s="2" t="s">
        <v>35</v>
      </c>
      <c r="T233" s="2" t="s">
        <v>36</v>
      </c>
    </row>
    <row r="234" spans="1:20" x14ac:dyDescent="0.3">
      <c r="A234" s="2" t="s">
        <v>119</v>
      </c>
      <c r="B234" s="2" t="s">
        <v>87</v>
      </c>
      <c r="C234" s="2">
        <v>58801927</v>
      </c>
      <c r="D234" s="2">
        <v>2020</v>
      </c>
      <c r="E234" s="2" t="s">
        <v>37</v>
      </c>
      <c r="F234" s="4">
        <v>3.06112417030143E-2</v>
      </c>
      <c r="G234" s="2">
        <v>6</v>
      </c>
      <c r="H234" s="2">
        <f>L234+O234+G234*F234</f>
        <v>11520.183667450217</v>
      </c>
      <c r="I234" s="2">
        <v>18000</v>
      </c>
      <c r="J234" s="2">
        <v>0.128</v>
      </c>
      <c r="K234" s="2">
        <v>5</v>
      </c>
      <c r="L234" s="2">
        <f>I234*J234*K234</f>
        <v>11520</v>
      </c>
      <c r="M234" s="2">
        <v>0</v>
      </c>
      <c r="N234" s="2">
        <v>73.8</v>
      </c>
      <c r="O234" s="2">
        <f>M234*N234</f>
        <v>0</v>
      </c>
      <c r="P234" s="2">
        <f>H234/C234*100000</f>
        <v>19.591507039301991</v>
      </c>
      <c r="Q234" s="7">
        <f t="shared" si="15"/>
        <v>17.79179491811027</v>
      </c>
      <c r="R234" s="2" t="s">
        <v>124</v>
      </c>
      <c r="S234" s="2" t="s">
        <v>39</v>
      </c>
      <c r="T234" s="2" t="s">
        <v>29</v>
      </c>
    </row>
    <row r="235" spans="1:20" x14ac:dyDescent="0.3">
      <c r="A235" s="2" t="s">
        <v>119</v>
      </c>
      <c r="B235" s="2" t="s">
        <v>87</v>
      </c>
      <c r="C235" s="2">
        <v>58801927</v>
      </c>
      <c r="D235" s="2">
        <v>2020</v>
      </c>
      <c r="E235" s="2" t="s">
        <v>41</v>
      </c>
      <c r="F235" s="4">
        <v>5.7821234327915803E-5</v>
      </c>
      <c r="G235" s="2">
        <v>6</v>
      </c>
      <c r="H235" s="2">
        <f>L235+O235+G235*F235</f>
        <v>5329.9203469274053</v>
      </c>
      <c r="I235" s="2">
        <v>34</v>
      </c>
      <c r="J235" s="2">
        <v>0.12</v>
      </c>
      <c r="K235" s="2">
        <v>4</v>
      </c>
      <c r="L235" s="2">
        <f>I235*J235*K235</f>
        <v>16.32</v>
      </c>
      <c r="M235" s="2">
        <v>72</v>
      </c>
      <c r="N235" s="2">
        <v>73.8</v>
      </c>
      <c r="O235" s="2">
        <f>M235*N235</f>
        <v>5313.5999999999995</v>
      </c>
      <c r="P235" s="2">
        <f>H235/C235*100000</f>
        <v>9.0641933332004676</v>
      </c>
      <c r="Q235" s="7">
        <f t="shared" si="15"/>
        <v>8.6655309354391257</v>
      </c>
      <c r="R235" s="2" t="s">
        <v>125</v>
      </c>
      <c r="S235" s="2" t="s">
        <v>40</v>
      </c>
      <c r="T235" s="2" t="s">
        <v>44</v>
      </c>
    </row>
    <row r="236" spans="1:20" x14ac:dyDescent="0.3">
      <c r="A236" s="2" t="s">
        <v>119</v>
      </c>
      <c r="B236" s="2" t="s">
        <v>87</v>
      </c>
      <c r="C236" s="2">
        <v>59392255</v>
      </c>
      <c r="D236" s="2">
        <v>2021</v>
      </c>
      <c r="E236" s="2" t="s">
        <v>22</v>
      </c>
      <c r="F236" s="4" t="s">
        <v>29</v>
      </c>
      <c r="G236" s="2">
        <v>9</v>
      </c>
      <c r="H236" s="2" t="s">
        <v>29</v>
      </c>
      <c r="I236" s="2" t="s">
        <v>29</v>
      </c>
      <c r="J236" s="2">
        <v>0.13300000000000001</v>
      </c>
      <c r="K236" s="2">
        <v>8</v>
      </c>
      <c r="L236" s="2" t="s">
        <v>29</v>
      </c>
      <c r="M236" s="2" t="s">
        <v>29</v>
      </c>
      <c r="N236" s="2">
        <v>73.8</v>
      </c>
      <c r="O236" s="2" t="s">
        <v>29</v>
      </c>
      <c r="P236" s="2" t="s">
        <v>29</v>
      </c>
      <c r="Q236" s="7" t="e">
        <f t="shared" si="15"/>
        <v>#VALUE!</v>
      </c>
      <c r="R236" s="2" t="s">
        <v>120</v>
      </c>
      <c r="S236" s="2" t="s">
        <v>28</v>
      </c>
      <c r="T236" s="2" t="s">
        <v>29</v>
      </c>
    </row>
    <row r="237" spans="1:20" x14ac:dyDescent="0.3">
      <c r="A237" s="2" t="s">
        <v>119</v>
      </c>
      <c r="B237" s="2" t="s">
        <v>87</v>
      </c>
      <c r="C237" s="2">
        <v>59392255</v>
      </c>
      <c r="D237" s="2">
        <v>2021</v>
      </c>
      <c r="E237" s="2" t="s">
        <v>26</v>
      </c>
      <c r="F237" s="4">
        <v>2.4919074044250401E-3</v>
      </c>
      <c r="G237" s="2">
        <v>7</v>
      </c>
      <c r="H237" s="2">
        <f>L237+O237+G237*F237</f>
        <v>26420.657443351829</v>
      </c>
      <c r="I237" s="2">
        <v>1480</v>
      </c>
      <c r="J237" s="2">
        <v>0.13300000000000001</v>
      </c>
      <c r="K237" s="2">
        <v>6</v>
      </c>
      <c r="L237" s="2">
        <f>I237*J237*K237</f>
        <v>1181.04</v>
      </c>
      <c r="M237" s="2">
        <v>342</v>
      </c>
      <c r="N237" s="2">
        <v>73.8</v>
      </c>
      <c r="O237" s="2">
        <f>M237*N237</f>
        <v>25239.599999999999</v>
      </c>
      <c r="P237" s="2">
        <f>H237/C237*100000</f>
        <v>44.485021562747249</v>
      </c>
      <c r="Q237" s="7">
        <f t="shared" si="15"/>
        <v>35.907973131667539</v>
      </c>
      <c r="R237" s="2" t="s">
        <v>126</v>
      </c>
      <c r="S237" s="2" t="s">
        <v>28</v>
      </c>
      <c r="T237" s="2" t="s">
        <v>29</v>
      </c>
    </row>
    <row r="238" spans="1:20" x14ac:dyDescent="0.3">
      <c r="A238" s="2" t="s">
        <v>119</v>
      </c>
      <c r="B238" s="2" t="s">
        <v>87</v>
      </c>
      <c r="C238" s="2">
        <v>59392255</v>
      </c>
      <c r="D238" s="2">
        <v>2021</v>
      </c>
      <c r="E238" s="2" t="s">
        <v>30</v>
      </c>
      <c r="F238" s="4">
        <v>7.08846633285771E-3</v>
      </c>
      <c r="G238" s="2">
        <v>7</v>
      </c>
      <c r="H238" s="2">
        <f>L238+O238+G238*F238</f>
        <v>661655.62961926428</v>
      </c>
      <c r="I238" s="2">
        <v>4210</v>
      </c>
      <c r="J238" s="2">
        <v>0.13300000000000001</v>
      </c>
      <c r="K238" s="2">
        <v>6</v>
      </c>
      <c r="L238" s="2">
        <f>I238*J238*K238</f>
        <v>3359.5800000000004</v>
      </c>
      <c r="M238" s="2">
        <v>8920</v>
      </c>
      <c r="N238" s="2">
        <v>73.8</v>
      </c>
      <c r="O238" s="2">
        <f>M238*N238</f>
        <v>658296</v>
      </c>
      <c r="P238" s="2">
        <f>H238/C238*100000</f>
        <v>1114.043623397132</v>
      </c>
      <c r="Q238" s="7">
        <f t="shared" si="15"/>
        <v>99.998548657150451</v>
      </c>
      <c r="R238" s="2" t="s">
        <v>122</v>
      </c>
      <c r="S238" s="2" t="s">
        <v>28</v>
      </c>
      <c r="T238" s="2" t="s">
        <v>32</v>
      </c>
    </row>
    <row r="239" spans="1:20" x14ac:dyDescent="0.3">
      <c r="A239" s="2" t="s">
        <v>119</v>
      </c>
      <c r="B239" s="2" t="s">
        <v>87</v>
      </c>
      <c r="C239" s="2">
        <v>59392255</v>
      </c>
      <c r="D239" s="2">
        <v>2021</v>
      </c>
      <c r="E239" s="2" t="s">
        <v>33</v>
      </c>
      <c r="F239" s="4">
        <v>2.0204654630473302E-5</v>
      </c>
      <c r="G239" s="2">
        <v>8</v>
      </c>
      <c r="H239" s="2">
        <f>L239+O239+G239*F239</f>
        <v>306.37216163723707</v>
      </c>
      <c r="I239" s="2">
        <v>12</v>
      </c>
      <c r="J239" s="2">
        <v>0.13300000000000001</v>
      </c>
      <c r="K239" s="2">
        <v>7</v>
      </c>
      <c r="L239" s="2">
        <f>I239*J239*K239</f>
        <v>11.172000000000001</v>
      </c>
      <c r="M239" s="2">
        <v>4</v>
      </c>
      <c r="N239" s="2">
        <v>73.8</v>
      </c>
      <c r="O239" s="2">
        <f>M239*N239</f>
        <v>295.2</v>
      </c>
      <c r="P239" s="2">
        <f>H239/C239*100000</f>
        <v>0.51584530952265928</v>
      </c>
      <c r="Q239" s="7">
        <f t="shared" si="15"/>
        <v>0.51451711240146913</v>
      </c>
      <c r="R239" s="2" t="s">
        <v>123</v>
      </c>
      <c r="S239" s="2" t="s">
        <v>35</v>
      </c>
      <c r="T239" s="2" t="s">
        <v>36</v>
      </c>
    </row>
    <row r="240" spans="1:20" x14ac:dyDescent="0.3">
      <c r="A240" s="2" t="s">
        <v>119</v>
      </c>
      <c r="B240" s="2" t="s">
        <v>87</v>
      </c>
      <c r="C240" s="2">
        <v>59392255</v>
      </c>
      <c r="D240" s="2">
        <v>2021</v>
      </c>
      <c r="E240" s="2" t="s">
        <v>37</v>
      </c>
      <c r="F240" s="4">
        <v>3.0306981945709899E-2</v>
      </c>
      <c r="G240" s="2">
        <v>6</v>
      </c>
      <c r="H240" s="2">
        <f>L240+O240+G240*F240</f>
        <v>11520.181841891674</v>
      </c>
      <c r="I240" s="2">
        <v>18000</v>
      </c>
      <c r="J240" s="2">
        <v>0.128</v>
      </c>
      <c r="K240" s="2">
        <v>5</v>
      </c>
      <c r="L240" s="2">
        <f>I240*J240*K240</f>
        <v>11520</v>
      </c>
      <c r="M240" s="2">
        <v>0</v>
      </c>
      <c r="N240" s="2">
        <v>73.8</v>
      </c>
      <c r="O240" s="2">
        <f>M240*N240</f>
        <v>0</v>
      </c>
      <c r="P240" s="2">
        <f>H240/C240*100000</f>
        <v>19.396774616305905</v>
      </c>
      <c r="Q240" s="7">
        <f t="shared" si="15"/>
        <v>17.631552917524939</v>
      </c>
      <c r="R240" s="2" t="s">
        <v>124</v>
      </c>
      <c r="S240" s="2" t="s">
        <v>39</v>
      </c>
      <c r="T240" s="2" t="s">
        <v>29</v>
      </c>
    </row>
    <row r="241" spans="1:20" x14ac:dyDescent="0.3">
      <c r="A241" s="2" t="s">
        <v>119</v>
      </c>
      <c r="B241" s="2" t="s">
        <v>87</v>
      </c>
      <c r="C241" s="2">
        <v>59392255</v>
      </c>
      <c r="D241" s="2">
        <v>2021</v>
      </c>
      <c r="E241" s="2" t="s">
        <v>41</v>
      </c>
      <c r="F241" s="4">
        <v>5.7246521453007598E-5</v>
      </c>
      <c r="G241" s="2">
        <v>6</v>
      </c>
      <c r="H241" s="2">
        <f>L241+O241+G241*F241</f>
        <v>5329.920343479128</v>
      </c>
      <c r="I241" s="2">
        <v>34</v>
      </c>
      <c r="J241" s="2">
        <v>0.12</v>
      </c>
      <c r="K241" s="2">
        <v>4</v>
      </c>
      <c r="L241" s="2">
        <f>I241*J241*K241</f>
        <v>16.32</v>
      </c>
      <c r="M241" s="2">
        <v>72</v>
      </c>
      <c r="N241" s="2">
        <v>73.8</v>
      </c>
      <c r="O241" s="2">
        <f>M241*N241</f>
        <v>5313.5999999999995</v>
      </c>
      <c r="P241" s="2">
        <f>H241/C241*100000</f>
        <v>8.9740999789941096</v>
      </c>
      <c r="Q241" s="7">
        <f t="shared" si="15"/>
        <v>8.5832075703401891</v>
      </c>
      <c r="R241" s="2" t="s">
        <v>125</v>
      </c>
      <c r="S241" s="2" t="s">
        <v>40</v>
      </c>
      <c r="T241" s="2" t="s">
        <v>44</v>
      </c>
    </row>
    <row r="242" spans="1:20" x14ac:dyDescent="0.3">
      <c r="A242" s="2" t="s">
        <v>119</v>
      </c>
      <c r="B242" s="2" t="s">
        <v>87</v>
      </c>
      <c r="C242" s="2">
        <v>59893885</v>
      </c>
      <c r="D242" s="2">
        <v>2022</v>
      </c>
      <c r="E242" s="2" t="s">
        <v>22</v>
      </c>
      <c r="F242" s="4" t="s">
        <v>29</v>
      </c>
      <c r="G242" s="2">
        <v>9</v>
      </c>
      <c r="H242" s="2" t="s">
        <v>29</v>
      </c>
      <c r="I242" s="2" t="s">
        <v>29</v>
      </c>
      <c r="J242" s="2">
        <v>0.13300000000000001</v>
      </c>
      <c r="K242" s="2">
        <v>8</v>
      </c>
      <c r="L242" s="2" t="s">
        <v>29</v>
      </c>
      <c r="M242" s="2" t="s">
        <v>29</v>
      </c>
      <c r="N242" s="2">
        <v>73.8</v>
      </c>
      <c r="O242" s="2" t="s">
        <v>29</v>
      </c>
      <c r="P242" s="2" t="s">
        <v>29</v>
      </c>
      <c r="Q242" s="7" t="e">
        <f t="shared" si="15"/>
        <v>#VALUE!</v>
      </c>
      <c r="R242" s="2" t="s">
        <v>120</v>
      </c>
      <c r="S242" s="2" t="s">
        <v>28</v>
      </c>
      <c r="T242" s="2" t="s">
        <v>29</v>
      </c>
    </row>
    <row r="243" spans="1:20" x14ac:dyDescent="0.3">
      <c r="A243" s="2" t="s">
        <v>119</v>
      </c>
      <c r="B243" s="2" t="s">
        <v>87</v>
      </c>
      <c r="C243" s="2">
        <v>59893885</v>
      </c>
      <c r="D243" s="2">
        <v>2022</v>
      </c>
      <c r="E243" s="2" t="s">
        <v>26</v>
      </c>
      <c r="F243" s="4">
        <v>5.2092129271627703E-4</v>
      </c>
      <c r="G243" s="2">
        <v>7</v>
      </c>
      <c r="H243" s="2">
        <f>L243+O243+G243*F243</f>
        <v>839.37964644904901</v>
      </c>
      <c r="I243" s="2">
        <v>312</v>
      </c>
      <c r="J243" s="2">
        <v>0.13300000000000001</v>
      </c>
      <c r="K243" s="2">
        <v>6</v>
      </c>
      <c r="L243" s="2">
        <f>I243*J243*K243</f>
        <v>248.976</v>
      </c>
      <c r="M243" s="2">
        <v>8</v>
      </c>
      <c r="N243" s="2">
        <v>73.8</v>
      </c>
      <c r="O243" s="2">
        <f>M243*N243</f>
        <v>590.4</v>
      </c>
      <c r="P243" s="2">
        <f>H243/C243*100000</f>
        <v>1.4014446490640056</v>
      </c>
      <c r="Q243" s="7">
        <f t="shared" si="15"/>
        <v>1.391670128318212</v>
      </c>
      <c r="R243" s="2" t="s">
        <v>121</v>
      </c>
      <c r="S243" s="2" t="s">
        <v>28</v>
      </c>
      <c r="T243" s="2" t="s">
        <v>29</v>
      </c>
    </row>
    <row r="244" spans="1:20" x14ac:dyDescent="0.3">
      <c r="A244" s="2" t="s">
        <v>119</v>
      </c>
      <c r="B244" s="2" t="s">
        <v>87</v>
      </c>
      <c r="C244" s="2">
        <v>59893885</v>
      </c>
      <c r="D244" s="2">
        <v>2022</v>
      </c>
      <c r="E244" s="2" t="s">
        <v>30</v>
      </c>
      <c r="F244" s="4">
        <v>7.0290982126138598E-3</v>
      </c>
      <c r="G244" s="2">
        <v>7</v>
      </c>
      <c r="H244" s="2">
        <f>L244+O244+G244*F244</f>
        <v>661655.62920368742</v>
      </c>
      <c r="I244" s="2">
        <v>4210</v>
      </c>
      <c r="J244" s="2">
        <v>0.13300000000000001</v>
      </c>
      <c r="K244" s="2">
        <v>6</v>
      </c>
      <c r="L244" s="2">
        <f>I244*J244*K244</f>
        <v>3359.5800000000004</v>
      </c>
      <c r="M244" s="2">
        <v>8920</v>
      </c>
      <c r="N244" s="2">
        <v>73.8</v>
      </c>
      <c r="O244" s="2">
        <f>M244*N244</f>
        <v>658296</v>
      </c>
      <c r="P244" s="2">
        <f>H244/C244*100000</f>
        <v>1104.7131592877761</v>
      </c>
      <c r="Q244" s="7">
        <f t="shared" si="15"/>
        <v>99.998406721453676</v>
      </c>
      <c r="R244" s="2" t="s">
        <v>122</v>
      </c>
      <c r="S244" s="2" t="s">
        <v>28</v>
      </c>
      <c r="T244" s="2" t="s">
        <v>32</v>
      </c>
    </row>
    <row r="245" spans="1:20" x14ac:dyDescent="0.3">
      <c r="A245" s="2" t="s">
        <v>119</v>
      </c>
      <c r="B245" s="2" t="s">
        <v>87</v>
      </c>
      <c r="C245" s="2">
        <v>59893885</v>
      </c>
      <c r="D245" s="2">
        <v>2022</v>
      </c>
      <c r="E245" s="2" t="s">
        <v>33</v>
      </c>
      <c r="F245" s="4">
        <v>2.0035434335241401E-5</v>
      </c>
      <c r="G245" s="2">
        <v>8</v>
      </c>
      <c r="H245" s="2">
        <f>L245+O245+G245*F245</f>
        <v>306.37216028347467</v>
      </c>
      <c r="I245" s="2">
        <v>12</v>
      </c>
      <c r="J245" s="2">
        <v>0.13300000000000001</v>
      </c>
      <c r="K245" s="2">
        <v>7</v>
      </c>
      <c r="L245" s="2">
        <f>I245*J245*K245</f>
        <v>11.172000000000001</v>
      </c>
      <c r="M245" s="2">
        <v>4</v>
      </c>
      <c r="N245" s="2">
        <v>73.8</v>
      </c>
      <c r="O245" s="2">
        <f>M245*N245</f>
        <v>295.2</v>
      </c>
      <c r="P245" s="2">
        <f>H245/C245*100000</f>
        <v>0.51152494162546758</v>
      </c>
      <c r="Q245" s="7">
        <f t="shared" si="15"/>
        <v>0.5102188806873853</v>
      </c>
      <c r="R245" s="2" t="s">
        <v>123</v>
      </c>
      <c r="S245" s="2" t="s">
        <v>35</v>
      </c>
      <c r="T245" s="2" t="s">
        <v>36</v>
      </c>
    </row>
    <row r="246" spans="1:20" x14ac:dyDescent="0.3">
      <c r="A246" s="2" t="s">
        <v>119</v>
      </c>
      <c r="B246" s="2" t="s">
        <v>87</v>
      </c>
      <c r="C246" s="2">
        <v>59893885</v>
      </c>
      <c r="D246" s="2">
        <v>2022</v>
      </c>
      <c r="E246" s="2" t="s">
        <v>37</v>
      </c>
      <c r="F246" s="4">
        <v>3.0053151502862099E-2</v>
      </c>
      <c r="G246" s="2">
        <v>6</v>
      </c>
      <c r="H246" s="2">
        <f>L246+O246+G246*F246</f>
        <v>11520.180318909017</v>
      </c>
      <c r="I246" s="2">
        <v>18000</v>
      </c>
      <c r="J246" s="2">
        <v>0.128</v>
      </c>
      <c r="K246" s="2">
        <v>5</v>
      </c>
      <c r="L246" s="2">
        <f>I246*J246*K246</f>
        <v>11520</v>
      </c>
      <c r="M246" s="2">
        <v>0</v>
      </c>
      <c r="N246" s="2">
        <v>73.8</v>
      </c>
      <c r="O246" s="2">
        <f>M246*N246</f>
        <v>0</v>
      </c>
      <c r="P246" s="2">
        <f>H246/C246*100000</f>
        <v>19.234318025803496</v>
      </c>
      <c r="Q246" s="7">
        <f t="shared" si="15"/>
        <v>17.497631193865882</v>
      </c>
      <c r="R246" s="2" t="s">
        <v>124</v>
      </c>
      <c r="S246" s="2" t="s">
        <v>39</v>
      </c>
      <c r="T246" s="2" t="s">
        <v>29</v>
      </c>
    </row>
    <row r="247" spans="1:20" x14ac:dyDescent="0.3">
      <c r="A247" s="2" t="s">
        <v>119</v>
      </c>
      <c r="B247" s="2" t="s">
        <v>87</v>
      </c>
      <c r="C247" s="2">
        <v>59893885</v>
      </c>
      <c r="D247" s="2">
        <v>2022</v>
      </c>
      <c r="E247" s="2" t="s">
        <v>41</v>
      </c>
      <c r="F247" s="4">
        <v>1.13534127899701E-4</v>
      </c>
      <c r="G247" s="2">
        <v>6</v>
      </c>
      <c r="H247" s="2">
        <f>L247+O247+G247*F247</f>
        <v>33095.040681204766</v>
      </c>
      <c r="I247" s="2">
        <v>68</v>
      </c>
      <c r="J247" s="2">
        <v>0.12</v>
      </c>
      <c r="K247" s="2">
        <v>4</v>
      </c>
      <c r="L247" s="2">
        <f>I247*J247*K247</f>
        <v>32.64</v>
      </c>
      <c r="M247" s="2">
        <v>448</v>
      </c>
      <c r="N247" s="2">
        <v>73.8</v>
      </c>
      <c r="O247" s="2">
        <f>M247*N247</f>
        <v>33062.400000000001</v>
      </c>
      <c r="P247" s="2">
        <f>H247/C247*100000</f>
        <v>55.256126199201752</v>
      </c>
      <c r="Q247" s="7">
        <f t="shared" si="15"/>
        <v>42.45260184412146</v>
      </c>
      <c r="R247" s="2" t="s">
        <v>127</v>
      </c>
      <c r="S247" s="2" t="s">
        <v>40</v>
      </c>
      <c r="T247" s="2" t="s">
        <v>44</v>
      </c>
    </row>
    <row r="248" spans="1:20" x14ac:dyDescent="0.3">
      <c r="A248" s="2" t="s">
        <v>119</v>
      </c>
      <c r="B248" s="2" t="s">
        <v>87</v>
      </c>
      <c r="C248" s="2">
        <v>60414495</v>
      </c>
      <c r="D248" s="2">
        <v>2023</v>
      </c>
      <c r="E248" s="2" t="s">
        <v>22</v>
      </c>
      <c r="F248" s="4" t="s">
        <v>29</v>
      </c>
      <c r="G248" s="2">
        <v>9</v>
      </c>
      <c r="H248" s="2" t="s">
        <v>29</v>
      </c>
      <c r="I248" s="2" t="s">
        <v>29</v>
      </c>
      <c r="J248" s="2">
        <v>0.13300000000000001</v>
      </c>
      <c r="K248" s="2">
        <v>8</v>
      </c>
      <c r="L248" s="2" t="s">
        <v>29</v>
      </c>
      <c r="M248" s="2" t="s">
        <v>29</v>
      </c>
      <c r="N248" s="2">
        <v>73.8</v>
      </c>
      <c r="O248" s="2" t="s">
        <v>29</v>
      </c>
      <c r="P248" s="2" t="s">
        <v>29</v>
      </c>
      <c r="Q248" s="7" t="e">
        <f t="shared" si="15"/>
        <v>#VALUE!</v>
      </c>
      <c r="R248" s="2" t="s">
        <v>120</v>
      </c>
      <c r="S248" s="2" t="s">
        <v>28</v>
      </c>
      <c r="T248" s="2" t="s">
        <v>29</v>
      </c>
    </row>
    <row r="249" spans="1:20" x14ac:dyDescent="0.3">
      <c r="A249" s="2" t="s">
        <v>119</v>
      </c>
      <c r="B249" s="2" t="s">
        <v>87</v>
      </c>
      <c r="C249" s="2">
        <v>60414495</v>
      </c>
      <c r="D249" s="2">
        <v>2023</v>
      </c>
      <c r="E249" s="2" t="s">
        <v>26</v>
      </c>
      <c r="F249" s="4">
        <v>5.1643235617545105E-4</v>
      </c>
      <c r="G249" s="2">
        <v>7</v>
      </c>
      <c r="H249" s="2">
        <f>L249+O249+G249*F249</f>
        <v>839.37961502649318</v>
      </c>
      <c r="I249" s="2">
        <v>312</v>
      </c>
      <c r="J249" s="2">
        <v>0.13300000000000001</v>
      </c>
      <c r="K249" s="2">
        <v>6</v>
      </c>
      <c r="L249" s="2">
        <f>I249*J249*K249</f>
        <v>248.976</v>
      </c>
      <c r="M249" s="2">
        <v>8</v>
      </c>
      <c r="N249" s="2">
        <v>73.8</v>
      </c>
      <c r="O249" s="2">
        <f>M249*N249</f>
        <v>590.4</v>
      </c>
      <c r="P249" s="2">
        <f>H249/C249*100000</f>
        <v>1.3893679240826118</v>
      </c>
      <c r="Q249" s="7">
        <f t="shared" si="15"/>
        <v>1.3797607523940547</v>
      </c>
      <c r="R249" s="2" t="s">
        <v>121</v>
      </c>
      <c r="S249" s="2" t="s">
        <v>28</v>
      </c>
      <c r="T249" s="2" t="s">
        <v>29</v>
      </c>
    </row>
    <row r="250" spans="1:20" x14ac:dyDescent="0.3">
      <c r="A250" s="2" t="s">
        <v>119</v>
      </c>
      <c r="B250" s="2" t="s">
        <v>87</v>
      </c>
      <c r="C250" s="2">
        <v>60414495</v>
      </c>
      <c r="D250" s="2">
        <v>2023</v>
      </c>
      <c r="E250" s="2" t="s">
        <v>30</v>
      </c>
      <c r="F250" s="4">
        <v>6.9685263445469501E-3</v>
      </c>
      <c r="G250" s="2">
        <v>7</v>
      </c>
      <c r="H250" s="2">
        <f>L250+O250+G250*F250</f>
        <v>661655.62877968443</v>
      </c>
      <c r="I250" s="2">
        <v>4210</v>
      </c>
      <c r="J250" s="2">
        <v>0.13300000000000001</v>
      </c>
      <c r="K250" s="2">
        <v>6</v>
      </c>
      <c r="L250" s="2">
        <f>I250*J250*K250</f>
        <v>3359.5800000000004</v>
      </c>
      <c r="M250" s="2">
        <v>8920</v>
      </c>
      <c r="N250" s="2">
        <v>73.8</v>
      </c>
      <c r="O250" s="2">
        <f>M250*N250</f>
        <v>658296</v>
      </c>
      <c r="P250" s="2">
        <f>H250/C250*100000</f>
        <v>1095.1935107289805</v>
      </c>
      <c r="Q250" s="7">
        <f t="shared" si="15"/>
        <v>99.998247592848927</v>
      </c>
      <c r="R250" s="2" t="s">
        <v>122</v>
      </c>
      <c r="S250" s="2" t="s">
        <v>28</v>
      </c>
      <c r="T250" s="2" t="s">
        <v>32</v>
      </c>
    </row>
    <row r="251" spans="1:20" x14ac:dyDescent="0.3">
      <c r="A251" s="2" t="s">
        <v>119</v>
      </c>
      <c r="B251" s="2" t="s">
        <v>87</v>
      </c>
      <c r="C251" s="2">
        <v>60414495</v>
      </c>
      <c r="D251" s="2">
        <v>2023</v>
      </c>
      <c r="E251" s="2" t="s">
        <v>33</v>
      </c>
      <c r="F251" s="4">
        <v>1.9862782929825E-5</v>
      </c>
      <c r="G251" s="2">
        <v>8</v>
      </c>
      <c r="H251" s="2">
        <f>L251+O251+G251*F251</f>
        <v>306.37215890226344</v>
      </c>
      <c r="I251" s="2">
        <v>12</v>
      </c>
      <c r="J251" s="2">
        <v>0.13300000000000001</v>
      </c>
      <c r="K251" s="2">
        <v>7</v>
      </c>
      <c r="L251" s="2">
        <f>I251*J251*K251</f>
        <v>11.172000000000001</v>
      </c>
      <c r="M251" s="2">
        <v>4</v>
      </c>
      <c r="N251" s="2">
        <v>73.8</v>
      </c>
      <c r="O251" s="2">
        <f>M251*N251</f>
        <v>295.2</v>
      </c>
      <c r="P251" s="2">
        <f>H251/C251*100000</f>
        <v>0.50711697400146016</v>
      </c>
      <c r="Q251" s="7">
        <f t="shared" si="15"/>
        <v>0.50583330668981796</v>
      </c>
      <c r="R251" s="2" t="s">
        <v>123</v>
      </c>
      <c r="S251" s="2" t="s">
        <v>35</v>
      </c>
      <c r="T251" s="2" t="s">
        <v>36</v>
      </c>
    </row>
    <row r="252" spans="1:20" x14ac:dyDescent="0.3">
      <c r="A252" s="2" t="s">
        <v>119</v>
      </c>
      <c r="B252" s="2" t="s">
        <v>87</v>
      </c>
      <c r="C252" s="2">
        <v>60414495</v>
      </c>
      <c r="D252" s="2">
        <v>2023</v>
      </c>
      <c r="E252" s="2" t="s">
        <v>37</v>
      </c>
      <c r="F252" s="4">
        <v>2.97941743947376E-2</v>
      </c>
      <c r="G252" s="2">
        <v>6</v>
      </c>
      <c r="H252" s="2">
        <f>L252+O252+G252*F252</f>
        <v>11520.178765046368</v>
      </c>
      <c r="I252" s="2">
        <v>18000</v>
      </c>
      <c r="J252" s="2">
        <v>0.128</v>
      </c>
      <c r="K252" s="2">
        <v>5</v>
      </c>
      <c r="L252" s="2">
        <f>I252*J252*K252</f>
        <v>11520</v>
      </c>
      <c r="M252" s="2">
        <v>0</v>
      </c>
      <c r="N252" s="2">
        <v>73.8</v>
      </c>
      <c r="O252" s="2">
        <f>M252*N252</f>
        <v>0</v>
      </c>
      <c r="P252" s="2">
        <f>H252/C252*100000</f>
        <v>19.068567510241323</v>
      </c>
      <c r="Q252" s="7">
        <f t="shared" si="15"/>
        <v>17.360769699235789</v>
      </c>
      <c r="R252" s="2" t="s">
        <v>124</v>
      </c>
      <c r="S252" s="2" t="s">
        <v>39</v>
      </c>
      <c r="T252" s="2" t="s">
        <v>29</v>
      </c>
    </row>
    <row r="253" spans="1:20" x14ac:dyDescent="0.3">
      <c r="A253" s="2" t="s">
        <v>119</v>
      </c>
      <c r="B253" s="2" t="s">
        <v>87</v>
      </c>
      <c r="C253" s="2">
        <v>60414495</v>
      </c>
      <c r="D253" s="2">
        <v>2023</v>
      </c>
      <c r="E253" s="2" t="s">
        <v>41</v>
      </c>
      <c r="F253" s="4">
        <v>5.6277884967837601E-5</v>
      </c>
      <c r="G253" s="2">
        <v>6</v>
      </c>
      <c r="H253" s="2">
        <f>L253+O253+G253*F253</f>
        <v>5329.9203376673086</v>
      </c>
      <c r="I253" s="2">
        <v>34</v>
      </c>
      <c r="J253" s="2">
        <v>0.12</v>
      </c>
      <c r="K253" s="2">
        <v>4</v>
      </c>
      <c r="L253" s="2">
        <f>I253*J253*K253</f>
        <v>16.32</v>
      </c>
      <c r="M253" s="2">
        <v>72</v>
      </c>
      <c r="N253" s="2">
        <v>73.8</v>
      </c>
      <c r="O253" s="2">
        <f>M253*N253</f>
        <v>5313.5999999999995</v>
      </c>
      <c r="P253" s="2">
        <f>H253/C253*100000</f>
        <v>8.822254225028793</v>
      </c>
      <c r="Q253" s="7">
        <f t="shared" si="15"/>
        <v>8.4442896088035013</v>
      </c>
      <c r="R253" s="2" t="s">
        <v>125</v>
      </c>
      <c r="S253" s="2" t="s">
        <v>40</v>
      </c>
      <c r="T253" s="2" t="s">
        <v>44</v>
      </c>
    </row>
    <row r="254" spans="1:20" x14ac:dyDescent="0.3">
      <c r="A254" s="2" t="s">
        <v>119</v>
      </c>
      <c r="B254" s="2" t="s">
        <v>87</v>
      </c>
      <c r="C254" s="2">
        <v>60954910</v>
      </c>
      <c r="D254" s="2">
        <v>2024</v>
      </c>
      <c r="E254" s="2" t="s">
        <v>22</v>
      </c>
      <c r="F254" s="4" t="s">
        <v>29</v>
      </c>
      <c r="G254" s="2">
        <v>9</v>
      </c>
      <c r="H254" s="2" t="s">
        <v>29</v>
      </c>
      <c r="I254" s="2" t="s">
        <v>29</v>
      </c>
      <c r="J254" s="2">
        <v>0.13300000000000001</v>
      </c>
      <c r="K254" s="2">
        <v>8</v>
      </c>
      <c r="L254" s="2" t="s">
        <v>29</v>
      </c>
      <c r="M254" s="2" t="s">
        <v>29</v>
      </c>
      <c r="N254" s="2">
        <v>73.8</v>
      </c>
      <c r="O254" s="2" t="s">
        <v>29</v>
      </c>
      <c r="P254" s="2" t="s">
        <v>29</v>
      </c>
      <c r="Q254" s="7" t="e">
        <f t="shared" si="15"/>
        <v>#VALUE!</v>
      </c>
      <c r="R254" s="2" t="s">
        <v>120</v>
      </c>
      <c r="S254" s="2" t="s">
        <v>28</v>
      </c>
      <c r="T254" s="2" t="s">
        <v>29</v>
      </c>
    </row>
    <row r="255" spans="1:20" x14ac:dyDescent="0.3">
      <c r="A255" s="2" t="s">
        <v>119</v>
      </c>
      <c r="B255" s="2" t="s">
        <v>87</v>
      </c>
      <c r="C255" s="2">
        <v>60954910</v>
      </c>
      <c r="D255" s="2">
        <v>2024</v>
      </c>
      <c r="E255" s="2" t="s">
        <v>26</v>
      </c>
      <c r="F255" s="4">
        <v>5.1185376206773199E-4</v>
      </c>
      <c r="G255" s="2">
        <v>7</v>
      </c>
      <c r="H255" s="2">
        <f>L255+O255+G255*F255</f>
        <v>839.3795829763344</v>
      </c>
      <c r="I255" s="2">
        <v>312</v>
      </c>
      <c r="J255" s="2">
        <v>0.13300000000000001</v>
      </c>
      <c r="K255" s="2">
        <v>6</v>
      </c>
      <c r="L255" s="2">
        <f>I255*J255*K255</f>
        <v>248.976</v>
      </c>
      <c r="M255" s="2">
        <v>8</v>
      </c>
      <c r="N255" s="2">
        <v>73.8</v>
      </c>
      <c r="O255" s="2">
        <f>M255*N255</f>
        <v>590.4</v>
      </c>
      <c r="P255" s="2">
        <f>H255/C255*100000</f>
        <v>1.3770499915041043</v>
      </c>
      <c r="Q255" s="7">
        <f t="shared" si="15"/>
        <v>1.3676120295943894</v>
      </c>
      <c r="R255" s="2" t="s">
        <v>121</v>
      </c>
      <c r="S255" s="2" t="s">
        <v>28</v>
      </c>
      <c r="T255" s="2" t="s">
        <v>29</v>
      </c>
    </row>
    <row r="256" spans="1:20" x14ac:dyDescent="0.3">
      <c r="A256" s="2" t="s">
        <v>119</v>
      </c>
      <c r="B256" s="2" t="s">
        <v>87</v>
      </c>
      <c r="C256" s="2">
        <v>60954910</v>
      </c>
      <c r="D256" s="2">
        <v>2024</v>
      </c>
      <c r="E256" s="2" t="s">
        <v>30</v>
      </c>
      <c r="F256" s="4">
        <v>6.9067446740549701E-3</v>
      </c>
      <c r="G256" s="2">
        <v>7</v>
      </c>
      <c r="H256" s="2">
        <f>L256+O256+G256*F256</f>
        <v>661655.62834721268</v>
      </c>
      <c r="I256" s="2">
        <v>4210</v>
      </c>
      <c r="J256" s="2">
        <v>0.13300000000000001</v>
      </c>
      <c r="K256" s="2">
        <v>6</v>
      </c>
      <c r="L256" s="2">
        <f>I256*J256*K256</f>
        <v>3359.5800000000004</v>
      </c>
      <c r="M256" s="2">
        <v>8920</v>
      </c>
      <c r="N256" s="2">
        <v>73.8</v>
      </c>
      <c r="O256" s="2">
        <f>M256*N256</f>
        <v>658296</v>
      </c>
      <c r="P256" s="2">
        <f>H256/C256*100000</f>
        <v>1085.4837261628516</v>
      </c>
      <c r="Q256" s="7">
        <f t="shared" si="15"/>
        <v>99.998068903061565</v>
      </c>
      <c r="R256" s="2" t="s">
        <v>122</v>
      </c>
      <c r="S256" s="2" t="s">
        <v>28</v>
      </c>
      <c r="T256" s="2" t="s">
        <v>32</v>
      </c>
    </row>
    <row r="257" spans="1:20" x14ac:dyDescent="0.3">
      <c r="A257" s="2" t="s">
        <v>119</v>
      </c>
      <c r="B257" s="2" t="s">
        <v>87</v>
      </c>
      <c r="C257" s="2">
        <v>60954910</v>
      </c>
      <c r="D257" s="2">
        <v>2024</v>
      </c>
      <c r="E257" s="2" t="s">
        <v>33</v>
      </c>
      <c r="F257" s="4">
        <v>1.9686683156451199E-5</v>
      </c>
      <c r="G257" s="2">
        <v>8</v>
      </c>
      <c r="H257" s="2">
        <f>L257+O257+G257*F257</f>
        <v>306.37215749346524</v>
      </c>
      <c r="I257" s="2">
        <v>12</v>
      </c>
      <c r="J257" s="2">
        <v>0.13300000000000001</v>
      </c>
      <c r="K257" s="2">
        <v>7</v>
      </c>
      <c r="L257" s="2">
        <f>I257*J257*K257</f>
        <v>11.172000000000001</v>
      </c>
      <c r="M257" s="2">
        <v>4</v>
      </c>
      <c r="N257" s="2">
        <v>73.8</v>
      </c>
      <c r="O257" s="2">
        <f>M257*N257</f>
        <v>295.2</v>
      </c>
      <c r="P257" s="2">
        <f>H257/C257*100000</f>
        <v>0.5026209660443518</v>
      </c>
      <c r="Q257" s="7">
        <f t="shared" si="15"/>
        <v>0.50135994047773025</v>
      </c>
      <c r="R257" s="2" t="s">
        <v>123</v>
      </c>
      <c r="S257" s="2" t="s">
        <v>35</v>
      </c>
      <c r="T257" s="2" t="s">
        <v>36</v>
      </c>
    </row>
    <row r="258" spans="1:20" x14ac:dyDescent="0.3">
      <c r="A258" s="2" t="s">
        <v>119</v>
      </c>
      <c r="B258" s="2" t="s">
        <v>87</v>
      </c>
      <c r="C258" s="2">
        <v>60954910</v>
      </c>
      <c r="D258" s="2">
        <v>2024</v>
      </c>
      <c r="E258" s="2" t="s">
        <v>37</v>
      </c>
      <c r="F258" s="4">
        <v>2.9530024734676801E-2</v>
      </c>
      <c r="G258" s="2">
        <v>6</v>
      </c>
      <c r="H258" s="2">
        <f>L258+O258+G258*F258</f>
        <v>11520.177180148408</v>
      </c>
      <c r="I258" s="2">
        <v>18000</v>
      </c>
      <c r="J258" s="2">
        <v>0.128</v>
      </c>
      <c r="K258" s="2">
        <v>5</v>
      </c>
      <c r="L258" s="2">
        <f>I258*J258*K258</f>
        <v>11520</v>
      </c>
      <c r="M258" s="2">
        <v>0</v>
      </c>
      <c r="N258" s="2">
        <v>73.8</v>
      </c>
      <c r="O258" s="2">
        <f>M258*N258</f>
        <v>0</v>
      </c>
      <c r="P258" s="2">
        <f>H258/C258*100000</f>
        <v>18.899506504313447</v>
      </c>
      <c r="Q258" s="7">
        <f t="shared" ref="Q258:Q321" si="19">100*(1-EXP(-P258/100))</f>
        <v>17.220940820448206</v>
      </c>
      <c r="R258" s="2" t="s">
        <v>124</v>
      </c>
      <c r="S258" s="2" t="s">
        <v>39</v>
      </c>
      <c r="T258" s="2" t="s">
        <v>29</v>
      </c>
    </row>
    <row r="259" spans="1:20" x14ac:dyDescent="0.3">
      <c r="A259" s="2" t="s">
        <v>119</v>
      </c>
      <c r="B259" s="2" t="s">
        <v>87</v>
      </c>
      <c r="C259" s="2">
        <v>60954910</v>
      </c>
      <c r="D259" s="2">
        <v>2024</v>
      </c>
      <c r="E259" s="2" t="s">
        <v>41</v>
      </c>
      <c r="F259" s="4">
        <v>5.5778935609945103E-5</v>
      </c>
      <c r="G259" s="2">
        <v>6</v>
      </c>
      <c r="H259" s="2">
        <f>L259+O259+G259*F259</f>
        <v>5329.9203346736131</v>
      </c>
      <c r="I259" s="2">
        <v>34</v>
      </c>
      <c r="J259" s="2">
        <v>0.12</v>
      </c>
      <c r="K259" s="2">
        <v>4</v>
      </c>
      <c r="L259" s="2">
        <f>I259*J259*K259</f>
        <v>16.32</v>
      </c>
      <c r="M259" s="2">
        <v>72</v>
      </c>
      <c r="N259" s="2">
        <v>73.8</v>
      </c>
      <c r="O259" s="2">
        <f>M259*N259</f>
        <v>5313.5999999999995</v>
      </c>
      <c r="P259" s="2">
        <f>H259/C259*100000</f>
        <v>8.7440377398204898</v>
      </c>
      <c r="Q259" s="7">
        <f t="shared" si="19"/>
        <v>8.3726499367635991</v>
      </c>
      <c r="R259" s="2" t="s">
        <v>125</v>
      </c>
      <c r="S259" s="2" t="s">
        <v>40</v>
      </c>
      <c r="T259" s="2" t="s">
        <v>44</v>
      </c>
    </row>
    <row r="260" spans="1:20" x14ac:dyDescent="0.3">
      <c r="A260" s="2" t="s">
        <v>119</v>
      </c>
      <c r="B260" s="2" t="s">
        <v>87</v>
      </c>
      <c r="C260" s="2">
        <v>61511064</v>
      </c>
      <c r="D260" s="2">
        <v>2025</v>
      </c>
      <c r="E260" s="2" t="s">
        <v>22</v>
      </c>
      <c r="F260" s="4" t="s">
        <v>29</v>
      </c>
      <c r="G260" s="2">
        <v>9</v>
      </c>
      <c r="H260" s="2" t="s">
        <v>29</v>
      </c>
      <c r="I260" s="2" t="s">
        <v>29</v>
      </c>
      <c r="J260" s="2">
        <v>0.13300000000000001</v>
      </c>
      <c r="K260" s="2">
        <v>8</v>
      </c>
      <c r="L260" s="2" t="s">
        <v>29</v>
      </c>
      <c r="M260" s="2" t="s">
        <v>29</v>
      </c>
      <c r="N260" s="2">
        <v>73.8</v>
      </c>
      <c r="O260" s="2" t="s">
        <v>29</v>
      </c>
      <c r="P260" s="2" t="s">
        <v>29</v>
      </c>
      <c r="Q260" s="7" t="e">
        <f t="shared" si="19"/>
        <v>#VALUE!</v>
      </c>
      <c r="R260" s="2" t="s">
        <v>120</v>
      </c>
      <c r="S260" s="2" t="s">
        <v>28</v>
      </c>
      <c r="T260" s="2" t="s">
        <v>29</v>
      </c>
    </row>
    <row r="261" spans="1:20" x14ac:dyDescent="0.3">
      <c r="A261" s="2" t="s">
        <v>119</v>
      </c>
      <c r="B261" s="2" t="s">
        <v>87</v>
      </c>
      <c r="C261" s="2">
        <v>61511064</v>
      </c>
      <c r="D261" s="2">
        <v>2025</v>
      </c>
      <c r="E261" s="2" t="s">
        <v>26</v>
      </c>
      <c r="F261" s="4">
        <v>5.0722582200821598E-4</v>
      </c>
      <c r="G261" s="2">
        <v>7</v>
      </c>
      <c r="H261" s="2">
        <f t="shared" ref="H261:H292" si="20">L261+O261+G261*F261</f>
        <v>839.37955058075408</v>
      </c>
      <c r="I261" s="2">
        <v>312</v>
      </c>
      <c r="J261" s="2">
        <v>0.13300000000000001</v>
      </c>
      <c r="K261" s="2">
        <v>6</v>
      </c>
      <c r="L261" s="2">
        <f t="shared" ref="L261:L292" si="21">I261*J261*K261</f>
        <v>248.976</v>
      </c>
      <c r="M261" s="2">
        <v>8</v>
      </c>
      <c r="N261" s="2">
        <v>73.8</v>
      </c>
      <c r="O261" s="2">
        <f t="shared" ref="O261:O292" si="22">M261*N261</f>
        <v>590.4</v>
      </c>
      <c r="P261" s="2">
        <f t="shared" ref="P261:P292" si="23">H261/C261*100000</f>
        <v>1.3645993029493915</v>
      </c>
      <c r="Q261" s="7">
        <f t="shared" si="19"/>
        <v>1.3553308536244923</v>
      </c>
      <c r="R261" s="2" t="s">
        <v>121</v>
      </c>
      <c r="S261" s="2" t="s">
        <v>28</v>
      </c>
      <c r="T261" s="2" t="s">
        <v>29</v>
      </c>
    </row>
    <row r="262" spans="1:20" x14ac:dyDescent="0.3">
      <c r="A262" s="2" t="s">
        <v>119</v>
      </c>
      <c r="B262" s="2" t="s">
        <v>87</v>
      </c>
      <c r="C262" s="2">
        <v>61511064</v>
      </c>
      <c r="D262" s="2">
        <v>2025</v>
      </c>
      <c r="E262" s="2" t="s">
        <v>30</v>
      </c>
      <c r="F262" s="4">
        <v>6.84429714953394E-3</v>
      </c>
      <c r="G262" s="2">
        <v>7</v>
      </c>
      <c r="H262" s="2">
        <f t="shared" si="20"/>
        <v>661655.62791008002</v>
      </c>
      <c r="I262" s="2">
        <v>4210</v>
      </c>
      <c r="J262" s="2">
        <v>0.13300000000000001</v>
      </c>
      <c r="K262" s="2">
        <v>6</v>
      </c>
      <c r="L262" s="2">
        <f t="shared" si="21"/>
        <v>3359.5800000000004</v>
      </c>
      <c r="M262" s="2">
        <v>8920</v>
      </c>
      <c r="N262" s="2">
        <v>73.8</v>
      </c>
      <c r="O262" s="2">
        <f t="shared" si="22"/>
        <v>658296</v>
      </c>
      <c r="P262" s="2">
        <f t="shared" si="23"/>
        <v>1075.6692940802975</v>
      </c>
      <c r="Q262" s="7">
        <f t="shared" si="19"/>
        <v>99.997869764527309</v>
      </c>
      <c r="R262" s="2" t="s">
        <v>122</v>
      </c>
      <c r="S262" s="2" t="s">
        <v>28</v>
      </c>
      <c r="T262" s="2" t="s">
        <v>32</v>
      </c>
    </row>
    <row r="263" spans="1:20" x14ac:dyDescent="0.3">
      <c r="A263" s="2" t="s">
        <v>119</v>
      </c>
      <c r="B263" s="2" t="s">
        <v>87</v>
      </c>
      <c r="C263" s="2">
        <v>61511064</v>
      </c>
      <c r="D263" s="2">
        <v>2025</v>
      </c>
      <c r="E263" s="2" t="s">
        <v>33</v>
      </c>
      <c r="F263" s="4">
        <v>1.95086854618545E-5</v>
      </c>
      <c r="G263" s="2">
        <v>8</v>
      </c>
      <c r="H263" s="2">
        <f t="shared" si="20"/>
        <v>306.37215606948371</v>
      </c>
      <c r="I263" s="2">
        <v>12</v>
      </c>
      <c r="J263" s="2">
        <v>0.13300000000000001</v>
      </c>
      <c r="K263" s="2">
        <v>7</v>
      </c>
      <c r="L263" s="2">
        <f t="shared" si="21"/>
        <v>11.172000000000001</v>
      </c>
      <c r="M263" s="2">
        <v>4</v>
      </c>
      <c r="N263" s="2">
        <v>73.8</v>
      </c>
      <c r="O263" s="2">
        <f t="shared" si="22"/>
        <v>295.2</v>
      </c>
      <c r="P263" s="2">
        <f t="shared" si="23"/>
        <v>0.4980765022524789</v>
      </c>
      <c r="Q263" s="7">
        <f t="shared" si="19"/>
        <v>0.49683815806221832</v>
      </c>
      <c r="R263" s="2" t="s">
        <v>123</v>
      </c>
      <c r="S263" s="2" t="s">
        <v>35</v>
      </c>
      <c r="T263" s="2" t="s">
        <v>36</v>
      </c>
    </row>
    <row r="264" spans="1:20" x14ac:dyDescent="0.3">
      <c r="A264" s="2" t="s">
        <v>119</v>
      </c>
      <c r="B264" s="2" t="s">
        <v>87</v>
      </c>
      <c r="C264" s="2">
        <v>61511064</v>
      </c>
      <c r="D264" s="2">
        <v>2025</v>
      </c>
      <c r="E264" s="2" t="s">
        <v>37</v>
      </c>
      <c r="F264" s="4">
        <v>2.92630281927817E-2</v>
      </c>
      <c r="G264" s="2">
        <v>6</v>
      </c>
      <c r="H264" s="2">
        <f t="shared" si="20"/>
        <v>11520.175578169157</v>
      </c>
      <c r="I264" s="2">
        <v>18000</v>
      </c>
      <c r="J264" s="2">
        <v>0.128</v>
      </c>
      <c r="K264" s="2">
        <v>5</v>
      </c>
      <c r="L264" s="2">
        <f t="shared" si="21"/>
        <v>11520</v>
      </c>
      <c r="M264" s="2">
        <v>0</v>
      </c>
      <c r="N264" s="2">
        <v>73.8</v>
      </c>
      <c r="O264" s="2">
        <f t="shared" si="22"/>
        <v>0</v>
      </c>
      <c r="P264" s="2">
        <f t="shared" si="23"/>
        <v>18.728623484986631</v>
      </c>
      <c r="Q264" s="7">
        <f t="shared" si="19"/>
        <v>17.079364534287055</v>
      </c>
      <c r="R264" s="2" t="s">
        <v>124</v>
      </c>
      <c r="S264" s="2" t="s">
        <v>39</v>
      </c>
      <c r="T264" s="2" t="s">
        <v>29</v>
      </c>
    </row>
    <row r="265" spans="1:20" x14ac:dyDescent="0.3">
      <c r="A265" s="2" t="s">
        <v>119</v>
      </c>
      <c r="B265" s="2" t="s">
        <v>87</v>
      </c>
      <c r="C265" s="2">
        <v>61511064</v>
      </c>
      <c r="D265" s="2">
        <v>2025</v>
      </c>
      <c r="E265" s="2" t="s">
        <v>41</v>
      </c>
      <c r="F265" s="4">
        <v>5.5274608808587697E-5</v>
      </c>
      <c r="G265" s="2">
        <v>6</v>
      </c>
      <c r="H265" s="2">
        <f t="shared" si="20"/>
        <v>5329.9203316476523</v>
      </c>
      <c r="I265" s="2">
        <v>34</v>
      </c>
      <c r="J265" s="2">
        <v>0.12</v>
      </c>
      <c r="K265" s="2">
        <v>4</v>
      </c>
      <c r="L265" s="2">
        <f t="shared" si="21"/>
        <v>16.32</v>
      </c>
      <c r="M265" s="2">
        <v>72</v>
      </c>
      <c r="N265" s="2">
        <v>73.8</v>
      </c>
      <c r="O265" s="2">
        <f t="shared" si="22"/>
        <v>5313.5999999999995</v>
      </c>
      <c r="P265" s="2">
        <f t="shared" si="23"/>
        <v>8.6649782739047598</v>
      </c>
      <c r="Q265" s="7">
        <f t="shared" si="19"/>
        <v>8.3001812002474917</v>
      </c>
      <c r="R265" s="2" t="s">
        <v>125</v>
      </c>
      <c r="S265" s="2" t="s">
        <v>40</v>
      </c>
      <c r="T265" s="2" t="s">
        <v>44</v>
      </c>
    </row>
    <row r="266" spans="1:20" x14ac:dyDescent="0.3">
      <c r="A266" s="2" t="s">
        <v>128</v>
      </c>
      <c r="B266" s="2" t="s">
        <v>129</v>
      </c>
      <c r="C266" s="2">
        <v>79109272</v>
      </c>
      <c r="D266" s="2">
        <v>2015</v>
      </c>
      <c r="E266" s="2" t="s">
        <v>22</v>
      </c>
      <c r="F266" s="4">
        <v>1.0618224371980099E-4</v>
      </c>
      <c r="G266" s="2">
        <v>9</v>
      </c>
      <c r="H266" s="2">
        <f t="shared" si="20"/>
        <v>3926.9769556401934</v>
      </c>
      <c r="I266" s="2">
        <v>84</v>
      </c>
      <c r="J266" s="2">
        <v>0.13300000000000001</v>
      </c>
      <c r="K266" s="2">
        <v>8</v>
      </c>
      <c r="L266" s="2">
        <f t="shared" si="21"/>
        <v>89.376000000000005</v>
      </c>
      <c r="M266" s="2">
        <v>52</v>
      </c>
      <c r="N266" s="2">
        <v>73.8</v>
      </c>
      <c r="O266" s="2">
        <f t="shared" si="22"/>
        <v>3837.6</v>
      </c>
      <c r="P266" s="2">
        <f t="shared" si="23"/>
        <v>4.9639907641169971</v>
      </c>
      <c r="Q266" s="7">
        <f t="shared" si="19"/>
        <v>4.8427983373327539</v>
      </c>
      <c r="R266" s="2" t="s">
        <v>130</v>
      </c>
      <c r="S266" s="2" t="s">
        <v>28</v>
      </c>
      <c r="T266" s="2" t="s">
        <v>62</v>
      </c>
    </row>
    <row r="267" spans="1:20" x14ac:dyDescent="0.3">
      <c r="A267" s="2" t="s">
        <v>128</v>
      </c>
      <c r="B267" s="2" t="s">
        <v>129</v>
      </c>
      <c r="C267" s="2">
        <v>79109272</v>
      </c>
      <c r="D267" s="2">
        <v>2015</v>
      </c>
      <c r="E267" s="2" t="s">
        <v>26</v>
      </c>
      <c r="F267" s="4">
        <v>5.3091121859900295E-4</v>
      </c>
      <c r="G267" s="2">
        <v>7</v>
      </c>
      <c r="H267" s="2">
        <f t="shared" si="20"/>
        <v>1663.5637163785302</v>
      </c>
      <c r="I267" s="2">
        <v>420</v>
      </c>
      <c r="J267" s="2">
        <v>0.13300000000000001</v>
      </c>
      <c r="K267" s="2">
        <v>6</v>
      </c>
      <c r="L267" s="2">
        <f t="shared" si="21"/>
        <v>335.15999999999997</v>
      </c>
      <c r="M267" s="2">
        <v>18</v>
      </c>
      <c r="N267" s="2">
        <v>73.8</v>
      </c>
      <c r="O267" s="2">
        <f t="shared" si="22"/>
        <v>1328.3999999999999</v>
      </c>
      <c r="P267" s="2">
        <f t="shared" si="23"/>
        <v>2.1028681901895525</v>
      </c>
      <c r="Q267" s="7">
        <f t="shared" si="19"/>
        <v>2.0809120890042276</v>
      </c>
      <c r="R267" s="2" t="s">
        <v>131</v>
      </c>
      <c r="S267" s="2" t="s">
        <v>28</v>
      </c>
      <c r="T267" s="2" t="s">
        <v>110</v>
      </c>
    </row>
    <row r="268" spans="1:20" x14ac:dyDescent="0.3">
      <c r="A268" s="2" t="s">
        <v>128</v>
      </c>
      <c r="B268" s="2" t="s">
        <v>129</v>
      </c>
      <c r="C268" s="2">
        <v>79109272</v>
      </c>
      <c r="D268" s="2">
        <v>2015</v>
      </c>
      <c r="E268" s="2" t="s">
        <v>30</v>
      </c>
      <c r="F268" s="4">
        <v>1.0365409505980501E-4</v>
      </c>
      <c r="G268" s="2">
        <v>7</v>
      </c>
      <c r="H268" s="2">
        <f t="shared" si="20"/>
        <v>2574.6367255786654</v>
      </c>
      <c r="I268" s="2">
        <v>82</v>
      </c>
      <c r="J268" s="2">
        <v>0.13300000000000001</v>
      </c>
      <c r="K268" s="2">
        <v>6</v>
      </c>
      <c r="L268" s="2">
        <f t="shared" si="21"/>
        <v>65.436000000000007</v>
      </c>
      <c r="M268" s="2">
        <v>34</v>
      </c>
      <c r="N268" s="2">
        <v>73.8</v>
      </c>
      <c r="O268" s="2">
        <f t="shared" si="22"/>
        <v>2509.1999999999998</v>
      </c>
      <c r="P268" s="2">
        <f t="shared" si="23"/>
        <v>3.2545321938731342</v>
      </c>
      <c r="Q268" s="7">
        <f t="shared" si="19"/>
        <v>3.2021421828673957</v>
      </c>
      <c r="R268" s="2" t="s">
        <v>132</v>
      </c>
      <c r="S268" s="2" t="s">
        <v>28</v>
      </c>
      <c r="T268" s="2" t="s">
        <v>29</v>
      </c>
    </row>
    <row r="269" spans="1:20" x14ac:dyDescent="0.3">
      <c r="A269" s="2" t="s">
        <v>128</v>
      </c>
      <c r="B269" s="2" t="s">
        <v>129</v>
      </c>
      <c r="C269" s="2">
        <v>79109272</v>
      </c>
      <c r="D269" s="2">
        <v>2015</v>
      </c>
      <c r="E269" s="2" t="s">
        <v>33</v>
      </c>
      <c r="F269" s="4">
        <v>6.0675567839886099E-5</v>
      </c>
      <c r="G269" s="2">
        <v>8</v>
      </c>
      <c r="H269" s="2">
        <f t="shared" si="20"/>
        <v>2111.088485404543</v>
      </c>
      <c r="I269" s="2">
        <v>48</v>
      </c>
      <c r="J269" s="2">
        <v>0.13300000000000001</v>
      </c>
      <c r="K269" s="2">
        <v>7</v>
      </c>
      <c r="L269" s="2">
        <f t="shared" si="21"/>
        <v>44.688000000000002</v>
      </c>
      <c r="M269" s="2">
        <v>28</v>
      </c>
      <c r="N269" s="2">
        <v>73.8</v>
      </c>
      <c r="O269" s="2">
        <f t="shared" si="22"/>
        <v>2066.4</v>
      </c>
      <c r="P269" s="2">
        <f t="shared" si="23"/>
        <v>2.6685727627534517</v>
      </c>
      <c r="Q269" s="7">
        <f t="shared" si="19"/>
        <v>2.6332809855942219</v>
      </c>
      <c r="R269" s="2" t="s">
        <v>133</v>
      </c>
      <c r="S269" s="2" t="s">
        <v>35</v>
      </c>
      <c r="T269" s="2" t="s">
        <v>36</v>
      </c>
    </row>
    <row r="270" spans="1:20" x14ac:dyDescent="0.3">
      <c r="A270" s="2" t="s">
        <v>128</v>
      </c>
      <c r="B270" s="2" t="s">
        <v>129</v>
      </c>
      <c r="C270" s="2">
        <v>79109272</v>
      </c>
      <c r="D270" s="2">
        <v>2015</v>
      </c>
      <c r="E270" s="2" t="s">
        <v>37</v>
      </c>
      <c r="F270" s="4">
        <v>7.8372608459852902E-2</v>
      </c>
      <c r="G270" s="2">
        <v>6</v>
      </c>
      <c r="H270" s="2">
        <f t="shared" si="20"/>
        <v>39680.470235650762</v>
      </c>
      <c r="I270" s="2">
        <v>62000</v>
      </c>
      <c r="J270" s="2">
        <v>0.128</v>
      </c>
      <c r="K270" s="2">
        <v>5</v>
      </c>
      <c r="L270" s="2">
        <f t="shared" si="21"/>
        <v>39680</v>
      </c>
      <c r="M270" s="2">
        <v>0</v>
      </c>
      <c r="N270" s="2">
        <v>73.8</v>
      </c>
      <c r="O270" s="2">
        <f t="shared" si="22"/>
        <v>0</v>
      </c>
      <c r="P270" s="2">
        <f t="shared" si="23"/>
        <v>50.159063827120995</v>
      </c>
      <c r="Q270" s="7">
        <f t="shared" si="19"/>
        <v>39.443334427329631</v>
      </c>
      <c r="R270" s="2" t="s">
        <v>134</v>
      </c>
      <c r="S270" s="2" t="s">
        <v>39</v>
      </c>
      <c r="T270" s="2" t="s">
        <v>29</v>
      </c>
    </row>
    <row r="271" spans="1:20" x14ac:dyDescent="0.3">
      <c r="A271" s="2" t="s">
        <v>128</v>
      </c>
      <c r="B271" s="2" t="s">
        <v>129</v>
      </c>
      <c r="C271" s="2">
        <v>79109272</v>
      </c>
      <c r="D271" s="2">
        <v>2015</v>
      </c>
      <c r="E271" s="2" t="s">
        <v>41</v>
      </c>
      <c r="F271" s="4">
        <v>6.8260013819871802E-5</v>
      </c>
      <c r="G271" s="2">
        <v>6</v>
      </c>
      <c r="H271" s="2">
        <f t="shared" si="20"/>
        <v>13900.320409560083</v>
      </c>
      <c r="I271" s="2">
        <v>54</v>
      </c>
      <c r="J271" s="2">
        <v>0.12</v>
      </c>
      <c r="K271" s="2">
        <v>4</v>
      </c>
      <c r="L271" s="2">
        <f t="shared" si="21"/>
        <v>25.919999999999998</v>
      </c>
      <c r="M271" s="2">
        <v>188</v>
      </c>
      <c r="N271" s="2">
        <v>73.8</v>
      </c>
      <c r="O271" s="2">
        <f t="shared" si="22"/>
        <v>13874.4</v>
      </c>
      <c r="P271" s="2">
        <f t="shared" si="23"/>
        <v>17.571038208466994</v>
      </c>
      <c r="Q271" s="7">
        <f t="shared" si="19"/>
        <v>16.11391026964133</v>
      </c>
      <c r="R271" s="2" t="s">
        <v>135</v>
      </c>
      <c r="S271" s="2" t="s">
        <v>40</v>
      </c>
      <c r="T271" s="2" t="s">
        <v>44</v>
      </c>
    </row>
    <row r="272" spans="1:20" x14ac:dyDescent="0.3">
      <c r="A272" s="2" t="s">
        <v>128</v>
      </c>
      <c r="B272" s="2" t="s">
        <v>129</v>
      </c>
      <c r="C272" s="2">
        <v>80277428</v>
      </c>
      <c r="D272" s="2">
        <v>2016</v>
      </c>
      <c r="E272" s="2" t="s">
        <v>22</v>
      </c>
      <c r="F272" s="4">
        <v>1.04637134114461E-4</v>
      </c>
      <c r="G272" s="2">
        <v>9</v>
      </c>
      <c r="H272" s="2">
        <f t="shared" si="20"/>
        <v>3926.9769417342072</v>
      </c>
      <c r="I272" s="2">
        <v>84</v>
      </c>
      <c r="J272" s="2">
        <v>0.13300000000000001</v>
      </c>
      <c r="K272" s="2">
        <v>8</v>
      </c>
      <c r="L272" s="2">
        <f t="shared" si="21"/>
        <v>89.376000000000005</v>
      </c>
      <c r="M272" s="2">
        <v>52</v>
      </c>
      <c r="N272" s="2">
        <v>73.8</v>
      </c>
      <c r="O272" s="2">
        <f t="shared" si="22"/>
        <v>3837.6</v>
      </c>
      <c r="P272" s="2">
        <f t="shared" si="23"/>
        <v>4.8917572966266523</v>
      </c>
      <c r="Q272" s="7">
        <f t="shared" si="19"/>
        <v>4.7740381600646202</v>
      </c>
      <c r="R272" s="2" t="s">
        <v>130</v>
      </c>
      <c r="S272" s="2" t="s">
        <v>28</v>
      </c>
      <c r="T272" s="2" t="s">
        <v>62</v>
      </c>
    </row>
    <row r="273" spans="1:20" x14ac:dyDescent="0.3">
      <c r="A273" s="2" t="s">
        <v>128</v>
      </c>
      <c r="B273" s="2" t="s">
        <v>129</v>
      </c>
      <c r="C273" s="2">
        <v>80277428</v>
      </c>
      <c r="D273" s="2">
        <v>2016</v>
      </c>
      <c r="E273" s="2" t="s">
        <v>26</v>
      </c>
      <c r="F273" s="4">
        <v>4.7335846385113399E-4</v>
      </c>
      <c r="G273" s="2">
        <v>7</v>
      </c>
      <c r="H273" s="2">
        <f t="shared" si="20"/>
        <v>1188.8433135092469</v>
      </c>
      <c r="I273" s="2">
        <v>380</v>
      </c>
      <c r="J273" s="2">
        <v>0.13300000000000001</v>
      </c>
      <c r="K273" s="2">
        <v>6</v>
      </c>
      <c r="L273" s="2">
        <f t="shared" si="21"/>
        <v>303.24</v>
      </c>
      <c r="M273" s="2">
        <v>12</v>
      </c>
      <c r="N273" s="2">
        <v>73.8</v>
      </c>
      <c r="O273" s="2">
        <f t="shared" si="22"/>
        <v>885.59999999999991</v>
      </c>
      <c r="P273" s="2">
        <f t="shared" si="23"/>
        <v>1.4809185385327079</v>
      </c>
      <c r="Q273" s="7">
        <f t="shared" si="19"/>
        <v>1.4700068706561709</v>
      </c>
      <c r="R273" s="2" t="s">
        <v>136</v>
      </c>
      <c r="S273" s="2" t="s">
        <v>28</v>
      </c>
      <c r="T273" s="2" t="s">
        <v>110</v>
      </c>
    </row>
    <row r="274" spans="1:20" x14ac:dyDescent="0.3">
      <c r="A274" s="2" t="s">
        <v>128</v>
      </c>
      <c r="B274" s="2" t="s">
        <v>129</v>
      </c>
      <c r="C274" s="2">
        <v>80277428</v>
      </c>
      <c r="D274" s="2">
        <v>2016</v>
      </c>
      <c r="E274" s="2" t="s">
        <v>30</v>
      </c>
      <c r="F274" s="4">
        <v>1.02145773778403E-4</v>
      </c>
      <c r="G274" s="2">
        <v>7</v>
      </c>
      <c r="H274" s="2">
        <f t="shared" si="20"/>
        <v>2574.6367150204164</v>
      </c>
      <c r="I274" s="2">
        <v>82</v>
      </c>
      <c r="J274" s="2">
        <v>0.13300000000000001</v>
      </c>
      <c r="K274" s="2">
        <v>6</v>
      </c>
      <c r="L274" s="2">
        <f t="shared" si="21"/>
        <v>65.436000000000007</v>
      </c>
      <c r="M274" s="2">
        <v>34</v>
      </c>
      <c r="N274" s="2">
        <v>73.8</v>
      </c>
      <c r="O274" s="2">
        <f t="shared" si="22"/>
        <v>2509.1999999999998</v>
      </c>
      <c r="P274" s="2">
        <f t="shared" si="23"/>
        <v>3.2071738957810361</v>
      </c>
      <c r="Q274" s="7">
        <f t="shared" si="19"/>
        <v>3.1562895081493902</v>
      </c>
      <c r="R274" s="2" t="s">
        <v>132</v>
      </c>
      <c r="S274" s="2" t="s">
        <v>28</v>
      </c>
      <c r="T274" s="2" t="s">
        <v>29</v>
      </c>
    </row>
    <row r="275" spans="1:20" x14ac:dyDescent="0.3">
      <c r="A275" s="2" t="s">
        <v>128</v>
      </c>
      <c r="B275" s="2" t="s">
        <v>129</v>
      </c>
      <c r="C275" s="2">
        <v>80277428</v>
      </c>
      <c r="D275" s="2">
        <v>2016</v>
      </c>
      <c r="E275" s="2" t="s">
        <v>33</v>
      </c>
      <c r="F275" s="4">
        <v>5.9792648065406399E-5</v>
      </c>
      <c r="G275" s="2">
        <v>8</v>
      </c>
      <c r="H275" s="2">
        <f t="shared" si="20"/>
        <v>2111.0884783411848</v>
      </c>
      <c r="I275" s="2">
        <v>48</v>
      </c>
      <c r="J275" s="2">
        <v>0.13300000000000001</v>
      </c>
      <c r="K275" s="2">
        <v>7</v>
      </c>
      <c r="L275" s="2">
        <f t="shared" si="21"/>
        <v>44.688000000000002</v>
      </c>
      <c r="M275" s="2">
        <v>28</v>
      </c>
      <c r="N275" s="2">
        <v>73.8</v>
      </c>
      <c r="O275" s="2">
        <f t="shared" si="22"/>
        <v>2066.4</v>
      </c>
      <c r="P275" s="2">
        <f t="shared" si="23"/>
        <v>2.6297410504247654</v>
      </c>
      <c r="Q275" s="7">
        <f t="shared" si="19"/>
        <v>2.5954644794394244</v>
      </c>
      <c r="R275" s="2" t="s">
        <v>133</v>
      </c>
      <c r="S275" s="2" t="s">
        <v>35</v>
      </c>
      <c r="T275" s="2" t="s">
        <v>36</v>
      </c>
    </row>
    <row r="276" spans="1:20" x14ac:dyDescent="0.3">
      <c r="A276" s="2" t="s">
        <v>128</v>
      </c>
      <c r="B276" s="2" t="s">
        <v>129</v>
      </c>
      <c r="C276" s="2">
        <v>80277428</v>
      </c>
      <c r="D276" s="2">
        <v>2016</v>
      </c>
      <c r="E276" s="2" t="s">
        <v>37</v>
      </c>
      <c r="F276" s="4">
        <v>7.7232170417816604E-2</v>
      </c>
      <c r="G276" s="2">
        <v>6</v>
      </c>
      <c r="H276" s="2">
        <f t="shared" si="20"/>
        <v>39680.46339302251</v>
      </c>
      <c r="I276" s="2">
        <v>62000</v>
      </c>
      <c r="J276" s="2">
        <v>0.128</v>
      </c>
      <c r="K276" s="2">
        <v>5</v>
      </c>
      <c r="L276" s="2">
        <f t="shared" si="21"/>
        <v>39680</v>
      </c>
      <c r="M276" s="2">
        <v>0</v>
      </c>
      <c r="N276" s="2">
        <v>73.8</v>
      </c>
      <c r="O276" s="2">
        <f t="shared" si="22"/>
        <v>0</v>
      </c>
      <c r="P276" s="2">
        <f t="shared" si="23"/>
        <v>49.429166306900747</v>
      </c>
      <c r="Q276" s="7">
        <f t="shared" si="19"/>
        <v>38.999715815845889</v>
      </c>
      <c r="R276" s="2" t="s">
        <v>134</v>
      </c>
      <c r="S276" s="2" t="s">
        <v>39</v>
      </c>
      <c r="T276" s="2" t="s">
        <v>29</v>
      </c>
    </row>
    <row r="277" spans="1:20" x14ac:dyDescent="0.3">
      <c r="A277" s="2" t="s">
        <v>128</v>
      </c>
      <c r="B277" s="2" t="s">
        <v>129</v>
      </c>
      <c r="C277" s="2">
        <v>80277428</v>
      </c>
      <c r="D277" s="2">
        <v>2016</v>
      </c>
      <c r="E277" s="2" t="s">
        <v>41</v>
      </c>
      <c r="F277" s="4">
        <v>6.7266729073582203E-5</v>
      </c>
      <c r="G277" s="2">
        <v>6</v>
      </c>
      <c r="H277" s="2">
        <f t="shared" si="20"/>
        <v>13900.320403600374</v>
      </c>
      <c r="I277" s="2">
        <v>54</v>
      </c>
      <c r="J277" s="2">
        <v>0.12</v>
      </c>
      <c r="K277" s="2">
        <v>4</v>
      </c>
      <c r="L277" s="2">
        <f t="shared" si="21"/>
        <v>25.919999999999998</v>
      </c>
      <c r="M277" s="2">
        <v>188</v>
      </c>
      <c r="N277" s="2">
        <v>73.8</v>
      </c>
      <c r="O277" s="2">
        <f t="shared" si="22"/>
        <v>13874.4</v>
      </c>
      <c r="P277" s="2">
        <f t="shared" si="23"/>
        <v>17.315353456018013</v>
      </c>
      <c r="Q277" s="7">
        <f t="shared" si="19"/>
        <v>15.899151893562014</v>
      </c>
      <c r="R277" s="2" t="s">
        <v>135</v>
      </c>
      <c r="S277" s="2" t="s">
        <v>40</v>
      </c>
      <c r="T277" s="2" t="s">
        <v>44</v>
      </c>
    </row>
    <row r="278" spans="1:20" x14ac:dyDescent="0.3">
      <c r="A278" s="2" t="s">
        <v>128</v>
      </c>
      <c r="B278" s="2" t="s">
        <v>129</v>
      </c>
      <c r="C278" s="2">
        <v>81162788</v>
      </c>
      <c r="D278" s="2">
        <v>2017</v>
      </c>
      <c r="E278" s="2" t="s">
        <v>22</v>
      </c>
      <c r="F278" s="4">
        <v>1.03495705445703E-4</v>
      </c>
      <c r="G278" s="2">
        <v>9</v>
      </c>
      <c r="H278" s="2">
        <f t="shared" si="20"/>
        <v>3926.9769314613491</v>
      </c>
      <c r="I278" s="2">
        <v>84</v>
      </c>
      <c r="J278" s="2">
        <v>0.13300000000000001</v>
      </c>
      <c r="K278" s="2">
        <v>8</v>
      </c>
      <c r="L278" s="2">
        <f t="shared" si="21"/>
        <v>89.376000000000005</v>
      </c>
      <c r="M278" s="2">
        <v>52</v>
      </c>
      <c r="N278" s="2">
        <v>73.8</v>
      </c>
      <c r="O278" s="2">
        <f t="shared" si="22"/>
        <v>3837.6</v>
      </c>
      <c r="P278" s="2">
        <f t="shared" si="23"/>
        <v>4.8383958070308637</v>
      </c>
      <c r="Q278" s="7">
        <f t="shared" si="19"/>
        <v>4.7232106083816339</v>
      </c>
      <c r="R278" s="2" t="s">
        <v>130</v>
      </c>
      <c r="S278" s="2" t="s">
        <v>28</v>
      </c>
      <c r="T278" s="2" t="s">
        <v>62</v>
      </c>
    </row>
    <row r="279" spans="1:20" x14ac:dyDescent="0.3">
      <c r="A279" s="2" t="s">
        <v>128</v>
      </c>
      <c r="B279" s="2" t="s">
        <v>129</v>
      </c>
      <c r="C279" s="2">
        <v>81162788</v>
      </c>
      <c r="D279" s="2">
        <v>2017</v>
      </c>
      <c r="E279" s="2" t="s">
        <v>26</v>
      </c>
      <c r="F279" s="4">
        <v>6.4068770037815903E-4</v>
      </c>
      <c r="G279" s="2">
        <v>7</v>
      </c>
      <c r="H279" s="2">
        <f t="shared" si="20"/>
        <v>2186.1644848139026</v>
      </c>
      <c r="I279" s="2">
        <v>520</v>
      </c>
      <c r="J279" s="2">
        <v>0.13300000000000001</v>
      </c>
      <c r="K279" s="2">
        <v>6</v>
      </c>
      <c r="L279" s="2">
        <f t="shared" si="21"/>
        <v>414.96</v>
      </c>
      <c r="M279" s="2">
        <v>24</v>
      </c>
      <c r="N279" s="2">
        <v>73.8</v>
      </c>
      <c r="O279" s="2">
        <f t="shared" si="22"/>
        <v>1771.1999999999998</v>
      </c>
      <c r="P279" s="2">
        <f t="shared" si="23"/>
        <v>2.6935551854304252</v>
      </c>
      <c r="Q279" s="7">
        <f t="shared" si="19"/>
        <v>2.6576025127052594</v>
      </c>
      <c r="R279" s="2" t="s">
        <v>137</v>
      </c>
      <c r="S279" s="2" t="s">
        <v>28</v>
      </c>
      <c r="T279" s="2" t="s">
        <v>110</v>
      </c>
    </row>
    <row r="280" spans="1:20" x14ac:dyDescent="0.3">
      <c r="A280" s="2" t="s">
        <v>128</v>
      </c>
      <c r="B280" s="2" t="s">
        <v>129</v>
      </c>
      <c r="C280" s="2">
        <v>81162788</v>
      </c>
      <c r="D280" s="2">
        <v>2017</v>
      </c>
      <c r="E280" s="2" t="s">
        <v>30</v>
      </c>
      <c r="F280" s="4">
        <v>1.0103152198271E-4</v>
      </c>
      <c r="G280" s="2">
        <v>7</v>
      </c>
      <c r="H280" s="2">
        <f t="shared" si="20"/>
        <v>2574.636707220654</v>
      </c>
      <c r="I280" s="2">
        <v>82</v>
      </c>
      <c r="J280" s="2">
        <v>0.13300000000000001</v>
      </c>
      <c r="K280" s="2">
        <v>6</v>
      </c>
      <c r="L280" s="2">
        <f t="shared" si="21"/>
        <v>65.436000000000007</v>
      </c>
      <c r="M280" s="2">
        <v>34</v>
      </c>
      <c r="N280" s="2">
        <v>73.8</v>
      </c>
      <c r="O280" s="2">
        <f t="shared" si="22"/>
        <v>2509.1999999999998</v>
      </c>
      <c r="P280" s="2">
        <f t="shared" si="23"/>
        <v>3.1721885985738365</v>
      </c>
      <c r="Q280" s="7">
        <f t="shared" si="19"/>
        <v>3.1224025208213546</v>
      </c>
      <c r="R280" s="2" t="s">
        <v>132</v>
      </c>
      <c r="S280" s="2" t="s">
        <v>28</v>
      </c>
      <c r="T280" s="2" t="s">
        <v>29</v>
      </c>
    </row>
    <row r="281" spans="1:20" x14ac:dyDescent="0.3">
      <c r="A281" s="2" t="s">
        <v>128</v>
      </c>
      <c r="B281" s="2" t="s">
        <v>129</v>
      </c>
      <c r="C281" s="2">
        <v>81162788</v>
      </c>
      <c r="D281" s="2">
        <v>2017</v>
      </c>
      <c r="E281" s="2" t="s">
        <v>33</v>
      </c>
      <c r="F281" s="4">
        <v>5.9140403111830001E-5</v>
      </c>
      <c r="G281" s="2">
        <v>8</v>
      </c>
      <c r="H281" s="2">
        <f t="shared" si="20"/>
        <v>2111.088473123225</v>
      </c>
      <c r="I281" s="2">
        <v>48</v>
      </c>
      <c r="J281" s="2">
        <v>0.13300000000000001</v>
      </c>
      <c r="K281" s="2">
        <v>7</v>
      </c>
      <c r="L281" s="2">
        <f t="shared" si="21"/>
        <v>44.688000000000002</v>
      </c>
      <c r="M281" s="2">
        <v>28</v>
      </c>
      <c r="N281" s="2">
        <v>73.8</v>
      </c>
      <c r="O281" s="2">
        <f t="shared" si="22"/>
        <v>2066.4</v>
      </c>
      <c r="P281" s="2">
        <f t="shared" si="23"/>
        <v>2.6010546521926092</v>
      </c>
      <c r="Q281" s="7">
        <f t="shared" si="19"/>
        <v>2.567518618344955</v>
      </c>
      <c r="R281" s="2" t="s">
        <v>133</v>
      </c>
      <c r="S281" s="2" t="s">
        <v>35</v>
      </c>
      <c r="T281" s="2" t="s">
        <v>36</v>
      </c>
    </row>
    <row r="282" spans="1:20" x14ac:dyDescent="0.3">
      <c r="A282" s="2" t="s">
        <v>128</v>
      </c>
      <c r="B282" s="2" t="s">
        <v>129</v>
      </c>
      <c r="C282" s="2">
        <v>81162788</v>
      </c>
      <c r="D282" s="2">
        <v>2017</v>
      </c>
      <c r="E282" s="2" t="s">
        <v>37</v>
      </c>
      <c r="F282" s="4">
        <v>7.63896873527804E-2</v>
      </c>
      <c r="G282" s="2">
        <v>6</v>
      </c>
      <c r="H282" s="2">
        <f t="shared" si="20"/>
        <v>39680.458338124117</v>
      </c>
      <c r="I282" s="2">
        <v>62000</v>
      </c>
      <c r="J282" s="2">
        <v>0.128</v>
      </c>
      <c r="K282" s="2">
        <v>5</v>
      </c>
      <c r="L282" s="2">
        <f t="shared" si="21"/>
        <v>39680</v>
      </c>
      <c r="M282" s="2">
        <v>0</v>
      </c>
      <c r="N282" s="2">
        <v>73.8</v>
      </c>
      <c r="O282" s="2">
        <f t="shared" si="22"/>
        <v>0</v>
      </c>
      <c r="P282" s="2">
        <f t="shared" si="23"/>
        <v>48.889964620392433</v>
      </c>
      <c r="Q282" s="7">
        <f t="shared" si="19"/>
        <v>38.66991290236713</v>
      </c>
      <c r="R282" s="2" t="s">
        <v>134</v>
      </c>
      <c r="S282" s="2" t="s">
        <v>39</v>
      </c>
      <c r="T282" s="2" t="s">
        <v>29</v>
      </c>
    </row>
    <row r="283" spans="1:20" x14ac:dyDescent="0.3">
      <c r="A283" s="2" t="s">
        <v>128</v>
      </c>
      <c r="B283" s="2" t="s">
        <v>129</v>
      </c>
      <c r="C283" s="2">
        <v>81162788</v>
      </c>
      <c r="D283" s="2">
        <v>2017</v>
      </c>
      <c r="E283" s="2" t="s">
        <v>41</v>
      </c>
      <c r="F283" s="4">
        <v>6.6532953500808806E-5</v>
      </c>
      <c r="G283" s="2">
        <v>6</v>
      </c>
      <c r="H283" s="2">
        <f t="shared" si="20"/>
        <v>13900.320399197721</v>
      </c>
      <c r="I283" s="2">
        <v>54</v>
      </c>
      <c r="J283" s="2">
        <v>0.12</v>
      </c>
      <c r="K283" s="2">
        <v>4</v>
      </c>
      <c r="L283" s="2">
        <f t="shared" si="21"/>
        <v>25.919999999999998</v>
      </c>
      <c r="M283" s="2">
        <v>188</v>
      </c>
      <c r="N283" s="2">
        <v>73.8</v>
      </c>
      <c r="O283" s="2">
        <f t="shared" si="22"/>
        <v>13874.4</v>
      </c>
      <c r="P283" s="2">
        <f t="shared" si="23"/>
        <v>17.126469829003067</v>
      </c>
      <c r="Q283" s="7">
        <f t="shared" si="19"/>
        <v>15.740149043405937</v>
      </c>
      <c r="R283" s="2" t="s">
        <v>135</v>
      </c>
      <c r="S283" s="2" t="s">
        <v>40</v>
      </c>
      <c r="T283" s="2" t="s">
        <v>44</v>
      </c>
    </row>
    <row r="284" spans="1:20" x14ac:dyDescent="0.3">
      <c r="A284" s="2" t="s">
        <v>128</v>
      </c>
      <c r="B284" s="2" t="s">
        <v>129</v>
      </c>
      <c r="C284" s="2">
        <v>82011735</v>
      </c>
      <c r="D284" s="2">
        <v>2018</v>
      </c>
      <c r="E284" s="2" t="s">
        <v>22</v>
      </c>
      <c r="F284" s="4">
        <v>1.02424366464141E-4</v>
      </c>
      <c r="G284" s="2">
        <v>9</v>
      </c>
      <c r="H284" s="2">
        <f t="shared" si="20"/>
        <v>3926.9769218192982</v>
      </c>
      <c r="I284" s="2">
        <v>84</v>
      </c>
      <c r="J284" s="2">
        <v>0.13300000000000001</v>
      </c>
      <c r="K284" s="2">
        <v>8</v>
      </c>
      <c r="L284" s="2">
        <f t="shared" si="21"/>
        <v>89.376000000000005</v>
      </c>
      <c r="M284" s="2">
        <v>52</v>
      </c>
      <c r="N284" s="2">
        <v>73.8</v>
      </c>
      <c r="O284" s="2">
        <f t="shared" si="22"/>
        <v>3837.6</v>
      </c>
      <c r="P284" s="2">
        <f t="shared" si="23"/>
        <v>4.7883109921028959</v>
      </c>
      <c r="Q284" s="7">
        <f t="shared" si="19"/>
        <v>4.6754794527128158</v>
      </c>
      <c r="R284" s="2" t="s">
        <v>130</v>
      </c>
      <c r="S284" s="2" t="s">
        <v>28</v>
      </c>
      <c r="T284" s="2" t="s">
        <v>62</v>
      </c>
    </row>
    <row r="285" spans="1:20" x14ac:dyDescent="0.3">
      <c r="A285" s="2" t="s">
        <v>128</v>
      </c>
      <c r="B285" s="2" t="s">
        <v>129</v>
      </c>
      <c r="C285" s="2">
        <v>82011735</v>
      </c>
      <c r="D285" s="2">
        <v>2018</v>
      </c>
      <c r="E285" s="2" t="s">
        <v>26</v>
      </c>
      <c r="F285" s="4">
        <v>8.2914963328114004E-4</v>
      </c>
      <c r="G285" s="2">
        <v>7</v>
      </c>
      <c r="H285" s="2">
        <f t="shared" si="20"/>
        <v>3199.4458040474324</v>
      </c>
      <c r="I285" s="2">
        <v>680</v>
      </c>
      <c r="J285" s="2">
        <v>0.13300000000000001</v>
      </c>
      <c r="K285" s="2">
        <v>6</v>
      </c>
      <c r="L285" s="2">
        <f t="shared" si="21"/>
        <v>542.64</v>
      </c>
      <c r="M285" s="2">
        <v>36</v>
      </c>
      <c r="N285" s="2">
        <v>73.8</v>
      </c>
      <c r="O285" s="2">
        <f t="shared" si="22"/>
        <v>2656.7999999999997</v>
      </c>
      <c r="P285" s="2">
        <f t="shared" si="23"/>
        <v>3.9012048751894257</v>
      </c>
      <c r="Q285" s="7">
        <f t="shared" si="19"/>
        <v>3.8260878679502341</v>
      </c>
      <c r="R285" s="2" t="s">
        <v>138</v>
      </c>
      <c r="S285" s="2" t="s">
        <v>28</v>
      </c>
      <c r="T285" s="2" t="s">
        <v>110</v>
      </c>
    </row>
    <row r="286" spans="1:20" x14ac:dyDescent="0.3">
      <c r="A286" s="2" t="s">
        <v>128</v>
      </c>
      <c r="B286" s="2" t="s">
        <v>129</v>
      </c>
      <c r="C286" s="2">
        <v>82011735</v>
      </c>
      <c r="D286" s="2">
        <v>2018</v>
      </c>
      <c r="E286" s="2" t="s">
        <v>30</v>
      </c>
      <c r="F286" s="4">
        <v>9.9985691072137394E-5</v>
      </c>
      <c r="G286" s="2">
        <v>7</v>
      </c>
      <c r="H286" s="2">
        <f t="shared" si="20"/>
        <v>2574.6366998998374</v>
      </c>
      <c r="I286" s="2">
        <v>82</v>
      </c>
      <c r="J286" s="2">
        <v>0.13300000000000001</v>
      </c>
      <c r="K286" s="2">
        <v>6</v>
      </c>
      <c r="L286" s="2">
        <f t="shared" si="21"/>
        <v>65.436000000000007</v>
      </c>
      <c r="M286" s="2">
        <v>34</v>
      </c>
      <c r="N286" s="2">
        <v>73.8</v>
      </c>
      <c r="O286" s="2">
        <f t="shared" si="22"/>
        <v>2509.1999999999998</v>
      </c>
      <c r="P286" s="2">
        <f t="shared" si="23"/>
        <v>3.1393515816972259</v>
      </c>
      <c r="Q286" s="7">
        <f t="shared" si="19"/>
        <v>3.0905855842069396</v>
      </c>
      <c r="R286" s="2" t="s">
        <v>132</v>
      </c>
      <c r="S286" s="2" t="s">
        <v>28</v>
      </c>
      <c r="T286" s="2" t="s">
        <v>29</v>
      </c>
    </row>
    <row r="287" spans="1:20" x14ac:dyDescent="0.3">
      <c r="A287" s="2" t="s">
        <v>128</v>
      </c>
      <c r="B287" s="2" t="s">
        <v>129</v>
      </c>
      <c r="C287" s="2">
        <v>82011735</v>
      </c>
      <c r="D287" s="2">
        <v>2018</v>
      </c>
      <c r="E287" s="2" t="s">
        <v>33</v>
      </c>
      <c r="F287" s="4">
        <v>5.85282094080804E-5</v>
      </c>
      <c r="G287" s="2">
        <v>8</v>
      </c>
      <c r="H287" s="2">
        <f t="shared" si="20"/>
        <v>2111.0884682256756</v>
      </c>
      <c r="I287" s="2">
        <v>48</v>
      </c>
      <c r="J287" s="2">
        <v>0.13300000000000001</v>
      </c>
      <c r="K287" s="2">
        <v>7</v>
      </c>
      <c r="L287" s="2">
        <f t="shared" si="21"/>
        <v>44.688000000000002</v>
      </c>
      <c r="M287" s="2">
        <v>28</v>
      </c>
      <c r="N287" s="2">
        <v>73.8</v>
      </c>
      <c r="O287" s="2">
        <f t="shared" si="22"/>
        <v>2066.4</v>
      </c>
      <c r="P287" s="2">
        <f t="shared" si="23"/>
        <v>2.5741297489020023</v>
      </c>
      <c r="Q287" s="7">
        <f t="shared" si="19"/>
        <v>2.5412814849564147</v>
      </c>
      <c r="R287" s="2" t="s">
        <v>133</v>
      </c>
      <c r="S287" s="2" t="s">
        <v>35</v>
      </c>
      <c r="T287" s="2" t="s">
        <v>36</v>
      </c>
    </row>
    <row r="288" spans="1:20" x14ac:dyDescent="0.3">
      <c r="A288" s="2" t="s">
        <v>128</v>
      </c>
      <c r="B288" s="2" t="s">
        <v>129</v>
      </c>
      <c r="C288" s="2">
        <v>82011735</v>
      </c>
      <c r="D288" s="2">
        <v>2018</v>
      </c>
      <c r="E288" s="2" t="s">
        <v>37</v>
      </c>
      <c r="F288" s="4">
        <v>7.5598937152103904E-2</v>
      </c>
      <c r="G288" s="2">
        <v>6</v>
      </c>
      <c r="H288" s="2">
        <f t="shared" si="20"/>
        <v>39680.453593622915</v>
      </c>
      <c r="I288" s="2">
        <v>62000</v>
      </c>
      <c r="J288" s="2">
        <v>0.128</v>
      </c>
      <c r="K288" s="2">
        <v>5</v>
      </c>
      <c r="L288" s="2">
        <f t="shared" si="21"/>
        <v>39680</v>
      </c>
      <c r="M288" s="2">
        <v>0</v>
      </c>
      <c r="N288" s="2">
        <v>73.8</v>
      </c>
      <c r="O288" s="2">
        <f t="shared" si="22"/>
        <v>0</v>
      </c>
      <c r="P288" s="2">
        <f t="shared" si="23"/>
        <v>48.383872861149584</v>
      </c>
      <c r="Q288" s="7">
        <f t="shared" si="19"/>
        <v>38.358739638677477</v>
      </c>
      <c r="R288" s="2" t="s">
        <v>134</v>
      </c>
      <c r="S288" s="2" t="s">
        <v>39</v>
      </c>
      <c r="T288" s="2" t="s">
        <v>29</v>
      </c>
    </row>
    <row r="289" spans="1:20" x14ac:dyDescent="0.3">
      <c r="A289" s="2" t="s">
        <v>128</v>
      </c>
      <c r="B289" s="2" t="s">
        <v>129</v>
      </c>
      <c r="C289" s="2">
        <v>82011735</v>
      </c>
      <c r="D289" s="2">
        <v>2018</v>
      </c>
      <c r="E289" s="2" t="s">
        <v>41</v>
      </c>
      <c r="F289" s="4">
        <v>6.58442355840905E-5</v>
      </c>
      <c r="G289" s="2">
        <v>6</v>
      </c>
      <c r="H289" s="2">
        <f t="shared" si="20"/>
        <v>13900.320395065413</v>
      </c>
      <c r="I289" s="2">
        <v>54</v>
      </c>
      <c r="J289" s="2">
        <v>0.12</v>
      </c>
      <c r="K289" s="2">
        <v>4</v>
      </c>
      <c r="L289" s="2">
        <f t="shared" si="21"/>
        <v>25.919999999999998</v>
      </c>
      <c r="M289" s="2">
        <v>188</v>
      </c>
      <c r="N289" s="2">
        <v>73.8</v>
      </c>
      <c r="O289" s="2">
        <f t="shared" si="22"/>
        <v>13874.4</v>
      </c>
      <c r="P289" s="2">
        <f t="shared" si="23"/>
        <v>16.949184644204166</v>
      </c>
      <c r="Q289" s="7">
        <f t="shared" si="19"/>
        <v>15.590636318130525</v>
      </c>
      <c r="R289" s="2" t="s">
        <v>135</v>
      </c>
      <c r="S289" s="2" t="s">
        <v>40</v>
      </c>
      <c r="T289" s="2" t="s">
        <v>44</v>
      </c>
    </row>
    <row r="290" spans="1:20" x14ac:dyDescent="0.3">
      <c r="A290" s="2" t="s">
        <v>128</v>
      </c>
      <c r="B290" s="2" t="s">
        <v>129</v>
      </c>
      <c r="C290" s="2">
        <v>82913906</v>
      </c>
      <c r="D290" s="2">
        <v>2019</v>
      </c>
      <c r="E290" s="2" t="s">
        <v>22</v>
      </c>
      <c r="F290" s="4">
        <v>1.01309905723173E-4</v>
      </c>
      <c r="G290" s="2">
        <v>9</v>
      </c>
      <c r="H290" s="2">
        <f t="shared" si="20"/>
        <v>3926.9769117891515</v>
      </c>
      <c r="I290" s="2">
        <v>84</v>
      </c>
      <c r="J290" s="2">
        <v>0.13300000000000001</v>
      </c>
      <c r="K290" s="2">
        <v>8</v>
      </c>
      <c r="L290" s="2">
        <f t="shared" si="21"/>
        <v>89.376000000000005</v>
      </c>
      <c r="M290" s="2">
        <v>52</v>
      </c>
      <c r="N290" s="2">
        <v>73.8</v>
      </c>
      <c r="O290" s="2">
        <f t="shared" si="22"/>
        <v>3837.6</v>
      </c>
      <c r="P290" s="2">
        <f t="shared" si="23"/>
        <v>4.736210246552794</v>
      </c>
      <c r="Q290" s="7">
        <f t="shared" si="19"/>
        <v>4.6258017267065572</v>
      </c>
      <c r="R290" s="2" t="s">
        <v>130</v>
      </c>
      <c r="S290" s="2" t="s">
        <v>28</v>
      </c>
      <c r="T290" s="2" t="s">
        <v>62</v>
      </c>
    </row>
    <row r="291" spans="1:20" x14ac:dyDescent="0.3">
      <c r="A291" s="2" t="s">
        <v>128</v>
      </c>
      <c r="B291" s="2" t="s">
        <v>129</v>
      </c>
      <c r="C291" s="2">
        <v>82913906</v>
      </c>
      <c r="D291" s="2">
        <v>2019</v>
      </c>
      <c r="E291" s="2" t="s">
        <v>26</v>
      </c>
      <c r="F291" s="4">
        <v>4.1006390411760397E-3</v>
      </c>
      <c r="G291" s="2">
        <v>7</v>
      </c>
      <c r="H291" s="2">
        <f t="shared" si="20"/>
        <v>113413.22870447328</v>
      </c>
      <c r="I291" s="2">
        <v>3400</v>
      </c>
      <c r="J291" s="2">
        <v>0.13300000000000001</v>
      </c>
      <c r="K291" s="2">
        <v>6</v>
      </c>
      <c r="L291" s="2">
        <f t="shared" si="21"/>
        <v>2713.2000000000003</v>
      </c>
      <c r="M291" s="2">
        <v>1500</v>
      </c>
      <c r="N291" s="2">
        <v>73.8</v>
      </c>
      <c r="O291" s="2">
        <f t="shared" si="22"/>
        <v>110700</v>
      </c>
      <c r="P291" s="2">
        <f t="shared" si="23"/>
        <v>136.78432747393816</v>
      </c>
      <c r="Q291" s="7">
        <f t="shared" si="19"/>
        <v>74.534441013887204</v>
      </c>
      <c r="R291" s="2" t="s">
        <v>139</v>
      </c>
      <c r="S291" s="2" t="s">
        <v>28</v>
      </c>
      <c r="T291" s="2" t="s">
        <v>140</v>
      </c>
    </row>
    <row r="292" spans="1:20" x14ac:dyDescent="0.3">
      <c r="A292" s="2" t="s">
        <v>128</v>
      </c>
      <c r="B292" s="2" t="s">
        <v>129</v>
      </c>
      <c r="C292" s="2">
        <v>82913906</v>
      </c>
      <c r="D292" s="2">
        <v>2019</v>
      </c>
      <c r="E292" s="2" t="s">
        <v>30</v>
      </c>
      <c r="F292" s="4">
        <v>9.8897765110716196E-5</v>
      </c>
      <c r="G292" s="2">
        <v>7</v>
      </c>
      <c r="H292" s="2">
        <f t="shared" si="20"/>
        <v>2574.6366922843558</v>
      </c>
      <c r="I292" s="2">
        <v>82</v>
      </c>
      <c r="J292" s="2">
        <v>0.13300000000000001</v>
      </c>
      <c r="K292" s="2">
        <v>6</v>
      </c>
      <c r="L292" s="2">
        <f t="shared" si="21"/>
        <v>65.436000000000007</v>
      </c>
      <c r="M292" s="2">
        <v>34</v>
      </c>
      <c r="N292" s="2">
        <v>73.8</v>
      </c>
      <c r="O292" s="2">
        <f t="shared" si="22"/>
        <v>2509.1999999999998</v>
      </c>
      <c r="P292" s="2">
        <f t="shared" si="23"/>
        <v>3.1051928638898714</v>
      </c>
      <c r="Q292" s="7">
        <f t="shared" si="19"/>
        <v>3.0574769163816184</v>
      </c>
      <c r="R292" s="2" t="s">
        <v>132</v>
      </c>
      <c r="S292" s="2" t="s">
        <v>28</v>
      </c>
      <c r="T292" s="2" t="s">
        <v>29</v>
      </c>
    </row>
    <row r="293" spans="1:20" x14ac:dyDescent="0.3">
      <c r="A293" s="2" t="s">
        <v>128</v>
      </c>
      <c r="B293" s="2" t="s">
        <v>129</v>
      </c>
      <c r="C293" s="2">
        <v>82913906</v>
      </c>
      <c r="D293" s="2">
        <v>2019</v>
      </c>
      <c r="E293" s="2" t="s">
        <v>33</v>
      </c>
      <c r="F293" s="4">
        <v>5.7891374698955801E-5</v>
      </c>
      <c r="G293" s="2">
        <v>8</v>
      </c>
      <c r="H293" s="2">
        <f t="shared" ref="H293:H324" si="24">L293+O293+G293*F293</f>
        <v>2111.0884631309978</v>
      </c>
      <c r="I293" s="2">
        <v>48</v>
      </c>
      <c r="J293" s="2">
        <v>0.13300000000000001</v>
      </c>
      <c r="K293" s="2">
        <v>7</v>
      </c>
      <c r="L293" s="2">
        <f t="shared" ref="L293:L324" si="25">I293*J293*K293</f>
        <v>44.688000000000002</v>
      </c>
      <c r="M293" s="2">
        <v>28</v>
      </c>
      <c r="N293" s="2">
        <v>73.8</v>
      </c>
      <c r="O293" s="2">
        <f t="shared" ref="O293:O324" si="26">M293*N293</f>
        <v>2066.4</v>
      </c>
      <c r="P293" s="2">
        <f t="shared" ref="P293:P324" si="27">H293/C293*100000</f>
        <v>2.5461211092033196</v>
      </c>
      <c r="Q293" s="7">
        <f t="shared" si="19"/>
        <v>2.5139808005358866</v>
      </c>
      <c r="R293" s="2" t="s">
        <v>133</v>
      </c>
      <c r="S293" s="2" t="s">
        <v>35</v>
      </c>
      <c r="T293" s="2" t="s">
        <v>36</v>
      </c>
    </row>
    <row r="294" spans="1:20" x14ac:dyDescent="0.3">
      <c r="A294" s="2" t="s">
        <v>128</v>
      </c>
      <c r="B294" s="2" t="s">
        <v>129</v>
      </c>
      <c r="C294" s="2">
        <v>82913906</v>
      </c>
      <c r="D294" s="2">
        <v>2019</v>
      </c>
      <c r="E294" s="2" t="s">
        <v>37</v>
      </c>
      <c r="F294" s="4">
        <v>7.4776358986151301E-2</v>
      </c>
      <c r="G294" s="2">
        <v>6</v>
      </c>
      <c r="H294" s="2">
        <f t="shared" si="24"/>
        <v>39680.448658153917</v>
      </c>
      <c r="I294" s="2">
        <v>62000</v>
      </c>
      <c r="J294" s="2">
        <v>0.128</v>
      </c>
      <c r="K294" s="2">
        <v>5</v>
      </c>
      <c r="L294" s="2">
        <f t="shared" si="25"/>
        <v>39680</v>
      </c>
      <c r="M294" s="2">
        <v>0</v>
      </c>
      <c r="N294" s="2">
        <v>73.8</v>
      </c>
      <c r="O294" s="2">
        <f t="shared" si="26"/>
        <v>0</v>
      </c>
      <c r="P294" s="2">
        <f t="shared" si="27"/>
        <v>47.857410864413886</v>
      </c>
      <c r="Q294" s="7">
        <f t="shared" si="19"/>
        <v>38.033366096051665</v>
      </c>
      <c r="R294" s="2" t="s">
        <v>134</v>
      </c>
      <c r="S294" s="2" t="s">
        <v>39</v>
      </c>
      <c r="T294" s="2" t="s">
        <v>29</v>
      </c>
    </row>
    <row r="295" spans="1:20" x14ac:dyDescent="0.3">
      <c r="A295" s="2" t="s">
        <v>128</v>
      </c>
      <c r="B295" s="2" t="s">
        <v>129</v>
      </c>
      <c r="C295" s="2">
        <v>82913906</v>
      </c>
      <c r="D295" s="2">
        <v>2019</v>
      </c>
      <c r="E295" s="2" t="s">
        <v>41</v>
      </c>
      <c r="F295" s="4">
        <v>6.5127796536325303E-5</v>
      </c>
      <c r="G295" s="2">
        <v>6</v>
      </c>
      <c r="H295" s="2">
        <f t="shared" si="24"/>
        <v>13900.320390766779</v>
      </c>
      <c r="I295" s="2">
        <v>54</v>
      </c>
      <c r="J295" s="2">
        <v>0.12</v>
      </c>
      <c r="K295" s="2">
        <v>4</v>
      </c>
      <c r="L295" s="2">
        <f t="shared" si="25"/>
        <v>25.919999999999998</v>
      </c>
      <c r="M295" s="2">
        <v>188</v>
      </c>
      <c r="N295" s="2">
        <v>73.8</v>
      </c>
      <c r="O295" s="2">
        <f t="shared" si="26"/>
        <v>13874.4</v>
      </c>
      <c r="P295" s="2">
        <f t="shared" si="27"/>
        <v>16.764763670362822</v>
      </c>
      <c r="Q295" s="7">
        <f t="shared" si="19"/>
        <v>15.43482411658661</v>
      </c>
      <c r="R295" s="2" t="s">
        <v>135</v>
      </c>
      <c r="S295" s="2" t="s">
        <v>40</v>
      </c>
      <c r="T295" s="2" t="s">
        <v>44</v>
      </c>
    </row>
    <row r="296" spans="1:20" x14ac:dyDescent="0.3">
      <c r="A296" s="2" t="s">
        <v>128</v>
      </c>
      <c r="B296" s="2" t="s">
        <v>129</v>
      </c>
      <c r="C296" s="2">
        <v>83992949</v>
      </c>
      <c r="D296" s="2">
        <v>2020</v>
      </c>
      <c r="E296" s="2" t="s">
        <v>22</v>
      </c>
      <c r="F296" s="4">
        <v>1.00008394752279E-4</v>
      </c>
      <c r="G296" s="2">
        <v>9</v>
      </c>
      <c r="H296" s="2">
        <f t="shared" si="24"/>
        <v>3926.9769000755527</v>
      </c>
      <c r="I296" s="2">
        <v>84</v>
      </c>
      <c r="J296" s="2">
        <v>0.13300000000000001</v>
      </c>
      <c r="K296" s="2">
        <v>8</v>
      </c>
      <c r="L296" s="2">
        <f t="shared" si="25"/>
        <v>89.376000000000005</v>
      </c>
      <c r="M296" s="2">
        <v>52</v>
      </c>
      <c r="N296" s="2">
        <v>73.8</v>
      </c>
      <c r="O296" s="2">
        <f t="shared" si="26"/>
        <v>3837.6</v>
      </c>
      <c r="P296" s="2">
        <f t="shared" si="27"/>
        <v>4.6753649524504164</v>
      </c>
      <c r="Q296" s="7">
        <f t="shared" si="19"/>
        <v>4.5677533572096802</v>
      </c>
      <c r="R296" s="2" t="s">
        <v>130</v>
      </c>
      <c r="S296" s="2" t="s">
        <v>28</v>
      </c>
      <c r="T296" s="2" t="s">
        <v>62</v>
      </c>
    </row>
    <row r="297" spans="1:20" x14ac:dyDescent="0.3">
      <c r="A297" s="2" t="s">
        <v>128</v>
      </c>
      <c r="B297" s="2" t="s">
        <v>129</v>
      </c>
      <c r="C297" s="2">
        <v>83992949</v>
      </c>
      <c r="D297" s="2">
        <v>2020</v>
      </c>
      <c r="E297" s="2" t="s">
        <v>26</v>
      </c>
      <c r="F297" s="4">
        <v>4.8813621248136E-4</v>
      </c>
      <c r="G297" s="2">
        <v>7</v>
      </c>
      <c r="H297" s="2">
        <f t="shared" si="24"/>
        <v>1360.3834169534875</v>
      </c>
      <c r="I297" s="2">
        <v>410</v>
      </c>
      <c r="J297" s="2">
        <v>0.13300000000000001</v>
      </c>
      <c r="K297" s="2">
        <v>6</v>
      </c>
      <c r="L297" s="2">
        <f t="shared" si="25"/>
        <v>327.18</v>
      </c>
      <c r="M297" s="2">
        <v>14</v>
      </c>
      <c r="N297" s="2">
        <v>73.8</v>
      </c>
      <c r="O297" s="2">
        <f t="shared" si="26"/>
        <v>1033.2</v>
      </c>
      <c r="P297" s="2">
        <f t="shared" si="27"/>
        <v>1.6196400211564039</v>
      </c>
      <c r="Q297" s="7">
        <f t="shared" si="19"/>
        <v>1.6065943779429492</v>
      </c>
      <c r="R297" s="2" t="s">
        <v>141</v>
      </c>
      <c r="S297" s="2" t="s">
        <v>28</v>
      </c>
      <c r="T297" s="2" t="s">
        <v>110</v>
      </c>
    </row>
    <row r="298" spans="1:20" x14ac:dyDescent="0.3">
      <c r="A298" s="2" t="s">
        <v>128</v>
      </c>
      <c r="B298" s="2" t="s">
        <v>129</v>
      </c>
      <c r="C298" s="2">
        <v>83992949</v>
      </c>
      <c r="D298" s="2">
        <v>2020</v>
      </c>
      <c r="E298" s="2" t="s">
        <v>30</v>
      </c>
      <c r="F298" s="4">
        <v>9.7627242496271902E-5</v>
      </c>
      <c r="G298" s="2">
        <v>7</v>
      </c>
      <c r="H298" s="2">
        <f t="shared" si="24"/>
        <v>2574.6366833906973</v>
      </c>
      <c r="I298" s="2">
        <v>82</v>
      </c>
      <c r="J298" s="2">
        <v>0.13300000000000001</v>
      </c>
      <c r="K298" s="2">
        <v>6</v>
      </c>
      <c r="L298" s="2">
        <f t="shared" si="25"/>
        <v>65.436000000000007</v>
      </c>
      <c r="M298" s="2">
        <v>34</v>
      </c>
      <c r="N298" s="2">
        <v>73.8</v>
      </c>
      <c r="O298" s="2">
        <f t="shared" si="26"/>
        <v>2509.1999999999998</v>
      </c>
      <c r="P298" s="2">
        <f t="shared" si="27"/>
        <v>3.0653009735265959</v>
      </c>
      <c r="Q298" s="7">
        <f t="shared" si="19"/>
        <v>3.0187969967950923</v>
      </c>
      <c r="R298" s="2" t="s">
        <v>132</v>
      </c>
      <c r="S298" s="2" t="s">
        <v>28</v>
      </c>
      <c r="T298" s="2" t="s">
        <v>29</v>
      </c>
    </row>
    <row r="299" spans="1:20" x14ac:dyDescent="0.3">
      <c r="A299" s="2" t="s">
        <v>128</v>
      </c>
      <c r="B299" s="2" t="s">
        <v>129</v>
      </c>
      <c r="C299" s="2">
        <v>83992949</v>
      </c>
      <c r="D299" s="2">
        <v>2020</v>
      </c>
      <c r="E299" s="2" t="s">
        <v>33</v>
      </c>
      <c r="F299" s="4">
        <v>5.7147654144159203E-5</v>
      </c>
      <c r="G299" s="2">
        <v>8</v>
      </c>
      <c r="H299" s="2">
        <f t="shared" si="24"/>
        <v>2111.0884571812335</v>
      </c>
      <c r="I299" s="2">
        <v>48</v>
      </c>
      <c r="J299" s="2">
        <v>0.13300000000000001</v>
      </c>
      <c r="K299" s="2">
        <v>7</v>
      </c>
      <c r="L299" s="2">
        <f t="shared" si="25"/>
        <v>44.688000000000002</v>
      </c>
      <c r="M299" s="2">
        <v>28</v>
      </c>
      <c r="N299" s="2">
        <v>73.8</v>
      </c>
      <c r="O299" s="2">
        <f t="shared" si="26"/>
        <v>2066.4</v>
      </c>
      <c r="P299" s="2">
        <f t="shared" si="27"/>
        <v>2.5134115212233277</v>
      </c>
      <c r="Q299" s="7">
        <f t="shared" si="19"/>
        <v>2.4820883096508206</v>
      </c>
      <c r="R299" s="2" t="s">
        <v>133</v>
      </c>
      <c r="S299" s="2" t="s">
        <v>35</v>
      </c>
      <c r="T299" s="2" t="s">
        <v>36</v>
      </c>
    </row>
    <row r="300" spans="1:20" x14ac:dyDescent="0.3">
      <c r="A300" s="2" t="s">
        <v>128</v>
      </c>
      <c r="B300" s="2" t="s">
        <v>129</v>
      </c>
      <c r="C300" s="2">
        <v>83992949</v>
      </c>
      <c r="D300" s="2">
        <v>2020</v>
      </c>
      <c r="E300" s="2" t="s">
        <v>37</v>
      </c>
      <c r="F300" s="4">
        <v>7.3815719936205601E-2</v>
      </c>
      <c r="G300" s="2">
        <v>6</v>
      </c>
      <c r="H300" s="2">
        <f t="shared" si="24"/>
        <v>39680.442894319618</v>
      </c>
      <c r="I300" s="2">
        <v>62000</v>
      </c>
      <c r="J300" s="2">
        <v>0.128</v>
      </c>
      <c r="K300" s="2">
        <v>5</v>
      </c>
      <c r="L300" s="2">
        <f t="shared" si="25"/>
        <v>39680</v>
      </c>
      <c r="M300" s="2">
        <v>0</v>
      </c>
      <c r="N300" s="2">
        <v>73.8</v>
      </c>
      <c r="O300" s="2">
        <f t="shared" si="26"/>
        <v>0</v>
      </c>
      <c r="P300" s="2">
        <f t="shared" si="27"/>
        <v>47.242588058575748</v>
      </c>
      <c r="Q300" s="7">
        <f t="shared" si="19"/>
        <v>37.651207503530685</v>
      </c>
      <c r="R300" s="2" t="s">
        <v>134</v>
      </c>
      <c r="S300" s="2" t="s">
        <v>39</v>
      </c>
      <c r="T300" s="2" t="s">
        <v>29</v>
      </c>
    </row>
    <row r="301" spans="1:20" x14ac:dyDescent="0.3">
      <c r="A301" s="2" t="s">
        <v>128</v>
      </c>
      <c r="B301" s="2" t="s">
        <v>129</v>
      </c>
      <c r="C301" s="2">
        <v>83992949</v>
      </c>
      <c r="D301" s="2">
        <v>2020</v>
      </c>
      <c r="E301" s="2" t="s">
        <v>41</v>
      </c>
      <c r="F301" s="4">
        <v>6.4291110912179097E-5</v>
      </c>
      <c r="G301" s="2">
        <v>6</v>
      </c>
      <c r="H301" s="2">
        <f t="shared" si="24"/>
        <v>13900.320385746665</v>
      </c>
      <c r="I301" s="2">
        <v>54</v>
      </c>
      <c r="J301" s="2">
        <v>0.12</v>
      </c>
      <c r="K301" s="2">
        <v>4</v>
      </c>
      <c r="L301" s="2">
        <f t="shared" si="25"/>
        <v>25.919999999999998</v>
      </c>
      <c r="M301" s="2">
        <v>188</v>
      </c>
      <c r="N301" s="2">
        <v>73.8</v>
      </c>
      <c r="O301" s="2">
        <f t="shared" si="26"/>
        <v>13874.4</v>
      </c>
      <c r="P301" s="2">
        <f t="shared" si="27"/>
        <v>16.549389622867825</v>
      </c>
      <c r="Q301" s="7">
        <f t="shared" si="19"/>
        <v>15.252496401704352</v>
      </c>
      <c r="R301" s="2" t="s">
        <v>135</v>
      </c>
      <c r="S301" s="2" t="s">
        <v>40</v>
      </c>
      <c r="T301" s="2" t="s">
        <v>44</v>
      </c>
    </row>
    <row r="302" spans="1:20" x14ac:dyDescent="0.3">
      <c r="A302" s="2" t="s">
        <v>128</v>
      </c>
      <c r="B302" s="2" t="s">
        <v>129</v>
      </c>
      <c r="C302" s="2">
        <v>85028759</v>
      </c>
      <c r="D302" s="2">
        <v>2021</v>
      </c>
      <c r="E302" s="2" t="s">
        <v>22</v>
      </c>
      <c r="F302" s="4">
        <v>9.8790104651533297E-5</v>
      </c>
      <c r="G302" s="2">
        <v>9</v>
      </c>
      <c r="H302" s="2">
        <f t="shared" si="24"/>
        <v>3926.976889110942</v>
      </c>
      <c r="I302" s="2">
        <v>84</v>
      </c>
      <c r="J302" s="2">
        <v>0.13300000000000001</v>
      </c>
      <c r="K302" s="2">
        <v>8</v>
      </c>
      <c r="L302" s="2">
        <f t="shared" si="25"/>
        <v>89.376000000000005</v>
      </c>
      <c r="M302" s="2">
        <v>52</v>
      </c>
      <c r="N302" s="2">
        <v>73.8</v>
      </c>
      <c r="O302" s="2">
        <f t="shared" si="26"/>
        <v>3837.6</v>
      </c>
      <c r="P302" s="2">
        <f t="shared" si="27"/>
        <v>4.6184102123740773</v>
      </c>
      <c r="Q302" s="7">
        <f t="shared" si="19"/>
        <v>4.513384687887811</v>
      </c>
      <c r="R302" s="2" t="s">
        <v>130</v>
      </c>
      <c r="S302" s="2" t="s">
        <v>28</v>
      </c>
      <c r="T302" s="2" t="s">
        <v>62</v>
      </c>
    </row>
    <row r="303" spans="1:20" x14ac:dyDescent="0.3">
      <c r="A303" s="2" t="s">
        <v>128</v>
      </c>
      <c r="B303" s="2" t="s">
        <v>129</v>
      </c>
      <c r="C303" s="2">
        <v>85028759</v>
      </c>
      <c r="D303" s="2">
        <v>2021</v>
      </c>
      <c r="E303" s="2" t="s">
        <v>26</v>
      </c>
      <c r="F303" s="4">
        <v>4.4690761628074602E-4</v>
      </c>
      <c r="G303" s="2">
        <v>7</v>
      </c>
      <c r="H303" s="2">
        <f t="shared" si="24"/>
        <v>1041.243128353314</v>
      </c>
      <c r="I303" s="2">
        <v>380</v>
      </c>
      <c r="J303" s="2">
        <v>0.13300000000000001</v>
      </c>
      <c r="K303" s="2">
        <v>6</v>
      </c>
      <c r="L303" s="2">
        <f t="shared" si="25"/>
        <v>303.24</v>
      </c>
      <c r="M303" s="2">
        <v>10</v>
      </c>
      <c r="N303" s="2">
        <v>73.8</v>
      </c>
      <c r="O303" s="2">
        <f t="shared" si="26"/>
        <v>738</v>
      </c>
      <c r="P303" s="2">
        <f t="shared" si="27"/>
        <v>1.2245775906870686</v>
      </c>
      <c r="Q303" s="7">
        <f t="shared" si="19"/>
        <v>1.2171101519166783</v>
      </c>
      <c r="R303" s="2" t="s">
        <v>142</v>
      </c>
      <c r="S303" s="2" t="s">
        <v>28</v>
      </c>
      <c r="T303" s="2" t="s">
        <v>110</v>
      </c>
    </row>
    <row r="304" spans="1:20" x14ac:dyDescent="0.3">
      <c r="A304" s="2" t="s">
        <v>128</v>
      </c>
      <c r="B304" s="2" t="s">
        <v>129</v>
      </c>
      <c r="C304" s="2">
        <v>85028759</v>
      </c>
      <c r="D304" s="2">
        <v>2021</v>
      </c>
      <c r="E304" s="2" t="s">
        <v>30</v>
      </c>
      <c r="F304" s="4">
        <v>9.6437959302687198E-5</v>
      </c>
      <c r="G304" s="2">
        <v>7</v>
      </c>
      <c r="H304" s="2">
        <f t="shared" si="24"/>
        <v>2574.6366750657153</v>
      </c>
      <c r="I304" s="2">
        <v>82</v>
      </c>
      <c r="J304" s="2">
        <v>0.13300000000000001</v>
      </c>
      <c r="K304" s="2">
        <v>6</v>
      </c>
      <c r="L304" s="2">
        <f t="shared" si="25"/>
        <v>65.436000000000007</v>
      </c>
      <c r="M304" s="2">
        <v>34</v>
      </c>
      <c r="N304" s="2">
        <v>73.8</v>
      </c>
      <c r="O304" s="2">
        <f t="shared" si="26"/>
        <v>2509.1999999999998</v>
      </c>
      <c r="P304" s="2">
        <f t="shared" si="27"/>
        <v>3.0279598401121146</v>
      </c>
      <c r="Q304" s="7">
        <f t="shared" si="19"/>
        <v>2.9825763542163375</v>
      </c>
      <c r="R304" s="2" t="s">
        <v>132</v>
      </c>
      <c r="S304" s="2" t="s">
        <v>28</v>
      </c>
      <c r="T304" s="2" t="s">
        <v>29</v>
      </c>
    </row>
    <row r="305" spans="1:20" x14ac:dyDescent="0.3">
      <c r="A305" s="2" t="s">
        <v>128</v>
      </c>
      <c r="B305" s="2" t="s">
        <v>129</v>
      </c>
      <c r="C305" s="2">
        <v>85028759</v>
      </c>
      <c r="D305" s="2">
        <v>2021</v>
      </c>
      <c r="E305" s="2" t="s">
        <v>33</v>
      </c>
      <c r="F305" s="4">
        <v>5.6451488372304699E-5</v>
      </c>
      <c r="G305" s="2">
        <v>8</v>
      </c>
      <c r="H305" s="2">
        <f t="shared" si="24"/>
        <v>2111.0884516119072</v>
      </c>
      <c r="I305" s="2">
        <v>48</v>
      </c>
      <c r="J305" s="2">
        <v>0.13300000000000001</v>
      </c>
      <c r="K305" s="2">
        <v>7</v>
      </c>
      <c r="L305" s="2">
        <f t="shared" si="25"/>
        <v>44.688000000000002</v>
      </c>
      <c r="M305" s="2">
        <v>28</v>
      </c>
      <c r="N305" s="2">
        <v>73.8</v>
      </c>
      <c r="O305" s="2">
        <f t="shared" si="26"/>
        <v>2066.4</v>
      </c>
      <c r="P305" s="2">
        <f t="shared" si="27"/>
        <v>2.4827934412307573</v>
      </c>
      <c r="Q305" s="7">
        <f t="shared" si="19"/>
        <v>2.4522256259854935</v>
      </c>
      <c r="R305" s="2" t="s">
        <v>133</v>
      </c>
      <c r="S305" s="2" t="s">
        <v>35</v>
      </c>
      <c r="T305" s="2" t="s">
        <v>36</v>
      </c>
    </row>
    <row r="306" spans="1:20" x14ac:dyDescent="0.3">
      <c r="A306" s="2" t="s">
        <v>128</v>
      </c>
      <c r="B306" s="2" t="s">
        <v>129</v>
      </c>
      <c r="C306" s="2">
        <v>85028759</v>
      </c>
      <c r="D306" s="2">
        <v>2021</v>
      </c>
      <c r="E306" s="2" t="s">
        <v>37</v>
      </c>
      <c r="F306" s="4">
        <v>7.2916505814226901E-2</v>
      </c>
      <c r="G306" s="2">
        <v>6</v>
      </c>
      <c r="H306" s="2">
        <f t="shared" si="24"/>
        <v>39680.437499034888</v>
      </c>
      <c r="I306" s="2">
        <v>62000</v>
      </c>
      <c r="J306" s="2">
        <v>0.128</v>
      </c>
      <c r="K306" s="2">
        <v>5</v>
      </c>
      <c r="L306" s="2">
        <f t="shared" si="25"/>
        <v>39680</v>
      </c>
      <c r="M306" s="2">
        <v>0</v>
      </c>
      <c r="N306" s="2">
        <v>73.8</v>
      </c>
      <c r="O306" s="2">
        <f t="shared" si="26"/>
        <v>0</v>
      </c>
      <c r="P306" s="2">
        <f t="shared" si="27"/>
        <v>46.667078251765247</v>
      </c>
      <c r="Q306" s="7">
        <f t="shared" si="19"/>
        <v>37.291349572686215</v>
      </c>
      <c r="R306" s="2" t="s">
        <v>134</v>
      </c>
      <c r="S306" s="2" t="s">
        <v>39</v>
      </c>
      <c r="T306" s="2" t="s">
        <v>29</v>
      </c>
    </row>
    <row r="307" spans="1:20" x14ac:dyDescent="0.3">
      <c r="A307" s="2" t="s">
        <v>128</v>
      </c>
      <c r="B307" s="2" t="s">
        <v>129</v>
      </c>
      <c r="C307" s="2">
        <v>85028759</v>
      </c>
      <c r="D307" s="2">
        <v>2021</v>
      </c>
      <c r="E307" s="2" t="s">
        <v>41</v>
      </c>
      <c r="F307" s="4">
        <v>6.3507924418842798E-5</v>
      </c>
      <c r="G307" s="2">
        <v>6</v>
      </c>
      <c r="H307" s="2">
        <f t="shared" si="24"/>
        <v>13900.320381047546</v>
      </c>
      <c r="I307" s="2">
        <v>54</v>
      </c>
      <c r="J307" s="2">
        <v>0.12</v>
      </c>
      <c r="K307" s="2">
        <v>4</v>
      </c>
      <c r="L307" s="2">
        <f t="shared" si="25"/>
        <v>25.919999999999998</v>
      </c>
      <c r="M307" s="2">
        <v>188</v>
      </c>
      <c r="N307" s="2">
        <v>73.8</v>
      </c>
      <c r="O307" s="2">
        <f t="shared" si="26"/>
        <v>13874.4</v>
      </c>
      <c r="P307" s="2">
        <f t="shared" si="27"/>
        <v>16.347786965875329</v>
      </c>
      <c r="Q307" s="7">
        <f t="shared" si="19"/>
        <v>15.081470844607592</v>
      </c>
      <c r="R307" s="2" t="s">
        <v>135</v>
      </c>
      <c r="S307" s="2" t="s">
        <v>40</v>
      </c>
      <c r="T307" s="2" t="s">
        <v>44</v>
      </c>
    </row>
    <row r="308" spans="1:20" x14ac:dyDescent="0.3">
      <c r="A308" s="2" t="s">
        <v>128</v>
      </c>
      <c r="B308" s="2" t="s">
        <v>129</v>
      </c>
      <c r="C308" s="2">
        <v>86758304</v>
      </c>
      <c r="D308" s="2">
        <v>2022</v>
      </c>
      <c r="E308" s="2" t="s">
        <v>22</v>
      </c>
      <c r="F308" s="4">
        <v>9.6820703180181995E-5</v>
      </c>
      <c r="G308" s="2">
        <v>9</v>
      </c>
      <c r="H308" s="2">
        <f t="shared" si="24"/>
        <v>3926.9768713863286</v>
      </c>
      <c r="I308" s="2">
        <v>84</v>
      </c>
      <c r="J308" s="2">
        <v>0.13300000000000001</v>
      </c>
      <c r="K308" s="2">
        <v>8</v>
      </c>
      <c r="L308" s="2">
        <f t="shared" si="25"/>
        <v>89.376000000000005</v>
      </c>
      <c r="M308" s="2">
        <v>52</v>
      </c>
      <c r="N308" s="2">
        <v>73.8</v>
      </c>
      <c r="O308" s="2">
        <f t="shared" si="26"/>
        <v>3837.6</v>
      </c>
      <c r="P308" s="2">
        <f t="shared" si="27"/>
        <v>4.526341214999233</v>
      </c>
      <c r="Q308" s="7">
        <f t="shared" si="19"/>
        <v>4.425430635548711</v>
      </c>
      <c r="R308" s="2" t="s">
        <v>130</v>
      </c>
      <c r="S308" s="2" t="s">
        <v>28</v>
      </c>
      <c r="T308" s="2" t="s">
        <v>62</v>
      </c>
    </row>
    <row r="309" spans="1:20" x14ac:dyDescent="0.3">
      <c r="A309" s="2" t="s">
        <v>128</v>
      </c>
      <c r="B309" s="2" t="s">
        <v>129</v>
      </c>
      <c r="C309" s="2">
        <v>86758304</v>
      </c>
      <c r="D309" s="2">
        <v>2022</v>
      </c>
      <c r="E309" s="2" t="s">
        <v>26</v>
      </c>
      <c r="F309" s="4">
        <v>5.5556641586723497E-3</v>
      </c>
      <c r="G309" s="2">
        <v>7</v>
      </c>
      <c r="H309" s="2">
        <f t="shared" si="24"/>
        <v>44510.198889649109</v>
      </c>
      <c r="I309" s="2">
        <v>4820</v>
      </c>
      <c r="J309" s="2">
        <v>0.13300000000000001</v>
      </c>
      <c r="K309" s="2">
        <v>6</v>
      </c>
      <c r="L309" s="2">
        <f t="shared" si="25"/>
        <v>3846.3600000000006</v>
      </c>
      <c r="M309" s="2">
        <v>551</v>
      </c>
      <c r="N309" s="2">
        <v>73.8</v>
      </c>
      <c r="O309" s="2">
        <f t="shared" si="26"/>
        <v>40663.799999999996</v>
      </c>
      <c r="P309" s="2">
        <f t="shared" si="27"/>
        <v>51.303675656971237</v>
      </c>
      <c r="Q309" s="7">
        <f t="shared" si="19"/>
        <v>40.132521403019972</v>
      </c>
      <c r="R309" s="2" t="s">
        <v>143</v>
      </c>
      <c r="S309" s="2" t="s">
        <v>28</v>
      </c>
      <c r="T309" s="2" t="s">
        <v>62</v>
      </c>
    </row>
    <row r="310" spans="1:20" x14ac:dyDescent="0.3">
      <c r="A310" s="2" t="s">
        <v>128</v>
      </c>
      <c r="B310" s="2" t="s">
        <v>129</v>
      </c>
      <c r="C310" s="2">
        <v>86758304</v>
      </c>
      <c r="D310" s="2">
        <v>2022</v>
      </c>
      <c r="E310" s="2" t="s">
        <v>30</v>
      </c>
      <c r="F310" s="4">
        <v>9.4515448342558702E-5</v>
      </c>
      <c r="G310" s="2">
        <v>7</v>
      </c>
      <c r="H310" s="2">
        <f t="shared" si="24"/>
        <v>2574.6366616081382</v>
      </c>
      <c r="I310" s="2">
        <v>82</v>
      </c>
      <c r="J310" s="2">
        <v>0.13300000000000001</v>
      </c>
      <c r="K310" s="2">
        <v>6</v>
      </c>
      <c r="L310" s="2">
        <f t="shared" si="25"/>
        <v>65.436000000000007</v>
      </c>
      <c r="M310" s="2">
        <v>34</v>
      </c>
      <c r="N310" s="2">
        <v>73.8</v>
      </c>
      <c r="O310" s="2">
        <f t="shared" si="26"/>
        <v>2509.1999999999998</v>
      </c>
      <c r="P310" s="2">
        <f t="shared" si="27"/>
        <v>2.9675968096473375</v>
      </c>
      <c r="Q310" s="7">
        <f t="shared" si="19"/>
        <v>2.923996018570707</v>
      </c>
      <c r="R310" s="2" t="s">
        <v>132</v>
      </c>
      <c r="S310" s="2" t="s">
        <v>28</v>
      </c>
      <c r="T310" s="2" t="s">
        <v>29</v>
      </c>
    </row>
    <row r="311" spans="1:20" x14ac:dyDescent="0.3">
      <c r="A311" s="2" t="s">
        <v>128</v>
      </c>
      <c r="B311" s="2" t="s">
        <v>129</v>
      </c>
      <c r="C311" s="2">
        <v>86758304</v>
      </c>
      <c r="D311" s="2">
        <v>2022</v>
      </c>
      <c r="E311" s="2" t="s">
        <v>33</v>
      </c>
      <c r="F311" s="4">
        <v>5.5326116102961201E-5</v>
      </c>
      <c r="G311" s="2">
        <v>8</v>
      </c>
      <c r="H311" s="2">
        <f t="shared" si="24"/>
        <v>2111.0884426089292</v>
      </c>
      <c r="I311" s="2">
        <v>48</v>
      </c>
      <c r="J311" s="2">
        <v>0.13300000000000001</v>
      </c>
      <c r="K311" s="2">
        <v>7</v>
      </c>
      <c r="L311" s="2">
        <f t="shared" si="25"/>
        <v>44.688000000000002</v>
      </c>
      <c r="M311" s="2">
        <v>28</v>
      </c>
      <c r="N311" s="2">
        <v>73.8</v>
      </c>
      <c r="O311" s="2">
        <f t="shared" si="26"/>
        <v>2066.4</v>
      </c>
      <c r="P311" s="2">
        <f t="shared" si="27"/>
        <v>2.4332984224875225</v>
      </c>
      <c r="Q311" s="7">
        <f t="shared" si="19"/>
        <v>2.4039323863873641</v>
      </c>
      <c r="R311" s="2" t="s">
        <v>133</v>
      </c>
      <c r="S311" s="2" t="s">
        <v>35</v>
      </c>
      <c r="T311" s="2" t="s">
        <v>36</v>
      </c>
    </row>
    <row r="312" spans="1:20" x14ac:dyDescent="0.3">
      <c r="A312" s="2" t="s">
        <v>128</v>
      </c>
      <c r="B312" s="2" t="s">
        <v>129</v>
      </c>
      <c r="C312" s="2">
        <v>86758304</v>
      </c>
      <c r="D312" s="2">
        <v>2022</v>
      </c>
      <c r="E312" s="2" t="s">
        <v>37</v>
      </c>
      <c r="F312" s="4">
        <v>7.1462899966324794E-2</v>
      </c>
      <c r="G312" s="2">
        <v>6</v>
      </c>
      <c r="H312" s="2">
        <f t="shared" si="24"/>
        <v>39680.4287773998</v>
      </c>
      <c r="I312" s="2">
        <v>62000</v>
      </c>
      <c r="J312" s="2">
        <v>0.128</v>
      </c>
      <c r="K312" s="2">
        <v>5</v>
      </c>
      <c r="L312" s="2">
        <f t="shared" si="25"/>
        <v>39680</v>
      </c>
      <c r="M312" s="2">
        <v>0</v>
      </c>
      <c r="N312" s="2">
        <v>73.8</v>
      </c>
      <c r="O312" s="2">
        <f t="shared" si="26"/>
        <v>0</v>
      </c>
      <c r="P312" s="2">
        <f t="shared" si="27"/>
        <v>45.736750199035477</v>
      </c>
      <c r="Q312" s="7">
        <f t="shared" si="19"/>
        <v>36.705231221975986</v>
      </c>
      <c r="R312" s="2" t="s">
        <v>134</v>
      </c>
      <c r="S312" s="2" t="s">
        <v>39</v>
      </c>
      <c r="T312" s="2" t="s">
        <v>29</v>
      </c>
    </row>
    <row r="313" spans="1:20" x14ac:dyDescent="0.3">
      <c r="A313" s="2" t="s">
        <v>128</v>
      </c>
      <c r="B313" s="2" t="s">
        <v>129</v>
      </c>
      <c r="C313" s="2">
        <v>86758304</v>
      </c>
      <c r="D313" s="2">
        <v>2022</v>
      </c>
      <c r="E313" s="2" t="s">
        <v>41</v>
      </c>
      <c r="F313" s="4">
        <v>6.2241880615831303E-5</v>
      </c>
      <c r="G313" s="2">
        <v>6</v>
      </c>
      <c r="H313" s="2">
        <f t="shared" si="24"/>
        <v>13900.320373451283</v>
      </c>
      <c r="I313" s="2">
        <v>54</v>
      </c>
      <c r="J313" s="2">
        <v>0.12</v>
      </c>
      <c r="K313" s="2">
        <v>4</v>
      </c>
      <c r="L313" s="2">
        <f t="shared" si="25"/>
        <v>25.919999999999998</v>
      </c>
      <c r="M313" s="2">
        <v>188</v>
      </c>
      <c r="N313" s="2">
        <v>73.8</v>
      </c>
      <c r="O313" s="2">
        <f t="shared" si="26"/>
        <v>13874.4</v>
      </c>
      <c r="P313" s="2">
        <f t="shared" si="27"/>
        <v>16.021890392706712</v>
      </c>
      <c r="Q313" s="7">
        <f t="shared" si="19"/>
        <v>14.804272824019993</v>
      </c>
      <c r="R313" s="2" t="s">
        <v>135</v>
      </c>
      <c r="S313" s="2" t="s">
        <v>40</v>
      </c>
      <c r="T313" s="2" t="s">
        <v>44</v>
      </c>
    </row>
    <row r="314" spans="1:20" x14ac:dyDescent="0.3">
      <c r="A314" s="2" t="s">
        <v>128</v>
      </c>
      <c r="B314" s="2" t="s">
        <v>129</v>
      </c>
      <c r="C314" s="2">
        <v>87923432</v>
      </c>
      <c r="D314" s="2">
        <v>2023</v>
      </c>
      <c r="E314" s="2" t="s">
        <v>22</v>
      </c>
      <c r="F314" s="4">
        <v>9.5537671914353804E-5</v>
      </c>
      <c r="G314" s="2">
        <v>9</v>
      </c>
      <c r="H314" s="2">
        <f t="shared" si="24"/>
        <v>3926.9768598390474</v>
      </c>
      <c r="I314" s="2">
        <v>84</v>
      </c>
      <c r="J314" s="2">
        <v>0.13300000000000001</v>
      </c>
      <c r="K314" s="2">
        <v>8</v>
      </c>
      <c r="L314" s="2">
        <f t="shared" si="25"/>
        <v>89.376000000000005</v>
      </c>
      <c r="M314" s="2">
        <v>52</v>
      </c>
      <c r="N314" s="2">
        <v>73.8</v>
      </c>
      <c r="O314" s="2">
        <f t="shared" si="26"/>
        <v>3837.6</v>
      </c>
      <c r="P314" s="2">
        <f t="shared" si="27"/>
        <v>4.4663598434590766</v>
      </c>
      <c r="Q314" s="7">
        <f t="shared" si="19"/>
        <v>4.3680865018206116</v>
      </c>
      <c r="R314" s="2" t="s">
        <v>130</v>
      </c>
      <c r="S314" s="2" t="s">
        <v>28</v>
      </c>
      <c r="T314" s="2" t="s">
        <v>62</v>
      </c>
    </row>
    <row r="315" spans="1:20" x14ac:dyDescent="0.3">
      <c r="A315" s="2" t="s">
        <v>128</v>
      </c>
      <c r="B315" s="2" t="s">
        <v>129</v>
      </c>
      <c r="C315" s="2">
        <v>87923432</v>
      </c>
      <c r="D315" s="2">
        <v>2023</v>
      </c>
      <c r="E315" s="2" t="s">
        <v>26</v>
      </c>
      <c r="F315" s="4">
        <v>1.4103180139738E-3</v>
      </c>
      <c r="G315" s="2">
        <v>7</v>
      </c>
      <c r="H315" s="2">
        <f t="shared" si="24"/>
        <v>7041.1298722260981</v>
      </c>
      <c r="I315" s="2">
        <v>1240</v>
      </c>
      <c r="J315" s="2">
        <v>0.13300000000000001</v>
      </c>
      <c r="K315" s="2">
        <v>6</v>
      </c>
      <c r="L315" s="2">
        <f t="shared" si="25"/>
        <v>989.5200000000001</v>
      </c>
      <c r="M315" s="2">
        <v>82</v>
      </c>
      <c r="N315" s="2">
        <v>73.8</v>
      </c>
      <c r="O315" s="2">
        <f t="shared" si="26"/>
        <v>6051.5999999999995</v>
      </c>
      <c r="P315" s="2">
        <f t="shared" si="27"/>
        <v>8.0082518528463478</v>
      </c>
      <c r="Q315" s="7">
        <f t="shared" si="19"/>
        <v>7.6959824673063508</v>
      </c>
      <c r="R315" s="2" t="s">
        <v>144</v>
      </c>
      <c r="S315" s="2" t="s">
        <v>28</v>
      </c>
      <c r="T315" s="2" t="s">
        <v>110</v>
      </c>
    </row>
    <row r="316" spans="1:20" x14ac:dyDescent="0.3">
      <c r="A316" s="2" t="s">
        <v>128</v>
      </c>
      <c r="B316" s="2" t="s">
        <v>129</v>
      </c>
      <c r="C316" s="2">
        <v>87923432</v>
      </c>
      <c r="D316" s="2">
        <v>2023</v>
      </c>
      <c r="E316" s="2" t="s">
        <v>30</v>
      </c>
      <c r="F316" s="4">
        <v>9.3262965440202598E-5</v>
      </c>
      <c r="G316" s="2">
        <v>7</v>
      </c>
      <c r="H316" s="2">
        <f t="shared" si="24"/>
        <v>2574.636652840758</v>
      </c>
      <c r="I316" s="2">
        <v>82</v>
      </c>
      <c r="J316" s="2">
        <v>0.13300000000000001</v>
      </c>
      <c r="K316" s="2">
        <v>6</v>
      </c>
      <c r="L316" s="2">
        <f t="shared" si="25"/>
        <v>65.436000000000007</v>
      </c>
      <c r="M316" s="2">
        <v>34</v>
      </c>
      <c r="N316" s="2">
        <v>73.8</v>
      </c>
      <c r="O316" s="2">
        <f t="shared" si="26"/>
        <v>2509.1999999999998</v>
      </c>
      <c r="P316" s="2">
        <f t="shared" si="27"/>
        <v>2.9282713314020294</v>
      </c>
      <c r="Q316" s="7">
        <f t="shared" si="19"/>
        <v>2.8858129083903172</v>
      </c>
      <c r="R316" s="2" t="s">
        <v>132</v>
      </c>
      <c r="S316" s="2" t="s">
        <v>28</v>
      </c>
      <c r="T316" s="2" t="s">
        <v>29</v>
      </c>
    </row>
    <row r="317" spans="1:20" x14ac:dyDescent="0.3">
      <c r="A317" s="2" t="s">
        <v>128</v>
      </c>
      <c r="B317" s="2" t="s">
        <v>129</v>
      </c>
      <c r="C317" s="2">
        <v>87923432</v>
      </c>
      <c r="D317" s="2">
        <v>2023</v>
      </c>
      <c r="E317" s="2" t="s">
        <v>33</v>
      </c>
      <c r="F317" s="4">
        <v>5.4592955379630803E-5</v>
      </c>
      <c r="G317" s="2">
        <v>8</v>
      </c>
      <c r="H317" s="2">
        <f t="shared" si="24"/>
        <v>2111.0884367436433</v>
      </c>
      <c r="I317" s="2">
        <v>48</v>
      </c>
      <c r="J317" s="2">
        <v>0.13300000000000001</v>
      </c>
      <c r="K317" s="2">
        <v>7</v>
      </c>
      <c r="L317" s="2">
        <f t="shared" si="25"/>
        <v>44.688000000000002</v>
      </c>
      <c r="M317" s="2">
        <v>28</v>
      </c>
      <c r="N317" s="2">
        <v>73.8</v>
      </c>
      <c r="O317" s="2">
        <f t="shared" si="26"/>
        <v>2066.4</v>
      </c>
      <c r="P317" s="2">
        <f t="shared" si="27"/>
        <v>2.4010532672833373</v>
      </c>
      <c r="Q317" s="7">
        <f t="shared" si="19"/>
        <v>2.3724573085910472</v>
      </c>
      <c r="R317" s="2" t="s">
        <v>133</v>
      </c>
      <c r="S317" s="2" t="s">
        <v>35</v>
      </c>
      <c r="T317" s="2" t="s">
        <v>36</v>
      </c>
    </row>
    <row r="318" spans="1:20" x14ac:dyDescent="0.3">
      <c r="A318" s="2" t="s">
        <v>128</v>
      </c>
      <c r="B318" s="2" t="s">
        <v>129</v>
      </c>
      <c r="C318" s="2">
        <v>87923432</v>
      </c>
      <c r="D318" s="2">
        <v>2023</v>
      </c>
      <c r="E318" s="2" t="s">
        <v>37</v>
      </c>
      <c r="F318" s="4">
        <v>7.0515900698689696E-2</v>
      </c>
      <c r="G318" s="2">
        <v>6</v>
      </c>
      <c r="H318" s="2">
        <f t="shared" si="24"/>
        <v>39680.423095404192</v>
      </c>
      <c r="I318" s="2">
        <v>62000</v>
      </c>
      <c r="J318" s="2">
        <v>0.128</v>
      </c>
      <c r="K318" s="2">
        <v>5</v>
      </c>
      <c r="L318" s="2">
        <f t="shared" si="25"/>
        <v>39680</v>
      </c>
      <c r="M318" s="2">
        <v>0</v>
      </c>
      <c r="N318" s="2">
        <v>73.8</v>
      </c>
      <c r="O318" s="2">
        <f t="shared" si="26"/>
        <v>0</v>
      </c>
      <c r="P318" s="2">
        <f t="shared" si="27"/>
        <v>45.130657656088985</v>
      </c>
      <c r="Q318" s="7">
        <f t="shared" si="19"/>
        <v>36.320441435166373</v>
      </c>
      <c r="R318" s="2" t="s">
        <v>134</v>
      </c>
      <c r="S318" s="2" t="s">
        <v>39</v>
      </c>
      <c r="T318" s="2" t="s">
        <v>29</v>
      </c>
    </row>
    <row r="319" spans="1:20" x14ac:dyDescent="0.3">
      <c r="A319" s="2" t="s">
        <v>128</v>
      </c>
      <c r="B319" s="2" t="s">
        <v>129</v>
      </c>
      <c r="C319" s="2">
        <v>87923432</v>
      </c>
      <c r="D319" s="2">
        <v>2023</v>
      </c>
      <c r="E319" s="2" t="s">
        <v>41</v>
      </c>
      <c r="F319" s="4">
        <v>6.1417074802084596E-5</v>
      </c>
      <c r="G319" s="2">
        <v>6</v>
      </c>
      <c r="H319" s="2">
        <f t="shared" si="24"/>
        <v>13900.320368502449</v>
      </c>
      <c r="I319" s="2">
        <v>54</v>
      </c>
      <c r="J319" s="2">
        <v>0.12</v>
      </c>
      <c r="K319" s="2">
        <v>4</v>
      </c>
      <c r="L319" s="2">
        <f t="shared" si="25"/>
        <v>25.919999999999998</v>
      </c>
      <c r="M319" s="2">
        <v>188</v>
      </c>
      <c r="N319" s="2">
        <v>73.8</v>
      </c>
      <c r="O319" s="2">
        <f t="shared" si="26"/>
        <v>13874.4</v>
      </c>
      <c r="P319" s="2">
        <f t="shared" si="27"/>
        <v>15.809574367504727</v>
      </c>
      <c r="Q319" s="7">
        <f t="shared" si="19"/>
        <v>14.623196483415013</v>
      </c>
      <c r="R319" s="2" t="s">
        <v>135</v>
      </c>
      <c r="S319" s="2" t="s">
        <v>40</v>
      </c>
      <c r="T319" s="2" t="s">
        <v>44</v>
      </c>
    </row>
    <row r="320" spans="1:20" x14ac:dyDescent="0.3">
      <c r="A320" s="2" t="s">
        <v>128</v>
      </c>
      <c r="B320" s="2" t="s">
        <v>129</v>
      </c>
      <c r="C320" s="2">
        <v>89172767</v>
      </c>
      <c r="D320" s="2">
        <v>2024</v>
      </c>
      <c r="E320" s="2" t="s">
        <v>22</v>
      </c>
      <c r="F320" s="4">
        <v>9.4199162845311302E-5</v>
      </c>
      <c r="G320" s="2">
        <v>9</v>
      </c>
      <c r="H320" s="2">
        <f t="shared" si="24"/>
        <v>3926.9768477924658</v>
      </c>
      <c r="I320" s="2">
        <v>84</v>
      </c>
      <c r="J320" s="2">
        <v>0.13300000000000001</v>
      </c>
      <c r="K320" s="2">
        <v>8</v>
      </c>
      <c r="L320" s="2">
        <f t="shared" si="25"/>
        <v>89.376000000000005</v>
      </c>
      <c r="M320" s="2">
        <v>52</v>
      </c>
      <c r="N320" s="2">
        <v>73.8</v>
      </c>
      <c r="O320" s="2">
        <f t="shared" si="26"/>
        <v>3837.6</v>
      </c>
      <c r="P320" s="2">
        <f t="shared" si="27"/>
        <v>4.4037848997020204</v>
      </c>
      <c r="Q320" s="7">
        <f t="shared" si="19"/>
        <v>4.3082261589006299</v>
      </c>
      <c r="R320" s="2" t="s">
        <v>130</v>
      </c>
      <c r="S320" s="2" t="s">
        <v>28</v>
      </c>
      <c r="T320" s="2" t="s">
        <v>62</v>
      </c>
    </row>
    <row r="321" spans="1:20" x14ac:dyDescent="0.3">
      <c r="A321" s="2" t="s">
        <v>128</v>
      </c>
      <c r="B321" s="2" t="s">
        <v>129</v>
      </c>
      <c r="C321" s="2">
        <v>89172767</v>
      </c>
      <c r="D321" s="2">
        <v>2024</v>
      </c>
      <c r="E321" s="2" t="s">
        <v>26</v>
      </c>
      <c r="F321" s="4">
        <v>9.9806255871817901E-4</v>
      </c>
      <c r="G321" s="2">
        <v>7</v>
      </c>
      <c r="H321" s="2">
        <f t="shared" si="24"/>
        <v>3957.4269864379112</v>
      </c>
      <c r="I321" s="2">
        <v>890</v>
      </c>
      <c r="J321" s="2">
        <v>0.13300000000000001</v>
      </c>
      <c r="K321" s="2">
        <v>6</v>
      </c>
      <c r="L321" s="2">
        <f t="shared" si="25"/>
        <v>710.22</v>
      </c>
      <c r="M321" s="2">
        <v>44</v>
      </c>
      <c r="N321" s="2">
        <v>73.8</v>
      </c>
      <c r="O321" s="2">
        <f t="shared" si="26"/>
        <v>3247.2</v>
      </c>
      <c r="P321" s="2">
        <f t="shared" si="27"/>
        <v>4.4379322517130273</v>
      </c>
      <c r="Q321" s="7">
        <f t="shared" si="19"/>
        <v>4.3408967873650113</v>
      </c>
      <c r="R321" s="2" t="s">
        <v>145</v>
      </c>
      <c r="S321" s="2" t="s">
        <v>28</v>
      </c>
      <c r="T321" s="2" t="s">
        <v>110</v>
      </c>
    </row>
    <row r="322" spans="1:20" x14ac:dyDescent="0.3">
      <c r="A322" s="2" t="s">
        <v>128</v>
      </c>
      <c r="B322" s="2" t="s">
        <v>129</v>
      </c>
      <c r="C322" s="2">
        <v>89172767</v>
      </c>
      <c r="D322" s="2">
        <v>2024</v>
      </c>
      <c r="E322" s="2" t="s">
        <v>30</v>
      </c>
      <c r="F322" s="4">
        <v>9.1956325634708595E-5</v>
      </c>
      <c r="G322" s="2">
        <v>7</v>
      </c>
      <c r="H322" s="2">
        <f t="shared" si="24"/>
        <v>2574.6366436942794</v>
      </c>
      <c r="I322" s="2">
        <v>82</v>
      </c>
      <c r="J322" s="2">
        <v>0.13300000000000001</v>
      </c>
      <c r="K322" s="2">
        <v>6</v>
      </c>
      <c r="L322" s="2">
        <f t="shared" si="25"/>
        <v>65.436000000000007</v>
      </c>
      <c r="M322" s="2">
        <v>34</v>
      </c>
      <c r="N322" s="2">
        <v>73.8</v>
      </c>
      <c r="O322" s="2">
        <f t="shared" si="26"/>
        <v>2509.1999999999998</v>
      </c>
      <c r="P322" s="2">
        <f t="shared" si="27"/>
        <v>2.8872454341293228</v>
      </c>
      <c r="Q322" s="7">
        <f t="shared" ref="Q322:Q385" si="28">100*(1-EXP(-P322/100))</f>
        <v>2.8459627678769639</v>
      </c>
      <c r="R322" s="2" t="s">
        <v>132</v>
      </c>
      <c r="S322" s="2" t="s">
        <v>28</v>
      </c>
      <c r="T322" s="2" t="s">
        <v>29</v>
      </c>
    </row>
    <row r="323" spans="1:20" x14ac:dyDescent="0.3">
      <c r="A323" s="2" t="s">
        <v>128</v>
      </c>
      <c r="B323" s="2" t="s">
        <v>129</v>
      </c>
      <c r="C323" s="2">
        <v>89172767</v>
      </c>
      <c r="D323" s="2">
        <v>2024</v>
      </c>
      <c r="E323" s="2" t="s">
        <v>33</v>
      </c>
      <c r="F323" s="4">
        <v>5.3828093054463603E-5</v>
      </c>
      <c r="G323" s="2">
        <v>8</v>
      </c>
      <c r="H323" s="2">
        <f t="shared" si="24"/>
        <v>2111.0884306247444</v>
      </c>
      <c r="I323" s="2">
        <v>48</v>
      </c>
      <c r="J323" s="2">
        <v>0.13300000000000001</v>
      </c>
      <c r="K323" s="2">
        <v>7</v>
      </c>
      <c r="L323" s="2">
        <f t="shared" si="25"/>
        <v>44.688000000000002</v>
      </c>
      <c r="M323" s="2">
        <v>28</v>
      </c>
      <c r="N323" s="2">
        <v>73.8</v>
      </c>
      <c r="O323" s="2">
        <f t="shared" si="26"/>
        <v>2066.4</v>
      </c>
      <c r="P323" s="2">
        <f t="shared" si="27"/>
        <v>2.3674138435389636</v>
      </c>
      <c r="Q323" s="7">
        <f t="shared" si="28"/>
        <v>2.3396104413751839</v>
      </c>
      <c r="R323" s="2" t="s">
        <v>133</v>
      </c>
      <c r="S323" s="2" t="s">
        <v>35</v>
      </c>
      <c r="T323" s="2" t="s">
        <v>36</v>
      </c>
    </row>
    <row r="324" spans="1:20" x14ac:dyDescent="0.3">
      <c r="A324" s="2" t="s">
        <v>128</v>
      </c>
      <c r="B324" s="2" t="s">
        <v>129</v>
      </c>
      <c r="C324" s="2">
        <v>89172767</v>
      </c>
      <c r="D324" s="2">
        <v>2024</v>
      </c>
      <c r="E324" s="2" t="s">
        <v>37</v>
      </c>
      <c r="F324" s="4">
        <v>6.9527953528682102E-2</v>
      </c>
      <c r="G324" s="2">
        <v>6</v>
      </c>
      <c r="H324" s="2">
        <f t="shared" si="24"/>
        <v>39680.417167721171</v>
      </c>
      <c r="I324" s="2">
        <v>62000</v>
      </c>
      <c r="J324" s="2">
        <v>0.128</v>
      </c>
      <c r="K324" s="2">
        <v>5</v>
      </c>
      <c r="L324" s="2">
        <f t="shared" si="25"/>
        <v>39680</v>
      </c>
      <c r="M324" s="2">
        <v>0</v>
      </c>
      <c r="N324" s="2">
        <v>73.8</v>
      </c>
      <c r="O324" s="2">
        <f t="shared" si="26"/>
        <v>0</v>
      </c>
      <c r="P324" s="2">
        <f t="shared" si="27"/>
        <v>44.498358078000621</v>
      </c>
      <c r="Q324" s="7">
        <f t="shared" si="28"/>
        <v>35.916520204653501</v>
      </c>
      <c r="R324" s="2" t="s">
        <v>134</v>
      </c>
      <c r="S324" s="2" t="s">
        <v>39</v>
      </c>
      <c r="T324" s="2" t="s">
        <v>29</v>
      </c>
    </row>
    <row r="325" spans="1:20" x14ac:dyDescent="0.3">
      <c r="A325" s="2" t="s">
        <v>128</v>
      </c>
      <c r="B325" s="2" t="s">
        <v>129</v>
      </c>
      <c r="C325" s="2">
        <v>89172767</v>
      </c>
      <c r="D325" s="2">
        <v>2024</v>
      </c>
      <c r="E325" s="2" t="s">
        <v>41</v>
      </c>
      <c r="F325" s="4">
        <v>6.0556604686271501E-5</v>
      </c>
      <c r="G325" s="2">
        <v>6</v>
      </c>
      <c r="H325" s="2">
        <f t="shared" ref="H325:H356" si="29">L325+O325+G325*F325</f>
        <v>13900.320363339628</v>
      </c>
      <c r="I325" s="2">
        <v>54</v>
      </c>
      <c r="J325" s="2">
        <v>0.12</v>
      </c>
      <c r="K325" s="2">
        <v>4</v>
      </c>
      <c r="L325" s="2">
        <f t="shared" ref="L325:L356" si="30">I325*J325*K325</f>
        <v>25.919999999999998</v>
      </c>
      <c r="M325" s="2">
        <v>188</v>
      </c>
      <c r="N325" s="2">
        <v>73.8</v>
      </c>
      <c r="O325" s="2">
        <f t="shared" ref="O325:O356" si="31">M325*N325</f>
        <v>13874.4</v>
      </c>
      <c r="P325" s="2">
        <f t="shared" ref="P325:P331" si="32">H325/C325*100000</f>
        <v>15.588077875097929</v>
      </c>
      <c r="Q325" s="7">
        <f t="shared" si="28"/>
        <v>14.433880271311917</v>
      </c>
      <c r="R325" s="2" t="s">
        <v>135</v>
      </c>
      <c r="S325" s="2" t="s">
        <v>40</v>
      </c>
      <c r="T325" s="2" t="s">
        <v>44</v>
      </c>
    </row>
    <row r="326" spans="1:20" x14ac:dyDescent="0.3">
      <c r="A326" s="2" t="s">
        <v>128</v>
      </c>
      <c r="B326" s="2" t="s">
        <v>129</v>
      </c>
      <c r="C326" s="2">
        <v>90486988</v>
      </c>
      <c r="D326" s="2">
        <v>2025</v>
      </c>
      <c r="E326" s="2" t="s">
        <v>22</v>
      </c>
      <c r="F326" s="4">
        <v>9.28310267107134E-5</v>
      </c>
      <c r="G326" s="2">
        <v>9</v>
      </c>
      <c r="H326" s="2">
        <f t="shared" si="29"/>
        <v>3926.9768354792404</v>
      </c>
      <c r="I326" s="2">
        <v>84</v>
      </c>
      <c r="J326" s="2">
        <v>0.13300000000000001</v>
      </c>
      <c r="K326" s="2">
        <v>8</v>
      </c>
      <c r="L326" s="2">
        <f t="shared" si="30"/>
        <v>89.376000000000005</v>
      </c>
      <c r="M326" s="2">
        <v>52</v>
      </c>
      <c r="N326" s="2">
        <v>73.8</v>
      </c>
      <c r="O326" s="2">
        <f t="shared" si="31"/>
        <v>3837.6</v>
      </c>
      <c r="P326" s="2">
        <f t="shared" si="32"/>
        <v>4.3398248988895958</v>
      </c>
      <c r="Q326" s="7">
        <f t="shared" si="28"/>
        <v>4.2470021222144272</v>
      </c>
      <c r="R326" s="2" t="s">
        <v>130</v>
      </c>
      <c r="S326" s="2" t="s">
        <v>28</v>
      </c>
      <c r="T326" s="2" t="s">
        <v>62</v>
      </c>
    </row>
    <row r="327" spans="1:20" x14ac:dyDescent="0.3">
      <c r="A327" s="2" t="s">
        <v>128</v>
      </c>
      <c r="B327" s="2" t="s">
        <v>129</v>
      </c>
      <c r="C327" s="2">
        <v>90486988</v>
      </c>
      <c r="D327" s="2">
        <v>2025</v>
      </c>
      <c r="E327" s="2" t="s">
        <v>26</v>
      </c>
      <c r="F327" s="4">
        <v>8.3989976547788297E-4</v>
      </c>
      <c r="G327" s="2">
        <v>7</v>
      </c>
      <c r="H327" s="2">
        <f t="shared" si="29"/>
        <v>3410.8858792983583</v>
      </c>
      <c r="I327" s="2">
        <v>760</v>
      </c>
      <c r="J327" s="2">
        <v>0.13300000000000001</v>
      </c>
      <c r="K327" s="2">
        <v>6</v>
      </c>
      <c r="L327" s="2">
        <f t="shared" si="30"/>
        <v>606.48</v>
      </c>
      <c r="M327" s="2">
        <v>38</v>
      </c>
      <c r="N327" s="2">
        <v>73.8</v>
      </c>
      <c r="O327" s="2">
        <f t="shared" si="31"/>
        <v>2804.4</v>
      </c>
      <c r="P327" s="2">
        <f t="shared" si="32"/>
        <v>3.7694766448612018</v>
      </c>
      <c r="Q327" s="7">
        <f t="shared" si="28"/>
        <v>3.6993161967532773</v>
      </c>
      <c r="R327" s="2" t="s">
        <v>146</v>
      </c>
      <c r="S327" s="2" t="s">
        <v>28</v>
      </c>
      <c r="T327" s="2" t="s">
        <v>110</v>
      </c>
    </row>
    <row r="328" spans="1:20" x14ac:dyDescent="0.3">
      <c r="A328" s="2" t="s">
        <v>128</v>
      </c>
      <c r="B328" s="2" t="s">
        <v>129</v>
      </c>
      <c r="C328" s="2">
        <v>90486988</v>
      </c>
      <c r="D328" s="2">
        <v>2025</v>
      </c>
      <c r="E328" s="2" t="s">
        <v>30</v>
      </c>
      <c r="F328" s="4">
        <v>9.0620764169982104E-5</v>
      </c>
      <c r="G328" s="2">
        <v>7</v>
      </c>
      <c r="H328" s="2">
        <f t="shared" si="29"/>
        <v>2574.6366343453492</v>
      </c>
      <c r="I328" s="2">
        <v>82</v>
      </c>
      <c r="J328" s="2">
        <v>0.13300000000000001</v>
      </c>
      <c r="K328" s="2">
        <v>6</v>
      </c>
      <c r="L328" s="2">
        <f t="shared" si="30"/>
        <v>65.436000000000007</v>
      </c>
      <c r="M328" s="2">
        <v>34</v>
      </c>
      <c r="N328" s="2">
        <v>73.8</v>
      </c>
      <c r="O328" s="2">
        <f t="shared" si="31"/>
        <v>2509.1999999999998</v>
      </c>
      <c r="P328" s="2">
        <f t="shared" si="32"/>
        <v>2.8453114544439795</v>
      </c>
      <c r="Q328" s="7">
        <f t="shared" si="28"/>
        <v>2.8052136703785591</v>
      </c>
      <c r="R328" s="2" t="s">
        <v>132</v>
      </c>
      <c r="S328" s="2" t="s">
        <v>28</v>
      </c>
      <c r="T328" s="2" t="s">
        <v>29</v>
      </c>
    </row>
    <row r="329" spans="1:20" x14ac:dyDescent="0.3">
      <c r="A329" s="2" t="s">
        <v>128</v>
      </c>
      <c r="B329" s="2" t="s">
        <v>129</v>
      </c>
      <c r="C329" s="2">
        <v>90486988</v>
      </c>
      <c r="D329" s="2">
        <v>2025</v>
      </c>
      <c r="E329" s="2" t="s">
        <v>33</v>
      </c>
      <c r="F329" s="4">
        <v>5.30463009775505E-5</v>
      </c>
      <c r="G329" s="2">
        <v>8</v>
      </c>
      <c r="H329" s="2">
        <f t="shared" si="29"/>
        <v>2111.0884243704081</v>
      </c>
      <c r="I329" s="2">
        <v>48</v>
      </c>
      <c r="J329" s="2">
        <v>0.13300000000000001</v>
      </c>
      <c r="K329" s="2">
        <v>7</v>
      </c>
      <c r="L329" s="2">
        <f t="shared" si="30"/>
        <v>44.688000000000002</v>
      </c>
      <c r="M329" s="2">
        <v>28</v>
      </c>
      <c r="N329" s="2">
        <v>73.8</v>
      </c>
      <c r="O329" s="2">
        <f t="shared" si="31"/>
        <v>2066.4</v>
      </c>
      <c r="P329" s="2">
        <f t="shared" si="32"/>
        <v>2.3330298322786569</v>
      </c>
      <c r="Q329" s="7">
        <f t="shared" si="28"/>
        <v>2.3060251083710348</v>
      </c>
      <c r="R329" s="2" t="s">
        <v>133</v>
      </c>
      <c r="S329" s="2" t="s">
        <v>35</v>
      </c>
      <c r="T329" s="2" t="s">
        <v>36</v>
      </c>
    </row>
    <row r="330" spans="1:20" x14ac:dyDescent="0.3">
      <c r="A330" s="2" t="s">
        <v>128</v>
      </c>
      <c r="B330" s="2" t="s">
        <v>129</v>
      </c>
      <c r="C330" s="2">
        <v>90486988</v>
      </c>
      <c r="D330" s="2">
        <v>2025</v>
      </c>
      <c r="E330" s="2" t="s">
        <v>37</v>
      </c>
      <c r="F330" s="4">
        <v>6.8518138762669406E-2</v>
      </c>
      <c r="G330" s="2">
        <v>6</v>
      </c>
      <c r="H330" s="2">
        <f t="shared" si="29"/>
        <v>39680.411108832574</v>
      </c>
      <c r="I330" s="2">
        <v>62000</v>
      </c>
      <c r="J330" s="2">
        <v>0.128</v>
      </c>
      <c r="K330" s="2">
        <v>5</v>
      </c>
      <c r="L330" s="2">
        <f t="shared" si="30"/>
        <v>39680</v>
      </c>
      <c r="M330" s="2">
        <v>0</v>
      </c>
      <c r="N330" s="2">
        <v>73.8</v>
      </c>
      <c r="O330" s="2">
        <f t="shared" si="31"/>
        <v>0</v>
      </c>
      <c r="P330" s="2">
        <f t="shared" si="32"/>
        <v>43.85206313733481</v>
      </c>
      <c r="Q330" s="7">
        <f t="shared" si="28"/>
        <v>35.50101065464235</v>
      </c>
      <c r="R330" s="2" t="s">
        <v>134</v>
      </c>
      <c r="S330" s="2" t="s">
        <v>39</v>
      </c>
      <c r="T330" s="2" t="s">
        <v>29</v>
      </c>
    </row>
    <row r="331" spans="1:20" x14ac:dyDescent="0.3">
      <c r="A331" s="2" t="s">
        <v>128</v>
      </c>
      <c r="B331" s="2" t="s">
        <v>129</v>
      </c>
      <c r="C331" s="2">
        <v>90486988</v>
      </c>
      <c r="D331" s="2">
        <v>2025</v>
      </c>
      <c r="E331" s="2" t="s">
        <v>41</v>
      </c>
      <c r="F331" s="4">
        <v>5.9677088599744299E-5</v>
      </c>
      <c r="G331" s="2">
        <v>6</v>
      </c>
      <c r="H331" s="2">
        <f t="shared" si="29"/>
        <v>13900.32035806253</v>
      </c>
      <c r="I331" s="2">
        <v>54</v>
      </c>
      <c r="J331" s="2">
        <v>0.12</v>
      </c>
      <c r="K331" s="2">
        <v>4</v>
      </c>
      <c r="L331" s="2">
        <f t="shared" si="30"/>
        <v>25.919999999999998</v>
      </c>
      <c r="M331" s="2">
        <v>188</v>
      </c>
      <c r="N331" s="2">
        <v>73.8</v>
      </c>
      <c r="O331" s="2">
        <f t="shared" si="31"/>
        <v>13874.4</v>
      </c>
      <c r="P331" s="2">
        <f t="shared" si="32"/>
        <v>15.361678695794946</v>
      </c>
      <c r="Q331" s="7">
        <f t="shared" si="28"/>
        <v>14.239939821530822</v>
      </c>
      <c r="R331" s="2" t="s">
        <v>135</v>
      </c>
      <c r="S331" s="2" t="s">
        <v>40</v>
      </c>
      <c r="T331" s="2" t="s">
        <v>44</v>
      </c>
    </row>
    <row r="332" spans="1:20" x14ac:dyDescent="0.3">
      <c r="A332" s="2" t="s">
        <v>147</v>
      </c>
      <c r="B332" s="2" t="s">
        <v>148</v>
      </c>
      <c r="C332" s="2">
        <v>205906428</v>
      </c>
      <c r="D332" s="2">
        <v>2015</v>
      </c>
      <c r="E332" s="2" t="s">
        <v>22</v>
      </c>
      <c r="F332" s="4" t="s">
        <v>29</v>
      </c>
      <c r="G332" s="2">
        <v>9</v>
      </c>
      <c r="H332" s="2" t="s">
        <v>29</v>
      </c>
      <c r="I332" s="2" t="s">
        <v>29</v>
      </c>
      <c r="J332" s="2">
        <v>0.13300000000000001</v>
      </c>
      <c r="K332" s="2">
        <v>8</v>
      </c>
      <c r="L332" s="2" t="s">
        <v>29</v>
      </c>
      <c r="M332" s="2" t="s">
        <v>29</v>
      </c>
      <c r="N332" s="2">
        <v>73.8</v>
      </c>
      <c r="O332" s="2" t="s">
        <v>29</v>
      </c>
      <c r="P332" s="2" t="s">
        <v>29</v>
      </c>
      <c r="Q332" s="7" t="e">
        <f t="shared" si="28"/>
        <v>#VALUE!</v>
      </c>
      <c r="R332" s="2" t="s">
        <v>120</v>
      </c>
      <c r="S332" s="2" t="s">
        <v>28</v>
      </c>
      <c r="T332" s="2" t="s">
        <v>29</v>
      </c>
    </row>
    <row r="333" spans="1:20" x14ac:dyDescent="0.3">
      <c r="A333" s="2" t="s">
        <v>147</v>
      </c>
      <c r="B333" s="2" t="s">
        <v>148</v>
      </c>
      <c r="C333" s="2">
        <v>205906428</v>
      </c>
      <c r="D333" s="2">
        <v>2015</v>
      </c>
      <c r="E333" s="2" t="s">
        <v>26</v>
      </c>
      <c r="F333" s="4">
        <v>3.9999999999999998E-6</v>
      </c>
      <c r="G333" s="2">
        <v>7</v>
      </c>
      <c r="H333" s="2">
        <f>L333+O333+G333*F333</f>
        <v>3694.1400280000003</v>
      </c>
      <c r="I333" s="2">
        <v>930</v>
      </c>
      <c r="J333" s="2">
        <v>0.13300000000000001</v>
      </c>
      <c r="K333" s="2">
        <v>6</v>
      </c>
      <c r="L333" s="2">
        <f>I333*J333*K333</f>
        <v>742.1400000000001</v>
      </c>
      <c r="M333" s="2">
        <v>40</v>
      </c>
      <c r="N333" s="2">
        <v>73.8</v>
      </c>
      <c r="O333" s="2">
        <f>M333*N333</f>
        <v>2952</v>
      </c>
      <c r="P333" s="2">
        <f>H333/C333*100000</f>
        <v>1.7940867916954977</v>
      </c>
      <c r="Q333" s="7">
        <f t="shared" si="28"/>
        <v>1.7780888696822705</v>
      </c>
      <c r="R333" s="2" t="s">
        <v>149</v>
      </c>
      <c r="S333" s="2" t="s">
        <v>28</v>
      </c>
      <c r="T333" s="2" t="s">
        <v>150</v>
      </c>
    </row>
    <row r="334" spans="1:20" x14ac:dyDescent="0.3">
      <c r="A334" s="2" t="s">
        <v>147</v>
      </c>
      <c r="B334" s="2" t="s">
        <v>148</v>
      </c>
      <c r="C334" s="2">
        <v>205906428</v>
      </c>
      <c r="D334" s="2">
        <v>2015</v>
      </c>
      <c r="E334" s="2" t="s">
        <v>151</v>
      </c>
      <c r="F334" s="4">
        <v>6.2600000000000004E-4</v>
      </c>
      <c r="G334" s="2">
        <v>7</v>
      </c>
      <c r="H334" s="2">
        <f>L334+O334+G334*F334</f>
        <v>3216346.0123819998</v>
      </c>
      <c r="I334" s="2">
        <v>58996</v>
      </c>
      <c r="J334" s="2">
        <v>0.13300000000000001</v>
      </c>
      <c r="K334" s="2">
        <v>6</v>
      </c>
      <c r="L334" s="2">
        <f>I334*J334*K334</f>
        <v>47078.808000000005</v>
      </c>
      <c r="M334" s="2">
        <v>42944</v>
      </c>
      <c r="N334" s="2">
        <v>73.8</v>
      </c>
      <c r="O334" s="2">
        <f>M334*N334</f>
        <v>3169267.1999999997</v>
      </c>
      <c r="P334" s="2">
        <f>H334/C334*100000</f>
        <v>1562.0425470068374</v>
      </c>
      <c r="Q334" s="7">
        <f t="shared" si="28"/>
        <v>99.999983551154799</v>
      </c>
      <c r="R334" s="2" t="s">
        <v>152</v>
      </c>
      <c r="S334" s="2" t="s">
        <v>28</v>
      </c>
      <c r="T334" s="2" t="s">
        <v>32</v>
      </c>
    </row>
    <row r="335" spans="1:20" x14ac:dyDescent="0.3">
      <c r="A335" s="2" t="s">
        <v>147</v>
      </c>
      <c r="B335" s="2" t="s">
        <v>148</v>
      </c>
      <c r="C335" s="2">
        <v>205906428</v>
      </c>
      <c r="D335" s="2">
        <v>2015</v>
      </c>
      <c r="E335" s="2" t="s">
        <v>33</v>
      </c>
      <c r="F335" s="4" t="s">
        <v>29</v>
      </c>
      <c r="G335" s="2">
        <v>8</v>
      </c>
      <c r="H335" s="2" t="s">
        <v>29</v>
      </c>
      <c r="I335" s="2" t="s">
        <v>29</v>
      </c>
      <c r="J335" s="2">
        <v>0.13300000000000001</v>
      </c>
      <c r="K335" s="2">
        <v>7</v>
      </c>
      <c r="L335" s="2" t="s">
        <v>29</v>
      </c>
      <c r="M335" s="2" t="s">
        <v>29</v>
      </c>
      <c r="N335" s="2">
        <v>73.8</v>
      </c>
      <c r="O335" s="2" t="s">
        <v>29</v>
      </c>
      <c r="P335" s="2" t="s">
        <v>29</v>
      </c>
      <c r="Q335" s="7" t="e">
        <f t="shared" si="28"/>
        <v>#VALUE!</v>
      </c>
      <c r="R335" s="2" t="s">
        <v>153</v>
      </c>
      <c r="S335" s="2" t="s">
        <v>35</v>
      </c>
      <c r="T335" s="2" t="s">
        <v>29</v>
      </c>
    </row>
    <row r="336" spans="1:20" x14ac:dyDescent="0.3">
      <c r="A336" s="2" t="s">
        <v>147</v>
      </c>
      <c r="B336" s="2" t="s">
        <v>148</v>
      </c>
      <c r="C336" s="2">
        <v>205906428</v>
      </c>
      <c r="D336" s="2">
        <v>2015</v>
      </c>
      <c r="E336" s="2" t="s">
        <v>37</v>
      </c>
      <c r="F336" s="4">
        <v>6.0000000000000002E-6</v>
      </c>
      <c r="G336" s="2">
        <v>6</v>
      </c>
      <c r="H336" s="2">
        <f>L336+O336+G336*F336</f>
        <v>800.64003600000012</v>
      </c>
      <c r="I336" s="2">
        <v>1251</v>
      </c>
      <c r="J336" s="2">
        <v>0.128</v>
      </c>
      <c r="K336" s="2">
        <v>5</v>
      </c>
      <c r="L336" s="2">
        <f>I336*J336*K336</f>
        <v>800.6400000000001</v>
      </c>
      <c r="M336" s="2">
        <v>0</v>
      </c>
      <c r="N336" s="2">
        <v>73.8</v>
      </c>
      <c r="O336" s="2">
        <f>M336*N336</f>
        <v>0</v>
      </c>
      <c r="P336" s="2">
        <f>H336/C336*100000</f>
        <v>0.38883683417595888</v>
      </c>
      <c r="Q336" s="7">
        <f t="shared" si="28"/>
        <v>0.38808184263663392</v>
      </c>
      <c r="R336" s="2" t="s">
        <v>154</v>
      </c>
      <c r="S336" s="2" t="s">
        <v>155</v>
      </c>
      <c r="T336" s="2" t="s">
        <v>156</v>
      </c>
    </row>
    <row r="337" spans="1:20" x14ac:dyDescent="0.3">
      <c r="A337" s="2" t="s">
        <v>147</v>
      </c>
      <c r="B337" s="2" t="s">
        <v>148</v>
      </c>
      <c r="C337" s="2">
        <v>205906428</v>
      </c>
      <c r="D337" s="2">
        <v>2015</v>
      </c>
      <c r="E337" s="2" t="s">
        <v>41</v>
      </c>
      <c r="F337" s="4">
        <v>9.9999999999999995E-7</v>
      </c>
      <c r="G337" s="2">
        <v>6</v>
      </c>
      <c r="H337" s="2">
        <f>L337+O337+G337*F337</f>
        <v>6700.5600060000006</v>
      </c>
      <c r="I337" s="2">
        <v>122</v>
      </c>
      <c r="J337" s="2">
        <v>0.12</v>
      </c>
      <c r="K337" s="2">
        <v>4</v>
      </c>
      <c r="L337" s="2">
        <f>I337*J337*K337</f>
        <v>58.559999999999995</v>
      </c>
      <c r="M337" s="2">
        <v>90</v>
      </c>
      <c r="N337" s="2">
        <v>73.8</v>
      </c>
      <c r="O337" s="2">
        <f>M337*N337</f>
        <v>6642</v>
      </c>
      <c r="P337" s="2">
        <f>H337/C337*100000</f>
        <v>3.2541771867364919</v>
      </c>
      <c r="Q337" s="7">
        <f t="shared" si="28"/>
        <v>3.2017985429540485</v>
      </c>
      <c r="R337" s="2" t="s">
        <v>157</v>
      </c>
      <c r="S337" s="2" t="s">
        <v>158</v>
      </c>
      <c r="T337" s="2" t="s">
        <v>159</v>
      </c>
    </row>
    <row r="338" spans="1:20" x14ac:dyDescent="0.3">
      <c r="A338" s="2" t="s">
        <v>147</v>
      </c>
      <c r="B338" s="2" t="s">
        <v>148</v>
      </c>
      <c r="C338" s="2">
        <v>207141867</v>
      </c>
      <c r="D338" s="2">
        <v>2016</v>
      </c>
      <c r="E338" s="2" t="s">
        <v>22</v>
      </c>
      <c r="F338" s="4" t="s">
        <v>29</v>
      </c>
      <c r="G338" s="2">
        <v>9</v>
      </c>
      <c r="H338" s="2" t="s">
        <v>29</v>
      </c>
      <c r="I338" s="2" t="s">
        <v>29</v>
      </c>
      <c r="J338" s="2">
        <v>0.13300000000000001</v>
      </c>
      <c r="K338" s="2">
        <v>8</v>
      </c>
      <c r="L338" s="2" t="s">
        <v>29</v>
      </c>
      <c r="M338" s="2" t="s">
        <v>29</v>
      </c>
      <c r="N338" s="2">
        <v>73.8</v>
      </c>
      <c r="O338" s="2" t="s">
        <v>29</v>
      </c>
      <c r="P338" s="2" t="s">
        <v>29</v>
      </c>
      <c r="Q338" s="7" t="e">
        <f t="shared" si="28"/>
        <v>#VALUE!</v>
      </c>
      <c r="R338" s="2" t="s">
        <v>120</v>
      </c>
      <c r="S338" s="2" t="s">
        <v>28</v>
      </c>
      <c r="T338" s="2" t="s">
        <v>29</v>
      </c>
    </row>
    <row r="339" spans="1:20" x14ac:dyDescent="0.3">
      <c r="A339" s="2" t="s">
        <v>147</v>
      </c>
      <c r="B339" s="2" t="s">
        <v>148</v>
      </c>
      <c r="C339" s="2">
        <v>207141867</v>
      </c>
      <c r="D339" s="2">
        <v>2016</v>
      </c>
      <c r="E339" s="2" t="s">
        <v>26</v>
      </c>
      <c r="F339" s="4">
        <v>3.9999999999999998E-6</v>
      </c>
      <c r="G339" s="2">
        <v>7</v>
      </c>
      <c r="H339" s="2">
        <f>L339+O339+G339*F339</f>
        <v>3668.6040280000002</v>
      </c>
      <c r="I339" s="2">
        <v>898</v>
      </c>
      <c r="J339" s="2">
        <v>0.13300000000000001</v>
      </c>
      <c r="K339" s="2">
        <v>6</v>
      </c>
      <c r="L339" s="2">
        <f>I339*J339*K339</f>
        <v>716.60400000000004</v>
      </c>
      <c r="M339" s="2">
        <v>40</v>
      </c>
      <c r="N339" s="2">
        <v>73.8</v>
      </c>
      <c r="O339" s="2">
        <f>M339*N339</f>
        <v>2952</v>
      </c>
      <c r="P339" s="2">
        <f>H339/C339*100000</f>
        <v>1.7710586860743125</v>
      </c>
      <c r="Q339" s="7">
        <f t="shared" si="28"/>
        <v>1.7554676197213293</v>
      </c>
      <c r="R339" s="2" t="s">
        <v>149</v>
      </c>
      <c r="S339" s="2" t="s">
        <v>28</v>
      </c>
      <c r="T339" s="2" t="s">
        <v>150</v>
      </c>
    </row>
    <row r="340" spans="1:20" x14ac:dyDescent="0.3">
      <c r="A340" s="2" t="s">
        <v>147</v>
      </c>
      <c r="B340" s="2" t="s">
        <v>148</v>
      </c>
      <c r="C340" s="2">
        <v>207141867</v>
      </c>
      <c r="D340" s="2">
        <v>2016</v>
      </c>
      <c r="E340" s="2" t="s">
        <v>151</v>
      </c>
      <c r="F340" s="4">
        <v>6.5399999999999996E-4</v>
      </c>
      <c r="G340" s="2">
        <v>7</v>
      </c>
      <c r="H340" s="2">
        <f>L340+O340+G340*F340</f>
        <v>3374184.334578</v>
      </c>
      <c r="I340" s="2">
        <v>52035</v>
      </c>
      <c r="J340" s="2">
        <v>0.13300000000000001</v>
      </c>
      <c r="K340" s="2">
        <v>6</v>
      </c>
      <c r="L340" s="2">
        <f>I340*J340*K340</f>
        <v>41523.930000000008</v>
      </c>
      <c r="M340" s="2">
        <v>45158</v>
      </c>
      <c r="N340" s="2">
        <v>73.8</v>
      </c>
      <c r="O340" s="2">
        <f>M340*N340</f>
        <v>3332660.4</v>
      </c>
      <c r="P340" s="2">
        <f>H340/C340*100000</f>
        <v>1628.9243615719654</v>
      </c>
      <c r="Q340" s="7">
        <f t="shared" si="28"/>
        <v>99.999991573031252</v>
      </c>
      <c r="R340" s="2" t="s">
        <v>152</v>
      </c>
      <c r="S340" s="2" t="s">
        <v>28</v>
      </c>
      <c r="T340" s="2" t="s">
        <v>32</v>
      </c>
    </row>
    <row r="341" spans="1:20" x14ac:dyDescent="0.3">
      <c r="A341" s="2" t="s">
        <v>147</v>
      </c>
      <c r="B341" s="2" t="s">
        <v>148</v>
      </c>
      <c r="C341" s="2">
        <v>207141867</v>
      </c>
      <c r="D341" s="2">
        <v>2016</v>
      </c>
      <c r="E341" s="2" t="s">
        <v>33</v>
      </c>
      <c r="F341" s="4" t="s">
        <v>29</v>
      </c>
      <c r="G341" s="2">
        <v>8</v>
      </c>
      <c r="H341" s="2" t="s">
        <v>29</v>
      </c>
      <c r="I341" s="2" t="s">
        <v>29</v>
      </c>
      <c r="J341" s="2">
        <v>0.13300000000000001</v>
      </c>
      <c r="K341" s="2">
        <v>7</v>
      </c>
      <c r="L341" s="2" t="s">
        <v>29</v>
      </c>
      <c r="M341" s="2" t="s">
        <v>29</v>
      </c>
      <c r="N341" s="2">
        <v>73.8</v>
      </c>
      <c r="O341" s="2" t="s">
        <v>29</v>
      </c>
      <c r="P341" s="2" t="s">
        <v>29</v>
      </c>
      <c r="Q341" s="7" t="e">
        <f t="shared" si="28"/>
        <v>#VALUE!</v>
      </c>
      <c r="R341" s="2" t="s">
        <v>153</v>
      </c>
      <c r="S341" s="2" t="s">
        <v>35</v>
      </c>
      <c r="T341" s="2" t="s">
        <v>29</v>
      </c>
    </row>
    <row r="342" spans="1:20" x14ac:dyDescent="0.3">
      <c r="A342" s="2" t="s">
        <v>147</v>
      </c>
      <c r="B342" s="2" t="s">
        <v>148</v>
      </c>
      <c r="C342" s="2">
        <v>207141867</v>
      </c>
      <c r="D342" s="2">
        <v>2016</v>
      </c>
      <c r="E342" s="2" t="s">
        <v>37</v>
      </c>
      <c r="F342" s="4">
        <v>6.0000000000000002E-6</v>
      </c>
      <c r="G342" s="2">
        <v>6</v>
      </c>
      <c r="H342" s="2">
        <f>L342+O342+G342*F342</f>
        <v>712.32003599999996</v>
      </c>
      <c r="I342" s="2">
        <v>1113</v>
      </c>
      <c r="J342" s="2">
        <v>0.128</v>
      </c>
      <c r="K342" s="2">
        <v>5</v>
      </c>
      <c r="L342" s="2">
        <f>I342*J342*K342</f>
        <v>712.31999999999994</v>
      </c>
      <c r="M342" s="2">
        <v>0</v>
      </c>
      <c r="N342" s="2">
        <v>73.8</v>
      </c>
      <c r="O342" s="2">
        <f>M342*N342</f>
        <v>0</v>
      </c>
      <c r="P342" s="2">
        <f>H342/C342*100000</f>
        <v>0.3438802818167126</v>
      </c>
      <c r="Q342" s="7">
        <f t="shared" si="28"/>
        <v>0.34328969074497451</v>
      </c>
      <c r="R342" s="2" t="s">
        <v>154</v>
      </c>
      <c r="S342" s="2" t="s">
        <v>155</v>
      </c>
      <c r="T342" s="2" t="s">
        <v>156</v>
      </c>
    </row>
    <row r="343" spans="1:20" x14ac:dyDescent="0.3">
      <c r="A343" s="2" t="s">
        <v>147</v>
      </c>
      <c r="B343" s="2" t="s">
        <v>148</v>
      </c>
      <c r="C343" s="2">
        <v>207141867</v>
      </c>
      <c r="D343" s="2">
        <v>2016</v>
      </c>
      <c r="E343" s="2" t="s">
        <v>41</v>
      </c>
      <c r="F343" s="4">
        <v>9.9999999999999995E-7</v>
      </c>
      <c r="G343" s="2">
        <v>6</v>
      </c>
      <c r="H343" s="2">
        <f>L343+O343+G343*F343</f>
        <v>6707.280006</v>
      </c>
      <c r="I343" s="2">
        <v>136</v>
      </c>
      <c r="J343" s="2">
        <v>0.12</v>
      </c>
      <c r="K343" s="2">
        <v>4</v>
      </c>
      <c r="L343" s="2">
        <f>I343*J343*K343</f>
        <v>65.28</v>
      </c>
      <c r="M343" s="2">
        <v>90</v>
      </c>
      <c r="N343" s="2">
        <v>73.8</v>
      </c>
      <c r="O343" s="2">
        <f>M343*N343</f>
        <v>6642</v>
      </c>
      <c r="P343" s="2">
        <f>H343/C343*100000</f>
        <v>3.238012721976673</v>
      </c>
      <c r="Q343" s="7">
        <f t="shared" si="28"/>
        <v>3.1861503671035241</v>
      </c>
      <c r="R343" s="2" t="s">
        <v>157</v>
      </c>
      <c r="S343" s="2" t="s">
        <v>158</v>
      </c>
      <c r="T343" s="2" t="s">
        <v>159</v>
      </c>
    </row>
    <row r="344" spans="1:20" x14ac:dyDescent="0.3">
      <c r="A344" s="2" t="s">
        <v>147</v>
      </c>
      <c r="B344" s="2" t="s">
        <v>148</v>
      </c>
      <c r="C344" s="2">
        <v>208384718</v>
      </c>
      <c r="D344" s="2">
        <v>2017</v>
      </c>
      <c r="E344" s="2" t="s">
        <v>22</v>
      </c>
      <c r="F344" s="4" t="s">
        <v>29</v>
      </c>
      <c r="G344" s="2">
        <v>9</v>
      </c>
      <c r="H344" s="2" t="s">
        <v>29</v>
      </c>
      <c r="I344" s="2" t="s">
        <v>29</v>
      </c>
      <c r="J344" s="2">
        <v>0.13300000000000001</v>
      </c>
      <c r="K344" s="2">
        <v>8</v>
      </c>
      <c r="L344" s="2" t="s">
        <v>29</v>
      </c>
      <c r="M344" s="2" t="s">
        <v>29</v>
      </c>
      <c r="N344" s="2">
        <v>73.8</v>
      </c>
      <c r="O344" s="2" t="s">
        <v>29</v>
      </c>
      <c r="P344" s="2" t="s">
        <v>29</v>
      </c>
      <c r="Q344" s="7" t="e">
        <f t="shared" si="28"/>
        <v>#VALUE!</v>
      </c>
      <c r="R344" s="2" t="s">
        <v>120</v>
      </c>
      <c r="S344" s="2" t="s">
        <v>28</v>
      </c>
      <c r="T344" s="2" t="s">
        <v>29</v>
      </c>
    </row>
    <row r="345" spans="1:20" x14ac:dyDescent="0.3">
      <c r="A345" s="2" t="s">
        <v>147</v>
      </c>
      <c r="B345" s="2" t="s">
        <v>148</v>
      </c>
      <c r="C345" s="2">
        <v>208384718</v>
      </c>
      <c r="D345" s="2">
        <v>2017</v>
      </c>
      <c r="E345" s="2" t="s">
        <v>26</v>
      </c>
      <c r="F345" s="4">
        <v>5.0000000000000004E-6</v>
      </c>
      <c r="G345" s="2">
        <v>7</v>
      </c>
      <c r="H345" s="2">
        <f>L345+O345+G345*F345</f>
        <v>4161.2640350000001</v>
      </c>
      <c r="I345" s="2">
        <v>868</v>
      </c>
      <c r="J345" s="2">
        <v>0.13300000000000001</v>
      </c>
      <c r="K345" s="2">
        <v>6</v>
      </c>
      <c r="L345" s="2">
        <f>I345*J345*K345</f>
        <v>692.66399999999999</v>
      </c>
      <c r="M345" s="2">
        <v>47</v>
      </c>
      <c r="N345" s="2">
        <v>73.8</v>
      </c>
      <c r="O345" s="2">
        <f>M345*N345</f>
        <v>3468.6</v>
      </c>
      <c r="P345" s="2">
        <f>H345/C345*100000</f>
        <v>1.9969142051002031</v>
      </c>
      <c r="Q345" s="7">
        <f t="shared" si="28"/>
        <v>1.977107930589217</v>
      </c>
      <c r="R345" s="2" t="s">
        <v>149</v>
      </c>
      <c r="S345" s="2" t="s">
        <v>28</v>
      </c>
      <c r="T345" s="2" t="s">
        <v>150</v>
      </c>
    </row>
    <row r="346" spans="1:20" x14ac:dyDescent="0.3">
      <c r="A346" s="2" t="s">
        <v>147</v>
      </c>
      <c r="B346" s="2" t="s">
        <v>148</v>
      </c>
      <c r="C346" s="2">
        <v>208384718</v>
      </c>
      <c r="D346" s="2">
        <v>2017</v>
      </c>
      <c r="E346" s="2" t="s">
        <v>151</v>
      </c>
      <c r="F346" s="4">
        <v>5.6099999999999998E-4</v>
      </c>
      <c r="G346" s="2">
        <v>7</v>
      </c>
      <c r="H346" s="2">
        <f>L346+O346+G346*F346</f>
        <v>2919005.859927</v>
      </c>
      <c r="I346" s="2">
        <v>54372</v>
      </c>
      <c r="J346" s="2">
        <v>0.13300000000000001</v>
      </c>
      <c r="K346" s="2">
        <v>6</v>
      </c>
      <c r="L346" s="2">
        <f>I346*J346*K346</f>
        <v>43388.856</v>
      </c>
      <c r="M346" s="2">
        <v>38965</v>
      </c>
      <c r="N346" s="2">
        <v>73.8</v>
      </c>
      <c r="O346" s="2">
        <f>M346*N346</f>
        <v>2875617</v>
      </c>
      <c r="P346" s="2">
        <f>H346/C346*100000</f>
        <v>1400.7773160827464</v>
      </c>
      <c r="Q346" s="7">
        <f t="shared" si="28"/>
        <v>99.999917490983108</v>
      </c>
      <c r="R346" s="2" t="s">
        <v>152</v>
      </c>
      <c r="S346" s="2" t="s">
        <v>28</v>
      </c>
      <c r="T346" s="2" t="s">
        <v>32</v>
      </c>
    </row>
    <row r="347" spans="1:20" x14ac:dyDescent="0.3">
      <c r="A347" s="2" t="s">
        <v>147</v>
      </c>
      <c r="B347" s="2" t="s">
        <v>148</v>
      </c>
      <c r="C347" s="2">
        <v>208384718</v>
      </c>
      <c r="D347" s="2">
        <v>2017</v>
      </c>
      <c r="E347" s="2" t="s">
        <v>33</v>
      </c>
      <c r="F347" s="4" t="s">
        <v>29</v>
      </c>
      <c r="G347" s="2">
        <v>8</v>
      </c>
      <c r="H347" s="2" t="s">
        <v>29</v>
      </c>
      <c r="I347" s="2" t="s">
        <v>29</v>
      </c>
      <c r="J347" s="2">
        <v>0.13300000000000001</v>
      </c>
      <c r="K347" s="2">
        <v>7</v>
      </c>
      <c r="L347" s="2" t="s">
        <v>29</v>
      </c>
      <c r="M347" s="2" t="s">
        <v>29</v>
      </c>
      <c r="N347" s="2">
        <v>73.8</v>
      </c>
      <c r="O347" s="2" t="s">
        <v>29</v>
      </c>
      <c r="P347" s="2" t="s">
        <v>29</v>
      </c>
      <c r="Q347" s="7" t="e">
        <f t="shared" si="28"/>
        <v>#VALUE!</v>
      </c>
      <c r="R347" s="2" t="s">
        <v>153</v>
      </c>
      <c r="S347" s="2" t="s">
        <v>35</v>
      </c>
      <c r="T347" s="2" t="s">
        <v>29</v>
      </c>
    </row>
    <row r="348" spans="1:20" x14ac:dyDescent="0.3">
      <c r="A348" s="2" t="s">
        <v>147</v>
      </c>
      <c r="B348" s="2" t="s">
        <v>148</v>
      </c>
      <c r="C348" s="2">
        <v>208384718</v>
      </c>
      <c r="D348" s="2">
        <v>2017</v>
      </c>
      <c r="E348" s="2" t="s">
        <v>37</v>
      </c>
      <c r="F348" s="4">
        <v>6.0000000000000002E-6</v>
      </c>
      <c r="G348" s="2">
        <v>6</v>
      </c>
      <c r="H348" s="2">
        <f>L348+O348+G348*F348</f>
        <v>804.48003600000004</v>
      </c>
      <c r="I348" s="2">
        <v>1257</v>
      </c>
      <c r="J348" s="2">
        <v>0.128</v>
      </c>
      <c r="K348" s="2">
        <v>5</v>
      </c>
      <c r="L348" s="2">
        <f>I348*J348*K348</f>
        <v>804.48</v>
      </c>
      <c r="M348" s="2">
        <v>0</v>
      </c>
      <c r="N348" s="2">
        <v>73.8</v>
      </c>
      <c r="O348" s="2">
        <f>M348*N348</f>
        <v>0</v>
      </c>
      <c r="P348" s="2">
        <f>H348/C348*100000</f>
        <v>0.38605519815517381</v>
      </c>
      <c r="Q348" s="7">
        <f t="shared" si="28"/>
        <v>0.38531096310245871</v>
      </c>
      <c r="R348" s="2" t="s">
        <v>154</v>
      </c>
      <c r="S348" s="2" t="s">
        <v>155</v>
      </c>
      <c r="T348" s="2" t="s">
        <v>156</v>
      </c>
    </row>
    <row r="349" spans="1:20" x14ac:dyDescent="0.3">
      <c r="A349" s="2" t="s">
        <v>147</v>
      </c>
      <c r="B349" s="2" t="s">
        <v>148</v>
      </c>
      <c r="C349" s="2">
        <v>208384718</v>
      </c>
      <c r="D349" s="2">
        <v>2017</v>
      </c>
      <c r="E349" s="2" t="s">
        <v>41</v>
      </c>
      <c r="F349" s="4">
        <v>9.9999999999999995E-7</v>
      </c>
      <c r="G349" s="2">
        <v>6</v>
      </c>
      <c r="H349" s="2">
        <f>L349+O349+G349*F349</f>
        <v>6701.5200060000006</v>
      </c>
      <c r="I349" s="2">
        <v>124</v>
      </c>
      <c r="J349" s="2">
        <v>0.12</v>
      </c>
      <c r="K349" s="2">
        <v>4</v>
      </c>
      <c r="L349" s="2">
        <f>I349*J349*K349</f>
        <v>59.519999999999996</v>
      </c>
      <c r="M349" s="2">
        <v>90</v>
      </c>
      <c r="N349" s="2">
        <v>73.8</v>
      </c>
      <c r="O349" s="2">
        <f>M349*N349</f>
        <v>6642</v>
      </c>
      <c r="P349" s="2">
        <f>H349/C349*100000</f>
        <v>3.2159364037433882</v>
      </c>
      <c r="Q349" s="7">
        <f t="shared" si="28"/>
        <v>3.1647750742126446</v>
      </c>
      <c r="R349" s="2" t="s">
        <v>157</v>
      </c>
      <c r="S349" s="2" t="s">
        <v>158</v>
      </c>
      <c r="T349" s="2" t="s">
        <v>159</v>
      </c>
    </row>
    <row r="350" spans="1:20" x14ac:dyDescent="0.3">
      <c r="A350" s="2" t="s">
        <v>147</v>
      </c>
      <c r="B350" s="2" t="s">
        <v>148</v>
      </c>
      <c r="C350" s="2">
        <v>209635026</v>
      </c>
      <c r="D350" s="2">
        <v>2018</v>
      </c>
      <c r="E350" s="2" t="s">
        <v>22</v>
      </c>
      <c r="F350" s="4" t="s">
        <v>29</v>
      </c>
      <c r="G350" s="2">
        <v>9</v>
      </c>
      <c r="H350" s="2" t="s">
        <v>29</v>
      </c>
      <c r="I350" s="2" t="s">
        <v>29</v>
      </c>
      <c r="J350" s="2">
        <v>0.13300000000000001</v>
      </c>
      <c r="K350" s="2">
        <v>8</v>
      </c>
      <c r="L350" s="2" t="s">
        <v>29</v>
      </c>
      <c r="M350" s="2" t="s">
        <v>29</v>
      </c>
      <c r="N350" s="2">
        <v>73.8</v>
      </c>
      <c r="O350" s="2" t="s">
        <v>29</v>
      </c>
      <c r="P350" s="2" t="s">
        <v>29</v>
      </c>
      <c r="Q350" s="7" t="e">
        <f t="shared" si="28"/>
        <v>#VALUE!</v>
      </c>
      <c r="R350" s="2" t="s">
        <v>120</v>
      </c>
      <c r="S350" s="2" t="s">
        <v>28</v>
      </c>
      <c r="T350" s="2" t="s">
        <v>29</v>
      </c>
    </row>
    <row r="351" spans="1:20" x14ac:dyDescent="0.3">
      <c r="A351" s="2" t="s">
        <v>147</v>
      </c>
      <c r="B351" s="2" t="s">
        <v>148</v>
      </c>
      <c r="C351" s="2">
        <v>209635026</v>
      </c>
      <c r="D351" s="2">
        <v>2018</v>
      </c>
      <c r="E351" s="2" t="s">
        <v>26</v>
      </c>
      <c r="F351" s="4">
        <v>3.9999999999999998E-6</v>
      </c>
      <c r="G351" s="2">
        <v>7</v>
      </c>
      <c r="H351" s="2">
        <f>L351+O351+G351*F351</f>
        <v>4158.1020280000002</v>
      </c>
      <c r="I351" s="2">
        <v>1049</v>
      </c>
      <c r="J351" s="2">
        <v>0.13300000000000001</v>
      </c>
      <c r="K351" s="2">
        <v>6</v>
      </c>
      <c r="L351" s="2">
        <f>I351*J351*K351</f>
        <v>837.10199999999998</v>
      </c>
      <c r="M351" s="2">
        <v>45</v>
      </c>
      <c r="N351" s="2">
        <v>73.8</v>
      </c>
      <c r="O351" s="2">
        <f>M351*N351</f>
        <v>3321</v>
      </c>
      <c r="P351" s="2">
        <f>H351/C351*100000</f>
        <v>1.9834958438672363</v>
      </c>
      <c r="Q351" s="7">
        <f t="shared" si="28"/>
        <v>1.9639539823379293</v>
      </c>
      <c r="R351" s="2" t="s">
        <v>149</v>
      </c>
      <c r="S351" s="2" t="s">
        <v>28</v>
      </c>
      <c r="T351" s="2" t="s">
        <v>150</v>
      </c>
    </row>
    <row r="352" spans="1:20" x14ac:dyDescent="0.3">
      <c r="A352" s="2" t="s">
        <v>147</v>
      </c>
      <c r="B352" s="2" t="s">
        <v>148</v>
      </c>
      <c r="C352" s="2">
        <v>209635026</v>
      </c>
      <c r="D352" s="2">
        <v>2018</v>
      </c>
      <c r="E352" s="2" t="s">
        <v>151</v>
      </c>
      <c r="F352" s="4">
        <v>5.5999999999999995E-4</v>
      </c>
      <c r="G352" s="2">
        <v>7</v>
      </c>
      <c r="H352" s="2">
        <f>L352+O352+G352*F352</f>
        <v>2930199.63992</v>
      </c>
      <c r="I352" s="2">
        <v>55082</v>
      </c>
      <c r="J352" s="2">
        <v>0.13300000000000001</v>
      </c>
      <c r="K352" s="2">
        <v>6</v>
      </c>
      <c r="L352" s="2">
        <f>I352*J352*K352</f>
        <v>43955.436000000002</v>
      </c>
      <c r="M352" s="2">
        <v>39109</v>
      </c>
      <c r="N352" s="2">
        <v>73.8</v>
      </c>
      <c r="O352" s="2">
        <f>M352*N352</f>
        <v>2886244.1999999997</v>
      </c>
      <c r="P352" s="2">
        <f>H352/C352*100000</f>
        <v>1397.7624330392193</v>
      </c>
      <c r="Q352" s="7">
        <f t="shared" si="28"/>
        <v>99.999914965554666</v>
      </c>
      <c r="R352" s="2" t="s">
        <v>152</v>
      </c>
      <c r="S352" s="2" t="s">
        <v>28</v>
      </c>
      <c r="T352" s="2" t="s">
        <v>32</v>
      </c>
    </row>
    <row r="353" spans="1:20" x14ac:dyDescent="0.3">
      <c r="A353" s="2" t="s">
        <v>147</v>
      </c>
      <c r="B353" s="2" t="s">
        <v>148</v>
      </c>
      <c r="C353" s="2">
        <v>209635026</v>
      </c>
      <c r="D353" s="2">
        <v>2018</v>
      </c>
      <c r="E353" s="2" t="s">
        <v>33</v>
      </c>
      <c r="F353" s="4" t="s">
        <v>29</v>
      </c>
      <c r="G353" s="2">
        <v>8</v>
      </c>
      <c r="H353" s="2" t="s">
        <v>29</v>
      </c>
      <c r="I353" s="2" t="s">
        <v>29</v>
      </c>
      <c r="J353" s="2">
        <v>0.13300000000000001</v>
      </c>
      <c r="K353" s="2">
        <v>7</v>
      </c>
      <c r="L353" s="2" t="s">
        <v>29</v>
      </c>
      <c r="M353" s="2" t="s">
        <v>29</v>
      </c>
      <c r="N353" s="2">
        <v>73.8</v>
      </c>
      <c r="O353" s="2" t="s">
        <v>29</v>
      </c>
      <c r="P353" s="2" t="s">
        <v>29</v>
      </c>
      <c r="Q353" s="7" t="e">
        <f t="shared" si="28"/>
        <v>#VALUE!</v>
      </c>
      <c r="R353" s="2" t="s">
        <v>153</v>
      </c>
      <c r="S353" s="2" t="s">
        <v>35</v>
      </c>
      <c r="T353" s="2" t="s">
        <v>29</v>
      </c>
    </row>
    <row r="354" spans="1:20" x14ac:dyDescent="0.3">
      <c r="A354" s="2" t="s">
        <v>147</v>
      </c>
      <c r="B354" s="2" t="s">
        <v>148</v>
      </c>
      <c r="C354" s="2">
        <v>209635026</v>
      </c>
      <c r="D354" s="2">
        <v>2018</v>
      </c>
      <c r="E354" s="2" t="s">
        <v>37</v>
      </c>
      <c r="F354" s="4">
        <v>6.0000000000000002E-6</v>
      </c>
      <c r="G354" s="2">
        <v>6</v>
      </c>
      <c r="H354" s="2">
        <f>L354+O354+G354*F354</f>
        <v>787.20003600000007</v>
      </c>
      <c r="I354" s="2">
        <v>1230</v>
      </c>
      <c r="J354" s="2">
        <v>0.128</v>
      </c>
      <c r="K354" s="2">
        <v>5</v>
      </c>
      <c r="L354" s="2">
        <f>I354*J354*K354</f>
        <v>787.2</v>
      </c>
      <c r="M354" s="2">
        <v>0</v>
      </c>
      <c r="N354" s="2">
        <v>73.8</v>
      </c>
      <c r="O354" s="2">
        <f>M354*N354</f>
        <v>0</v>
      </c>
      <c r="P354" s="2">
        <f>H354/C354*100000</f>
        <v>0.37550978527796208</v>
      </c>
      <c r="Q354" s="7">
        <f t="shared" si="28"/>
        <v>0.37480562895148006</v>
      </c>
      <c r="R354" s="2" t="s">
        <v>154</v>
      </c>
      <c r="S354" s="2" t="s">
        <v>155</v>
      </c>
      <c r="T354" s="2" t="s">
        <v>156</v>
      </c>
    </row>
    <row r="355" spans="1:20" x14ac:dyDescent="0.3">
      <c r="A355" s="2" t="s">
        <v>147</v>
      </c>
      <c r="B355" s="2" t="s">
        <v>148</v>
      </c>
      <c r="C355" s="2">
        <v>209635026</v>
      </c>
      <c r="D355" s="2">
        <v>2018</v>
      </c>
      <c r="E355" s="2" t="s">
        <v>41</v>
      </c>
      <c r="F355" s="4">
        <v>9.9999999999999995E-7</v>
      </c>
      <c r="G355" s="2">
        <v>6</v>
      </c>
      <c r="H355" s="2">
        <f>L355+O355+G355*F355</f>
        <v>6710.1600060000001</v>
      </c>
      <c r="I355" s="2">
        <v>142</v>
      </c>
      <c r="J355" s="2">
        <v>0.12</v>
      </c>
      <c r="K355" s="2">
        <v>4</v>
      </c>
      <c r="L355" s="2">
        <f>I355*J355*K355</f>
        <v>68.16</v>
      </c>
      <c r="M355" s="2">
        <v>90</v>
      </c>
      <c r="N355" s="2">
        <v>73.8</v>
      </c>
      <c r="O355" s="2">
        <f>M355*N355</f>
        <v>6642</v>
      </c>
      <c r="P355" s="2">
        <f>H355/C355*100000</f>
        <v>3.2008773219032585</v>
      </c>
      <c r="Q355" s="7">
        <f t="shared" si="28"/>
        <v>3.1501914803908959</v>
      </c>
      <c r="R355" s="2" t="s">
        <v>157</v>
      </c>
      <c r="S355" s="2" t="s">
        <v>158</v>
      </c>
      <c r="T355" s="2" t="s">
        <v>159</v>
      </c>
    </row>
    <row r="356" spans="1:20" x14ac:dyDescent="0.3">
      <c r="A356" s="2" t="s">
        <v>147</v>
      </c>
      <c r="B356" s="2" t="s">
        <v>148</v>
      </c>
      <c r="C356" s="2">
        <v>210892837</v>
      </c>
      <c r="D356" s="2">
        <v>2019</v>
      </c>
      <c r="E356" s="2" t="s">
        <v>22</v>
      </c>
      <c r="F356" s="4" t="s">
        <v>29</v>
      </c>
      <c r="G356" s="2">
        <v>9</v>
      </c>
      <c r="H356" s="2" t="s">
        <v>29</v>
      </c>
      <c r="I356" s="2" t="s">
        <v>29</v>
      </c>
      <c r="J356" s="2">
        <v>0.13300000000000001</v>
      </c>
      <c r="K356" s="2">
        <v>8</v>
      </c>
      <c r="L356" s="2" t="s">
        <v>29</v>
      </c>
      <c r="M356" s="2" t="s">
        <v>29</v>
      </c>
      <c r="N356" s="2">
        <v>73.8</v>
      </c>
      <c r="O356" s="2" t="s">
        <v>29</v>
      </c>
      <c r="P356" s="2" t="s">
        <v>29</v>
      </c>
      <c r="Q356" s="7" t="e">
        <f t="shared" si="28"/>
        <v>#VALUE!</v>
      </c>
      <c r="R356" s="2" t="s">
        <v>120</v>
      </c>
      <c r="S356" s="2" t="s">
        <v>28</v>
      </c>
      <c r="T356" s="2" t="s">
        <v>29</v>
      </c>
    </row>
    <row r="357" spans="1:20" x14ac:dyDescent="0.3">
      <c r="A357" s="2" t="s">
        <v>147</v>
      </c>
      <c r="B357" s="2" t="s">
        <v>148</v>
      </c>
      <c r="C357" s="2">
        <v>210892837</v>
      </c>
      <c r="D357" s="2">
        <v>2019</v>
      </c>
      <c r="E357" s="2" t="s">
        <v>26</v>
      </c>
      <c r="F357" s="4">
        <v>3.9999999999999998E-6</v>
      </c>
      <c r="G357" s="2">
        <v>7</v>
      </c>
      <c r="H357" s="2">
        <f>L357+O357+G357*F357</f>
        <v>4683.864028</v>
      </c>
      <c r="I357" s="2">
        <v>968</v>
      </c>
      <c r="J357" s="2">
        <v>0.13300000000000001</v>
      </c>
      <c r="K357" s="2">
        <v>6</v>
      </c>
      <c r="L357" s="2">
        <f>I357*J357*K357</f>
        <v>772.46399999999994</v>
      </c>
      <c r="M357" s="2">
        <v>53</v>
      </c>
      <c r="N357" s="2">
        <v>73.8</v>
      </c>
      <c r="O357" s="2">
        <f>M357*N357</f>
        <v>3911.3999999999996</v>
      </c>
      <c r="P357" s="2">
        <f>H357/C357*100000</f>
        <v>2.220968760546381</v>
      </c>
      <c r="Q357" s="7">
        <f t="shared" si="28"/>
        <v>2.1964868296679763</v>
      </c>
      <c r="R357" s="2" t="s">
        <v>149</v>
      </c>
      <c r="S357" s="2" t="s">
        <v>28</v>
      </c>
      <c r="T357" s="2" t="s">
        <v>150</v>
      </c>
    </row>
    <row r="358" spans="1:20" x14ac:dyDescent="0.3">
      <c r="A358" s="2" t="s">
        <v>147</v>
      </c>
      <c r="B358" s="2" t="s">
        <v>148</v>
      </c>
      <c r="C358" s="2">
        <v>210892837</v>
      </c>
      <c r="D358" s="2">
        <v>2019</v>
      </c>
      <c r="E358" s="2" t="s">
        <v>151</v>
      </c>
      <c r="F358" s="4">
        <v>6.11E-4</v>
      </c>
      <c r="G358" s="2">
        <v>7</v>
      </c>
      <c r="H358" s="2">
        <f>L358+O358+G358*F358</f>
        <v>3216290.3622770002</v>
      </c>
      <c r="I358" s="2">
        <v>60221</v>
      </c>
      <c r="J358" s="2">
        <v>0.13300000000000001</v>
      </c>
      <c r="K358" s="2">
        <v>6</v>
      </c>
      <c r="L358" s="2">
        <f>I358*J358*K358</f>
        <v>48056.358</v>
      </c>
      <c r="M358" s="2">
        <v>42930</v>
      </c>
      <c r="N358" s="2">
        <v>73.8</v>
      </c>
      <c r="O358" s="2">
        <f>M358*N358</f>
        <v>3168234</v>
      </c>
      <c r="P358" s="2">
        <f>H358/C358*100000</f>
        <v>1525.0827899275689</v>
      </c>
      <c r="Q358" s="7">
        <f t="shared" si="28"/>
        <v>99.999976196018778</v>
      </c>
      <c r="R358" s="2" t="s">
        <v>152</v>
      </c>
      <c r="S358" s="2" t="s">
        <v>28</v>
      </c>
      <c r="T358" s="2" t="s">
        <v>32</v>
      </c>
    </row>
    <row r="359" spans="1:20" x14ac:dyDescent="0.3">
      <c r="A359" s="2" t="s">
        <v>147</v>
      </c>
      <c r="B359" s="2" t="s">
        <v>148</v>
      </c>
      <c r="C359" s="2">
        <v>210892837</v>
      </c>
      <c r="D359" s="2">
        <v>2019</v>
      </c>
      <c r="E359" s="2" t="s">
        <v>33</v>
      </c>
      <c r="F359" s="4" t="s">
        <v>29</v>
      </c>
      <c r="G359" s="2">
        <v>8</v>
      </c>
      <c r="H359" s="2" t="s">
        <v>29</v>
      </c>
      <c r="I359" s="2" t="s">
        <v>29</v>
      </c>
      <c r="J359" s="2">
        <v>0.13300000000000001</v>
      </c>
      <c r="K359" s="2">
        <v>7</v>
      </c>
      <c r="L359" s="2" t="s">
        <v>29</v>
      </c>
      <c r="M359" s="2" t="s">
        <v>29</v>
      </c>
      <c r="N359" s="2">
        <v>73.8</v>
      </c>
      <c r="O359" s="2" t="s">
        <v>29</v>
      </c>
      <c r="P359" s="2" t="s">
        <v>29</v>
      </c>
      <c r="Q359" s="7" t="e">
        <f t="shared" si="28"/>
        <v>#VALUE!</v>
      </c>
      <c r="R359" s="2" t="s">
        <v>153</v>
      </c>
      <c r="S359" s="2" t="s">
        <v>35</v>
      </c>
      <c r="T359" s="2" t="s">
        <v>29</v>
      </c>
    </row>
    <row r="360" spans="1:20" x14ac:dyDescent="0.3">
      <c r="A360" s="2" t="s">
        <v>147</v>
      </c>
      <c r="B360" s="2" t="s">
        <v>148</v>
      </c>
      <c r="C360" s="2">
        <v>210892837</v>
      </c>
      <c r="D360" s="2">
        <v>2019</v>
      </c>
      <c r="E360" s="2" t="s">
        <v>37</v>
      </c>
      <c r="F360" s="4">
        <v>6.0000000000000002E-6</v>
      </c>
      <c r="G360" s="2">
        <v>6</v>
      </c>
      <c r="H360" s="2">
        <f>L360+O360+G360*F360</f>
        <v>789.76003600000001</v>
      </c>
      <c r="I360" s="2">
        <v>1234</v>
      </c>
      <c r="J360" s="2">
        <v>0.128</v>
      </c>
      <c r="K360" s="2">
        <v>5</v>
      </c>
      <c r="L360" s="2">
        <f>I360*J360*K360</f>
        <v>789.76</v>
      </c>
      <c r="M360" s="2">
        <v>0</v>
      </c>
      <c r="N360" s="2">
        <v>73.8</v>
      </c>
      <c r="O360" s="2">
        <f>M360*N360</f>
        <v>0</v>
      </c>
      <c r="P360" s="2">
        <f>H360/C360*100000</f>
        <v>0.37448404945114377</v>
      </c>
      <c r="Q360" s="7">
        <f t="shared" si="28"/>
        <v>0.37378373239930207</v>
      </c>
      <c r="R360" s="2" t="s">
        <v>154</v>
      </c>
      <c r="S360" s="2" t="s">
        <v>155</v>
      </c>
      <c r="T360" s="2" t="s">
        <v>156</v>
      </c>
    </row>
    <row r="361" spans="1:20" x14ac:dyDescent="0.3">
      <c r="A361" s="2" t="s">
        <v>147</v>
      </c>
      <c r="B361" s="2" t="s">
        <v>148</v>
      </c>
      <c r="C361" s="2">
        <v>210892837</v>
      </c>
      <c r="D361" s="2">
        <v>2019</v>
      </c>
      <c r="E361" s="2" t="s">
        <v>41</v>
      </c>
      <c r="F361" s="4">
        <v>9.9999999999999995E-7</v>
      </c>
      <c r="G361" s="2">
        <v>6</v>
      </c>
      <c r="H361" s="2">
        <f>L361+O361+G361*F361</f>
        <v>6708.240006</v>
      </c>
      <c r="I361" s="2">
        <v>138</v>
      </c>
      <c r="J361" s="2">
        <v>0.12</v>
      </c>
      <c r="K361" s="2">
        <v>4</v>
      </c>
      <c r="L361" s="2">
        <f>I361*J361*K361</f>
        <v>66.239999999999995</v>
      </c>
      <c r="M361" s="2">
        <v>90</v>
      </c>
      <c r="N361" s="2">
        <v>73.8</v>
      </c>
      <c r="O361" s="2">
        <f>M361*N361</f>
        <v>6642</v>
      </c>
      <c r="P361" s="2">
        <f>H361/C361*100000</f>
        <v>3.1808761745663277</v>
      </c>
      <c r="Q361" s="7">
        <f t="shared" si="28"/>
        <v>3.1308184701457686</v>
      </c>
      <c r="R361" s="2" t="s">
        <v>157</v>
      </c>
      <c r="S361" s="2" t="s">
        <v>158</v>
      </c>
      <c r="T361" s="2" t="s">
        <v>159</v>
      </c>
    </row>
    <row r="362" spans="1:20" x14ac:dyDescent="0.3">
      <c r="A362" s="2" t="s">
        <v>147</v>
      </c>
      <c r="B362" s="2" t="s">
        <v>148</v>
      </c>
      <c r="C362" s="2">
        <v>212158194</v>
      </c>
      <c r="D362" s="2">
        <v>2020</v>
      </c>
      <c r="E362" s="2" t="s">
        <v>22</v>
      </c>
      <c r="F362" s="4" t="s">
        <v>29</v>
      </c>
      <c r="G362" s="2">
        <v>9</v>
      </c>
      <c r="H362" s="2" t="s">
        <v>29</v>
      </c>
      <c r="I362" s="2" t="s">
        <v>29</v>
      </c>
      <c r="J362" s="2">
        <v>0.13300000000000001</v>
      </c>
      <c r="K362" s="2">
        <v>8</v>
      </c>
      <c r="L362" s="2" t="s">
        <v>29</v>
      </c>
      <c r="M362" s="2" t="s">
        <v>29</v>
      </c>
      <c r="N362" s="2">
        <v>73.8</v>
      </c>
      <c r="O362" s="2" t="s">
        <v>29</v>
      </c>
      <c r="P362" s="2" t="s">
        <v>29</v>
      </c>
      <c r="Q362" s="7" t="e">
        <f t="shared" si="28"/>
        <v>#VALUE!</v>
      </c>
      <c r="R362" s="2" t="s">
        <v>120</v>
      </c>
      <c r="S362" s="2" t="s">
        <v>28</v>
      </c>
      <c r="T362" s="2" t="s">
        <v>29</v>
      </c>
    </row>
    <row r="363" spans="1:20" x14ac:dyDescent="0.3">
      <c r="A363" s="2" t="s">
        <v>147</v>
      </c>
      <c r="B363" s="2" t="s">
        <v>148</v>
      </c>
      <c r="C363" s="2">
        <v>212158194</v>
      </c>
      <c r="D363" s="2">
        <v>2020</v>
      </c>
      <c r="E363" s="2" t="s">
        <v>26</v>
      </c>
      <c r="F363" s="4">
        <v>3.9999999999999998E-6</v>
      </c>
      <c r="G363" s="2">
        <v>7</v>
      </c>
      <c r="H363" s="2">
        <f>L363+O363+G363*F363</f>
        <v>3989.7540279999998</v>
      </c>
      <c r="I363" s="2">
        <v>1023</v>
      </c>
      <c r="J363" s="2">
        <v>0.13300000000000001</v>
      </c>
      <c r="K363" s="2">
        <v>6</v>
      </c>
      <c r="L363" s="2">
        <f>I363*J363*K363</f>
        <v>816.35400000000004</v>
      </c>
      <c r="M363" s="2">
        <v>43</v>
      </c>
      <c r="N363" s="2">
        <v>73.8</v>
      </c>
      <c r="O363" s="2">
        <f>M363*N363</f>
        <v>3173.4</v>
      </c>
      <c r="P363" s="2">
        <f>H363/C363*100000</f>
        <v>1.8805561796967407</v>
      </c>
      <c r="Q363" s="7">
        <f t="shared" si="28"/>
        <v>1.8629840456605762</v>
      </c>
      <c r="R363" s="2" t="s">
        <v>149</v>
      </c>
      <c r="S363" s="2" t="s">
        <v>28</v>
      </c>
      <c r="T363" s="2" t="s">
        <v>150</v>
      </c>
    </row>
    <row r="364" spans="1:20" x14ac:dyDescent="0.3">
      <c r="A364" s="2" t="s">
        <v>147</v>
      </c>
      <c r="B364" s="2" t="s">
        <v>148</v>
      </c>
      <c r="C364" s="2">
        <v>212158194</v>
      </c>
      <c r="D364" s="2">
        <v>2020</v>
      </c>
      <c r="E364" s="2" t="s">
        <v>151</v>
      </c>
      <c r="F364" s="4">
        <v>5.5699999999999999E-4</v>
      </c>
      <c r="G364" s="2">
        <v>7</v>
      </c>
      <c r="H364" s="2">
        <f>L364+O364+G364*F364</f>
        <v>2944621.0898990002</v>
      </c>
      <c r="I364" s="2">
        <v>46057</v>
      </c>
      <c r="J364" s="2">
        <v>0.13300000000000001</v>
      </c>
      <c r="K364" s="2">
        <v>6</v>
      </c>
      <c r="L364" s="2">
        <f>I364*J364*K364</f>
        <v>36753.486000000004</v>
      </c>
      <c r="M364" s="2">
        <v>39402</v>
      </c>
      <c r="N364" s="2">
        <v>73.8</v>
      </c>
      <c r="O364" s="2">
        <f>M364*N364</f>
        <v>2907867.6</v>
      </c>
      <c r="P364" s="2">
        <f>H364/C364*100000</f>
        <v>1387.9365365916531</v>
      </c>
      <c r="Q364" s="7">
        <f t="shared" si="28"/>
        <v>99.999906185879979</v>
      </c>
      <c r="R364" s="2" t="s">
        <v>152</v>
      </c>
      <c r="S364" s="2" t="s">
        <v>28</v>
      </c>
      <c r="T364" s="2" t="s">
        <v>32</v>
      </c>
    </row>
    <row r="365" spans="1:20" x14ac:dyDescent="0.3">
      <c r="A365" s="2" t="s">
        <v>147</v>
      </c>
      <c r="B365" s="2" t="s">
        <v>148</v>
      </c>
      <c r="C365" s="2">
        <v>212158194</v>
      </c>
      <c r="D365" s="2">
        <v>2020</v>
      </c>
      <c r="E365" s="2" t="s">
        <v>33</v>
      </c>
      <c r="F365" s="4" t="s">
        <v>29</v>
      </c>
      <c r="G365" s="2">
        <v>8</v>
      </c>
      <c r="H365" s="2" t="s">
        <v>29</v>
      </c>
      <c r="I365" s="2" t="s">
        <v>29</v>
      </c>
      <c r="J365" s="2">
        <v>0.13300000000000001</v>
      </c>
      <c r="K365" s="2">
        <v>7</v>
      </c>
      <c r="L365" s="2" t="s">
        <v>29</v>
      </c>
      <c r="M365" s="2" t="s">
        <v>29</v>
      </c>
      <c r="N365" s="2">
        <v>73.8</v>
      </c>
      <c r="O365" s="2" t="s">
        <v>29</v>
      </c>
      <c r="P365" s="2" t="s">
        <v>29</v>
      </c>
      <c r="Q365" s="7" t="e">
        <f t="shared" si="28"/>
        <v>#VALUE!</v>
      </c>
      <c r="R365" s="2" t="s">
        <v>153</v>
      </c>
      <c r="S365" s="2" t="s">
        <v>35</v>
      </c>
      <c r="T365" s="2" t="s">
        <v>29</v>
      </c>
    </row>
    <row r="366" spans="1:20" x14ac:dyDescent="0.3">
      <c r="A366" s="2" t="s">
        <v>147</v>
      </c>
      <c r="B366" s="2" t="s">
        <v>148</v>
      </c>
      <c r="C366" s="2">
        <v>212158194</v>
      </c>
      <c r="D366" s="2">
        <v>2020</v>
      </c>
      <c r="E366" s="2" t="s">
        <v>37</v>
      </c>
      <c r="F366" s="4">
        <v>5.0000000000000004E-6</v>
      </c>
      <c r="G366" s="2">
        <v>6</v>
      </c>
      <c r="H366" s="2">
        <f>L366+O366+G366*F366</f>
        <v>718.72003000000007</v>
      </c>
      <c r="I366" s="2">
        <v>1123</v>
      </c>
      <c r="J366" s="2">
        <v>0.128</v>
      </c>
      <c r="K366" s="2">
        <v>5</v>
      </c>
      <c r="L366" s="2">
        <f>I366*J366*K366</f>
        <v>718.72</v>
      </c>
      <c r="M366" s="2">
        <v>0</v>
      </c>
      <c r="N366" s="2">
        <v>73.8</v>
      </c>
      <c r="O366" s="2">
        <f>M366*N366</f>
        <v>0</v>
      </c>
      <c r="P366" s="2">
        <f>H366/C366*100000</f>
        <v>0.33876609545422509</v>
      </c>
      <c r="Q366" s="7">
        <f t="shared" si="28"/>
        <v>0.33819293052923527</v>
      </c>
      <c r="R366" s="2" t="s">
        <v>154</v>
      </c>
      <c r="S366" s="2" t="s">
        <v>155</v>
      </c>
      <c r="T366" s="2" t="s">
        <v>156</v>
      </c>
    </row>
    <row r="367" spans="1:20" x14ac:dyDescent="0.3">
      <c r="A367" s="2" t="s">
        <v>147</v>
      </c>
      <c r="B367" s="2" t="s">
        <v>148</v>
      </c>
      <c r="C367" s="2">
        <v>212158194</v>
      </c>
      <c r="D367" s="2">
        <v>2020</v>
      </c>
      <c r="E367" s="2" t="s">
        <v>41</v>
      </c>
      <c r="F367" s="4">
        <v>9.9999999999999995E-7</v>
      </c>
      <c r="G367" s="2">
        <v>6</v>
      </c>
      <c r="H367" s="2">
        <f>L367+O367+G367*F367</f>
        <v>6703.4400059999998</v>
      </c>
      <c r="I367" s="2">
        <v>128</v>
      </c>
      <c r="J367" s="2">
        <v>0.12</v>
      </c>
      <c r="K367" s="2">
        <v>4</v>
      </c>
      <c r="L367" s="2">
        <f>I367*J367*K367</f>
        <v>61.44</v>
      </c>
      <c r="M367" s="2">
        <v>90</v>
      </c>
      <c r="N367" s="2">
        <v>73.8</v>
      </c>
      <c r="O367" s="2">
        <f>M367*N367</f>
        <v>6642</v>
      </c>
      <c r="P367" s="2">
        <f>H367/C367*100000</f>
        <v>3.1596422837196658</v>
      </c>
      <c r="Q367" s="7">
        <f t="shared" si="28"/>
        <v>3.1102471899113637</v>
      </c>
      <c r="R367" s="2" t="s">
        <v>157</v>
      </c>
      <c r="S367" s="2" t="s">
        <v>158</v>
      </c>
      <c r="T367" s="2" t="s">
        <v>159</v>
      </c>
    </row>
    <row r="368" spans="1:20" x14ac:dyDescent="0.3">
      <c r="A368" s="2" t="s">
        <v>147</v>
      </c>
      <c r="B368" s="2" t="s">
        <v>148</v>
      </c>
      <c r="C368" s="2">
        <v>213431143</v>
      </c>
      <c r="D368" s="2">
        <v>2021</v>
      </c>
      <c r="E368" s="2" t="s">
        <v>22</v>
      </c>
      <c r="F368" s="4" t="s">
        <v>29</v>
      </c>
      <c r="G368" s="2">
        <v>9</v>
      </c>
      <c r="H368" s="2" t="s">
        <v>29</v>
      </c>
      <c r="I368" s="2" t="s">
        <v>29</v>
      </c>
      <c r="J368" s="2">
        <v>0.13300000000000001</v>
      </c>
      <c r="K368" s="2">
        <v>8</v>
      </c>
      <c r="L368" s="2" t="s">
        <v>29</v>
      </c>
      <c r="M368" s="2" t="s">
        <v>29</v>
      </c>
      <c r="N368" s="2">
        <v>73.8</v>
      </c>
      <c r="O368" s="2" t="s">
        <v>29</v>
      </c>
      <c r="P368" s="2" t="s">
        <v>29</v>
      </c>
      <c r="Q368" s="7" t="e">
        <f t="shared" si="28"/>
        <v>#VALUE!</v>
      </c>
      <c r="R368" s="2" t="s">
        <v>120</v>
      </c>
      <c r="S368" s="2" t="s">
        <v>28</v>
      </c>
      <c r="T368" s="2" t="s">
        <v>29</v>
      </c>
    </row>
    <row r="369" spans="1:20" x14ac:dyDescent="0.3">
      <c r="A369" s="2" t="s">
        <v>147</v>
      </c>
      <c r="B369" s="2" t="s">
        <v>148</v>
      </c>
      <c r="C369" s="2">
        <v>213431143</v>
      </c>
      <c r="D369" s="2">
        <v>2021</v>
      </c>
      <c r="E369" s="2" t="s">
        <v>26</v>
      </c>
      <c r="F369" s="4">
        <v>3.9999999999999998E-6</v>
      </c>
      <c r="G369" s="2">
        <v>7</v>
      </c>
      <c r="H369" s="2">
        <f>L369+O369+G369*F369</f>
        <v>4284.1560280000003</v>
      </c>
      <c r="I369" s="2">
        <v>1022</v>
      </c>
      <c r="J369" s="2">
        <v>0.13300000000000001</v>
      </c>
      <c r="K369" s="2">
        <v>6</v>
      </c>
      <c r="L369" s="2">
        <f>I369*J369*K369</f>
        <v>815.55600000000004</v>
      </c>
      <c r="M369" s="2">
        <v>47</v>
      </c>
      <c r="N369" s="2">
        <v>73.8</v>
      </c>
      <c r="O369" s="2">
        <f>M369*N369</f>
        <v>3468.6</v>
      </c>
      <c r="P369" s="2">
        <f>H369/C369*100000</f>
        <v>2.0072778357374026</v>
      </c>
      <c r="Q369" s="7">
        <f t="shared" si="28"/>
        <v>1.9872661346747256</v>
      </c>
      <c r="R369" s="2" t="s">
        <v>149</v>
      </c>
      <c r="S369" s="2" t="s">
        <v>28</v>
      </c>
      <c r="T369" s="2" t="s">
        <v>150</v>
      </c>
    </row>
    <row r="370" spans="1:20" x14ac:dyDescent="0.3">
      <c r="A370" s="2" t="s">
        <v>147</v>
      </c>
      <c r="B370" s="2" t="s">
        <v>148</v>
      </c>
      <c r="C370" s="2">
        <v>213431143</v>
      </c>
      <c r="D370" s="2">
        <v>2021</v>
      </c>
      <c r="E370" s="2" t="s">
        <v>151</v>
      </c>
      <c r="F370" s="4">
        <v>5.31E-4</v>
      </c>
      <c r="G370" s="2">
        <v>7</v>
      </c>
      <c r="H370" s="2">
        <f>L370+O370+G370*F370</f>
        <v>2824342.6957169999</v>
      </c>
      <c r="I370" s="2">
        <v>46354</v>
      </c>
      <c r="J370" s="2">
        <v>0.13300000000000001</v>
      </c>
      <c r="K370" s="2">
        <v>6</v>
      </c>
      <c r="L370" s="2">
        <f>I370*J370*K370</f>
        <v>36990.491999999998</v>
      </c>
      <c r="M370" s="2">
        <v>37769</v>
      </c>
      <c r="N370" s="2">
        <v>73.8</v>
      </c>
      <c r="O370" s="2">
        <f>M370*N370</f>
        <v>2787352.1999999997</v>
      </c>
      <c r="P370" s="2">
        <f>H370/C370*100000</f>
        <v>1323.3039265113246</v>
      </c>
      <c r="Q370" s="7">
        <f t="shared" si="28"/>
        <v>99.999820954228682</v>
      </c>
      <c r="R370" s="2" t="s">
        <v>152</v>
      </c>
      <c r="S370" s="2" t="s">
        <v>28</v>
      </c>
      <c r="T370" s="2" t="s">
        <v>32</v>
      </c>
    </row>
    <row r="371" spans="1:20" x14ac:dyDescent="0.3">
      <c r="A371" s="2" t="s">
        <v>147</v>
      </c>
      <c r="B371" s="2" t="s">
        <v>148</v>
      </c>
      <c r="C371" s="2">
        <v>213431143</v>
      </c>
      <c r="D371" s="2">
        <v>2021</v>
      </c>
      <c r="E371" s="2" t="s">
        <v>33</v>
      </c>
      <c r="F371" s="4" t="s">
        <v>29</v>
      </c>
      <c r="G371" s="2">
        <v>8</v>
      </c>
      <c r="H371" s="2" t="s">
        <v>29</v>
      </c>
      <c r="I371" s="2" t="s">
        <v>29</v>
      </c>
      <c r="J371" s="2">
        <v>0.13300000000000001</v>
      </c>
      <c r="K371" s="2">
        <v>7</v>
      </c>
      <c r="L371" s="2" t="s">
        <v>29</v>
      </c>
      <c r="M371" s="2" t="s">
        <v>29</v>
      </c>
      <c r="N371" s="2">
        <v>73.8</v>
      </c>
      <c r="O371" s="2" t="s">
        <v>29</v>
      </c>
      <c r="P371" s="2" t="s">
        <v>29</v>
      </c>
      <c r="Q371" s="7" t="e">
        <f t="shared" si="28"/>
        <v>#VALUE!</v>
      </c>
      <c r="R371" s="2" t="s">
        <v>153</v>
      </c>
      <c r="S371" s="2" t="s">
        <v>35</v>
      </c>
      <c r="T371" s="2" t="s">
        <v>29</v>
      </c>
    </row>
    <row r="372" spans="1:20" x14ac:dyDescent="0.3">
      <c r="A372" s="2" t="s">
        <v>147</v>
      </c>
      <c r="B372" s="2" t="s">
        <v>148</v>
      </c>
      <c r="C372" s="2">
        <v>213431143</v>
      </c>
      <c r="D372" s="2">
        <v>2021</v>
      </c>
      <c r="E372" s="2" t="s">
        <v>37</v>
      </c>
      <c r="F372" s="4">
        <v>6.0000000000000002E-6</v>
      </c>
      <c r="G372" s="2">
        <v>6</v>
      </c>
      <c r="H372" s="2">
        <f>L372+O372+G372*F372</f>
        <v>848.64003600000012</v>
      </c>
      <c r="I372" s="2">
        <v>1326</v>
      </c>
      <c r="J372" s="2">
        <v>0.128</v>
      </c>
      <c r="K372" s="2">
        <v>5</v>
      </c>
      <c r="L372" s="2">
        <f>I372*J372*K372</f>
        <v>848.6400000000001</v>
      </c>
      <c r="M372" s="2">
        <v>0</v>
      </c>
      <c r="N372" s="2">
        <v>73.8</v>
      </c>
      <c r="O372" s="2">
        <f>M372*N372</f>
        <v>0</v>
      </c>
      <c r="P372" s="2">
        <f>H372/C372*100000</f>
        <v>0.39761771598627488</v>
      </c>
      <c r="Q372" s="7">
        <f t="shared" si="28"/>
        <v>0.39682826342696265</v>
      </c>
      <c r="R372" s="2" t="s">
        <v>154</v>
      </c>
      <c r="S372" s="2" t="s">
        <v>155</v>
      </c>
      <c r="T372" s="2" t="s">
        <v>156</v>
      </c>
    </row>
    <row r="373" spans="1:20" x14ac:dyDescent="0.3">
      <c r="A373" s="2" t="s">
        <v>147</v>
      </c>
      <c r="B373" s="2" t="s">
        <v>148</v>
      </c>
      <c r="C373" s="2">
        <v>213431143</v>
      </c>
      <c r="D373" s="2">
        <v>2021</v>
      </c>
      <c r="E373" s="2" t="s">
        <v>41</v>
      </c>
      <c r="F373" s="4">
        <v>9.9999999999999995E-7</v>
      </c>
      <c r="G373" s="2">
        <v>6</v>
      </c>
      <c r="H373" s="2">
        <f>L373+O373+G373*F373</f>
        <v>6708.7200060000005</v>
      </c>
      <c r="I373" s="2">
        <v>139</v>
      </c>
      <c r="J373" s="2">
        <v>0.12</v>
      </c>
      <c r="K373" s="2">
        <v>4</v>
      </c>
      <c r="L373" s="2">
        <f>I373*J373*K373</f>
        <v>66.72</v>
      </c>
      <c r="M373" s="2">
        <v>90</v>
      </c>
      <c r="N373" s="2">
        <v>73.8</v>
      </c>
      <c r="O373" s="2">
        <f>M373*N373</f>
        <v>6642</v>
      </c>
      <c r="P373" s="2">
        <f>H373/C373*100000</f>
        <v>3.1432713669157462</v>
      </c>
      <c r="Q373" s="7">
        <f t="shared" si="28"/>
        <v>3.0943841506602565</v>
      </c>
      <c r="R373" s="2" t="s">
        <v>157</v>
      </c>
      <c r="S373" s="2" t="s">
        <v>158</v>
      </c>
      <c r="T373" s="2" t="s">
        <v>159</v>
      </c>
    </row>
    <row r="374" spans="1:20" x14ac:dyDescent="0.3">
      <c r="A374" s="2" t="s">
        <v>147</v>
      </c>
      <c r="B374" s="2" t="s">
        <v>148</v>
      </c>
      <c r="C374" s="2">
        <v>214711730</v>
      </c>
      <c r="D374" s="2">
        <v>2022</v>
      </c>
      <c r="E374" s="2" t="s">
        <v>22</v>
      </c>
      <c r="F374" s="4" t="s">
        <v>29</v>
      </c>
      <c r="G374" s="2">
        <v>9</v>
      </c>
      <c r="H374" s="2" t="s">
        <v>29</v>
      </c>
      <c r="I374" s="2" t="s">
        <v>29</v>
      </c>
      <c r="J374" s="2">
        <v>0.13300000000000001</v>
      </c>
      <c r="K374" s="2">
        <v>8</v>
      </c>
      <c r="L374" s="2" t="s">
        <v>29</v>
      </c>
      <c r="M374" s="2" t="s">
        <v>29</v>
      </c>
      <c r="N374" s="2">
        <v>73.8</v>
      </c>
      <c r="O374" s="2" t="s">
        <v>29</v>
      </c>
      <c r="P374" s="2" t="s">
        <v>29</v>
      </c>
      <c r="Q374" s="7" t="e">
        <f t="shared" si="28"/>
        <v>#VALUE!</v>
      </c>
      <c r="R374" s="2" t="s">
        <v>120</v>
      </c>
      <c r="S374" s="2" t="s">
        <v>28</v>
      </c>
      <c r="T374" s="2" t="s">
        <v>29</v>
      </c>
    </row>
    <row r="375" spans="1:20" x14ac:dyDescent="0.3">
      <c r="A375" s="2" t="s">
        <v>147</v>
      </c>
      <c r="B375" s="2" t="s">
        <v>148</v>
      </c>
      <c r="C375" s="2">
        <v>214711730</v>
      </c>
      <c r="D375" s="2">
        <v>2022</v>
      </c>
      <c r="E375" s="2" t="s">
        <v>26</v>
      </c>
      <c r="F375" s="4">
        <v>3.9999999999999998E-6</v>
      </c>
      <c r="G375" s="2">
        <v>7</v>
      </c>
      <c r="H375" s="2">
        <f>L375+O375+G375*F375</f>
        <v>4650.3480280000003</v>
      </c>
      <c r="I375" s="2">
        <v>926</v>
      </c>
      <c r="J375" s="2">
        <v>0.13300000000000001</v>
      </c>
      <c r="K375" s="2">
        <v>6</v>
      </c>
      <c r="L375" s="2">
        <f>I375*J375*K375</f>
        <v>738.94799999999998</v>
      </c>
      <c r="M375" s="2">
        <v>53</v>
      </c>
      <c r="N375" s="2">
        <v>73.8</v>
      </c>
      <c r="O375" s="2">
        <f>M375*N375</f>
        <v>3911.3999999999996</v>
      </c>
      <c r="P375" s="2">
        <f>H375/C375*100000</f>
        <v>2.1658565314526599</v>
      </c>
      <c r="Q375" s="7">
        <f t="shared" si="28"/>
        <v>2.1425702774856559</v>
      </c>
      <c r="R375" s="2" t="s">
        <v>149</v>
      </c>
      <c r="S375" s="2" t="s">
        <v>28</v>
      </c>
      <c r="T375" s="2" t="s">
        <v>150</v>
      </c>
    </row>
    <row r="376" spans="1:20" x14ac:dyDescent="0.3">
      <c r="A376" s="2" t="s">
        <v>147</v>
      </c>
      <c r="B376" s="2" t="s">
        <v>148</v>
      </c>
      <c r="C376" s="2">
        <v>214711730</v>
      </c>
      <c r="D376" s="2">
        <v>2022</v>
      </c>
      <c r="E376" s="2" t="s">
        <v>151</v>
      </c>
      <c r="F376" s="4">
        <v>5.3899999999999998E-4</v>
      </c>
      <c r="G376" s="2">
        <v>7</v>
      </c>
      <c r="H376" s="2">
        <f>L376+O376+G376*F376</f>
        <v>2889754.9957729997</v>
      </c>
      <c r="I376" s="2">
        <v>56004</v>
      </c>
      <c r="J376" s="2">
        <v>0.13300000000000001</v>
      </c>
      <c r="K376" s="2">
        <v>6</v>
      </c>
      <c r="L376" s="2">
        <f>I376*J376*K376</f>
        <v>44691.192000000003</v>
      </c>
      <c r="M376" s="2">
        <v>38551</v>
      </c>
      <c r="N376" s="2">
        <v>73.8</v>
      </c>
      <c r="O376" s="2">
        <f>M376*N376</f>
        <v>2845063.8</v>
      </c>
      <c r="P376" s="2">
        <f>H376/C376*100000</f>
        <v>1345.8766299228271</v>
      </c>
      <c r="Q376" s="7">
        <f t="shared" si="28"/>
        <v>99.999857132954688</v>
      </c>
      <c r="R376" s="2" t="s">
        <v>152</v>
      </c>
      <c r="S376" s="2" t="s">
        <v>28</v>
      </c>
      <c r="T376" s="2" t="s">
        <v>32</v>
      </c>
    </row>
    <row r="377" spans="1:20" x14ac:dyDescent="0.3">
      <c r="A377" s="2" t="s">
        <v>147</v>
      </c>
      <c r="B377" s="2" t="s">
        <v>148</v>
      </c>
      <c r="C377" s="2">
        <v>214711730</v>
      </c>
      <c r="D377" s="2">
        <v>2022</v>
      </c>
      <c r="E377" s="2" t="s">
        <v>33</v>
      </c>
      <c r="F377" s="4" t="s">
        <v>29</v>
      </c>
      <c r="G377" s="2">
        <v>8</v>
      </c>
      <c r="H377" s="2" t="s">
        <v>29</v>
      </c>
      <c r="I377" s="2" t="s">
        <v>29</v>
      </c>
      <c r="J377" s="2">
        <v>0.13300000000000001</v>
      </c>
      <c r="K377" s="2">
        <v>7</v>
      </c>
      <c r="L377" s="2" t="s">
        <v>29</v>
      </c>
      <c r="M377" s="2" t="s">
        <v>29</v>
      </c>
      <c r="N377" s="2">
        <v>73.8</v>
      </c>
      <c r="O377" s="2" t="s">
        <v>29</v>
      </c>
      <c r="P377" s="2" t="s">
        <v>29</v>
      </c>
      <c r="Q377" s="7" t="e">
        <f t="shared" si="28"/>
        <v>#VALUE!</v>
      </c>
      <c r="R377" s="2" t="s">
        <v>153</v>
      </c>
      <c r="S377" s="2" t="s">
        <v>35</v>
      </c>
      <c r="T377" s="2" t="s">
        <v>29</v>
      </c>
    </row>
    <row r="378" spans="1:20" x14ac:dyDescent="0.3">
      <c r="A378" s="2" t="s">
        <v>147</v>
      </c>
      <c r="B378" s="2" t="s">
        <v>148</v>
      </c>
      <c r="C378" s="2">
        <v>214711730</v>
      </c>
      <c r="D378" s="2">
        <v>2022</v>
      </c>
      <c r="E378" s="2" t="s">
        <v>37</v>
      </c>
      <c r="F378" s="4">
        <v>6.0000000000000002E-6</v>
      </c>
      <c r="G378" s="2">
        <v>6</v>
      </c>
      <c r="H378" s="2">
        <f>L378+O378+G378*F378</f>
        <v>793.60003600000005</v>
      </c>
      <c r="I378" s="2">
        <v>1240</v>
      </c>
      <c r="J378" s="2">
        <v>0.128</v>
      </c>
      <c r="K378" s="2">
        <v>5</v>
      </c>
      <c r="L378" s="2">
        <f>I378*J378*K378</f>
        <v>793.6</v>
      </c>
      <c r="M378" s="2">
        <v>0</v>
      </c>
      <c r="N378" s="2">
        <v>73.8</v>
      </c>
      <c r="O378" s="2">
        <f>M378*N378</f>
        <v>0</v>
      </c>
      <c r="P378" s="2">
        <f>H378/C378*100000</f>
        <v>0.36961186796827544</v>
      </c>
      <c r="Q378" s="7">
        <f t="shared" si="28"/>
        <v>0.36892964408919982</v>
      </c>
      <c r="R378" s="2" t="s">
        <v>154</v>
      </c>
      <c r="S378" s="2" t="s">
        <v>155</v>
      </c>
      <c r="T378" s="2" t="s">
        <v>156</v>
      </c>
    </row>
    <row r="379" spans="1:20" x14ac:dyDescent="0.3">
      <c r="A379" s="2" t="s">
        <v>147</v>
      </c>
      <c r="B379" s="2" t="s">
        <v>148</v>
      </c>
      <c r="C379" s="2">
        <v>214711730</v>
      </c>
      <c r="D379" s="2">
        <v>2022</v>
      </c>
      <c r="E379" s="2" t="s">
        <v>41</v>
      </c>
      <c r="F379" s="4">
        <v>1.9999999999999999E-6</v>
      </c>
      <c r="G379" s="2">
        <v>6</v>
      </c>
      <c r="H379" s="2">
        <f>L379+O379+G379*F379</f>
        <v>17370.600011999999</v>
      </c>
      <c r="I379" s="2">
        <v>365</v>
      </c>
      <c r="J379" s="2">
        <v>0.12</v>
      </c>
      <c r="K379" s="2">
        <v>4</v>
      </c>
      <c r="L379" s="2">
        <f>I379*J379*K379</f>
        <v>175.2</v>
      </c>
      <c r="M379" s="2">
        <v>233</v>
      </c>
      <c r="N379" s="2">
        <v>73.8</v>
      </c>
      <c r="O379" s="2">
        <f>M379*N379</f>
        <v>17195.399999999998</v>
      </c>
      <c r="P379" s="2">
        <f>H379/C379*100000</f>
        <v>8.0901961024672477</v>
      </c>
      <c r="Q379" s="7">
        <f t="shared" si="28"/>
        <v>7.7715893198787134</v>
      </c>
      <c r="R379" s="2" t="s">
        <v>160</v>
      </c>
      <c r="S379" s="2" t="s">
        <v>158</v>
      </c>
      <c r="T379" s="2" t="s">
        <v>159</v>
      </c>
    </row>
    <row r="380" spans="1:20" x14ac:dyDescent="0.3">
      <c r="A380" s="2" t="s">
        <v>147</v>
      </c>
      <c r="B380" s="2" t="s">
        <v>148</v>
      </c>
      <c r="C380" s="2">
        <v>216000000</v>
      </c>
      <c r="D380" s="2">
        <v>2023</v>
      </c>
      <c r="E380" s="2" t="s">
        <v>22</v>
      </c>
      <c r="F380" s="4" t="s">
        <v>29</v>
      </c>
      <c r="G380" s="2">
        <v>9</v>
      </c>
      <c r="H380" s="2" t="s">
        <v>29</v>
      </c>
      <c r="I380" s="2" t="s">
        <v>29</v>
      </c>
      <c r="J380" s="2">
        <v>0.13300000000000001</v>
      </c>
      <c r="K380" s="2">
        <v>8</v>
      </c>
      <c r="L380" s="2" t="s">
        <v>29</v>
      </c>
      <c r="M380" s="2" t="s">
        <v>29</v>
      </c>
      <c r="N380" s="2">
        <v>73.8</v>
      </c>
      <c r="O380" s="2" t="s">
        <v>29</v>
      </c>
      <c r="P380" s="2" t="s">
        <v>29</v>
      </c>
      <c r="Q380" s="7" t="e">
        <f t="shared" si="28"/>
        <v>#VALUE!</v>
      </c>
      <c r="R380" s="2" t="s">
        <v>120</v>
      </c>
      <c r="S380" s="2" t="s">
        <v>28</v>
      </c>
      <c r="T380" s="2" t="s">
        <v>29</v>
      </c>
    </row>
    <row r="381" spans="1:20" x14ac:dyDescent="0.3">
      <c r="A381" s="2" t="s">
        <v>147</v>
      </c>
      <c r="B381" s="2" t="s">
        <v>148</v>
      </c>
      <c r="C381" s="2">
        <v>216000000</v>
      </c>
      <c r="D381" s="2">
        <v>2023</v>
      </c>
      <c r="E381" s="2" t="s">
        <v>26</v>
      </c>
      <c r="F381" s="4">
        <v>3.9999999999999998E-6</v>
      </c>
      <c r="G381" s="2">
        <v>7</v>
      </c>
      <c r="H381" s="2">
        <f>L381+O381+G381*F381</f>
        <v>4866.1920280000004</v>
      </c>
      <c r="I381" s="2">
        <v>1104</v>
      </c>
      <c r="J381" s="2">
        <v>0.13300000000000001</v>
      </c>
      <c r="K381" s="2">
        <v>6</v>
      </c>
      <c r="L381" s="2">
        <f>I381*J381*K381</f>
        <v>880.99199999999996</v>
      </c>
      <c r="M381" s="2">
        <v>54</v>
      </c>
      <c r="N381" s="2">
        <v>73.8</v>
      </c>
      <c r="O381" s="2">
        <f>M381*N381</f>
        <v>3985.2</v>
      </c>
      <c r="P381" s="2">
        <f>H381/C381*100000</f>
        <v>2.2528666796296299</v>
      </c>
      <c r="Q381" s="7">
        <f t="shared" si="28"/>
        <v>2.2276791400461793</v>
      </c>
      <c r="R381" s="2" t="s">
        <v>149</v>
      </c>
      <c r="S381" s="2" t="s">
        <v>28</v>
      </c>
      <c r="T381" s="2" t="s">
        <v>150</v>
      </c>
    </row>
    <row r="382" spans="1:20" x14ac:dyDescent="0.3">
      <c r="A382" s="2" t="s">
        <v>147</v>
      </c>
      <c r="B382" s="2" t="s">
        <v>148</v>
      </c>
      <c r="C382" s="2">
        <v>216000000</v>
      </c>
      <c r="D382" s="2">
        <v>2023</v>
      </c>
      <c r="E382" s="2" t="s">
        <v>151</v>
      </c>
      <c r="F382" s="4">
        <v>4.7800000000000002E-4</v>
      </c>
      <c r="G382" s="2">
        <v>7</v>
      </c>
      <c r="H382" s="2">
        <f>L382+O382+G382*F382</f>
        <v>2576042.2173459996</v>
      </c>
      <c r="I382" s="2">
        <v>42793</v>
      </c>
      <c r="J382" s="2">
        <v>0.13300000000000001</v>
      </c>
      <c r="K382" s="2">
        <v>6</v>
      </c>
      <c r="L382" s="2">
        <f>I382*J382*K382</f>
        <v>34148.813999999998</v>
      </c>
      <c r="M382" s="2">
        <v>34443</v>
      </c>
      <c r="N382" s="2">
        <v>73.8</v>
      </c>
      <c r="O382" s="2">
        <f>M382*N382</f>
        <v>2541893.4</v>
      </c>
      <c r="P382" s="2">
        <f>H382/C382*100000</f>
        <v>1192.612137660185</v>
      </c>
      <c r="Q382" s="7">
        <f t="shared" si="28"/>
        <v>99.99933846733181</v>
      </c>
      <c r="R382" s="2" t="s">
        <v>152</v>
      </c>
      <c r="S382" s="2" t="s">
        <v>28</v>
      </c>
      <c r="T382" s="2" t="s">
        <v>32</v>
      </c>
    </row>
    <row r="383" spans="1:20" x14ac:dyDescent="0.3">
      <c r="A383" s="2" t="s">
        <v>147</v>
      </c>
      <c r="B383" s="2" t="s">
        <v>148</v>
      </c>
      <c r="C383" s="2">
        <v>216000000</v>
      </c>
      <c r="D383" s="2">
        <v>2023</v>
      </c>
      <c r="E383" s="2" t="s">
        <v>33</v>
      </c>
      <c r="F383" s="4" t="s">
        <v>29</v>
      </c>
      <c r="G383" s="2">
        <v>8</v>
      </c>
      <c r="H383" s="2" t="s">
        <v>29</v>
      </c>
      <c r="I383" s="2" t="s">
        <v>29</v>
      </c>
      <c r="J383" s="2">
        <v>0.13300000000000001</v>
      </c>
      <c r="K383" s="2">
        <v>7</v>
      </c>
      <c r="L383" s="2" t="s">
        <v>29</v>
      </c>
      <c r="M383" s="2" t="s">
        <v>29</v>
      </c>
      <c r="N383" s="2">
        <v>73.8</v>
      </c>
      <c r="O383" s="2" t="s">
        <v>29</v>
      </c>
      <c r="P383" s="2" t="s">
        <v>29</v>
      </c>
      <c r="Q383" s="7" t="e">
        <f t="shared" si="28"/>
        <v>#VALUE!</v>
      </c>
      <c r="R383" s="2" t="s">
        <v>153</v>
      </c>
      <c r="S383" s="2" t="s">
        <v>35</v>
      </c>
      <c r="T383" s="2" t="s">
        <v>29</v>
      </c>
    </row>
    <row r="384" spans="1:20" x14ac:dyDescent="0.3">
      <c r="A384" s="2" t="s">
        <v>147</v>
      </c>
      <c r="B384" s="2" t="s">
        <v>148</v>
      </c>
      <c r="C384" s="2">
        <v>216000000</v>
      </c>
      <c r="D384" s="2">
        <v>2023</v>
      </c>
      <c r="E384" s="2" t="s">
        <v>37</v>
      </c>
      <c r="F384" s="4">
        <v>5.0000000000000004E-6</v>
      </c>
      <c r="G384" s="2">
        <v>6</v>
      </c>
      <c r="H384" s="2">
        <f>L384+O384+G384*F384</f>
        <v>725.12003000000004</v>
      </c>
      <c r="I384" s="2">
        <v>1133</v>
      </c>
      <c r="J384" s="2">
        <v>0.128</v>
      </c>
      <c r="K384" s="2">
        <v>5</v>
      </c>
      <c r="L384" s="2">
        <f>I384*J384*K384</f>
        <v>725.12</v>
      </c>
      <c r="M384" s="2">
        <v>0</v>
      </c>
      <c r="N384" s="2">
        <v>73.8</v>
      </c>
      <c r="O384" s="2">
        <f>M384*N384</f>
        <v>0</v>
      </c>
      <c r="P384" s="2">
        <f>H384/C384*100000</f>
        <v>0.3357037175925926</v>
      </c>
      <c r="Q384" s="7">
        <f t="shared" si="28"/>
        <v>0.33514086268034982</v>
      </c>
      <c r="R384" s="2" t="s">
        <v>154</v>
      </c>
      <c r="S384" s="2" t="s">
        <v>155</v>
      </c>
      <c r="T384" s="2" t="s">
        <v>156</v>
      </c>
    </row>
    <row r="385" spans="1:20" x14ac:dyDescent="0.3">
      <c r="A385" s="2" t="s">
        <v>147</v>
      </c>
      <c r="B385" s="2" t="s">
        <v>148</v>
      </c>
      <c r="C385" s="2">
        <v>216000000</v>
      </c>
      <c r="D385" s="2">
        <v>2023</v>
      </c>
      <c r="E385" s="2" t="s">
        <v>41</v>
      </c>
      <c r="F385" s="4">
        <v>9.9999999999999995E-7</v>
      </c>
      <c r="G385" s="2">
        <v>6</v>
      </c>
      <c r="H385" s="2">
        <f>L385+O385+G385*F385</f>
        <v>6713.5200060000006</v>
      </c>
      <c r="I385" s="2">
        <v>149</v>
      </c>
      <c r="J385" s="2">
        <v>0.12</v>
      </c>
      <c r="K385" s="2">
        <v>4</v>
      </c>
      <c r="L385" s="2">
        <f>I385*J385*K385</f>
        <v>71.52</v>
      </c>
      <c r="M385" s="2">
        <v>90</v>
      </c>
      <c r="N385" s="2">
        <v>73.8</v>
      </c>
      <c r="O385" s="2">
        <f>M385*N385</f>
        <v>6642</v>
      </c>
      <c r="P385" s="2">
        <f>H385/C385*100000</f>
        <v>3.1081111138888895</v>
      </c>
      <c r="Q385" s="7">
        <f t="shared" si="28"/>
        <v>3.0603059002819344</v>
      </c>
      <c r="R385" s="2" t="s">
        <v>157</v>
      </c>
      <c r="S385" s="2" t="s">
        <v>158</v>
      </c>
      <c r="T385" s="2" t="s">
        <v>159</v>
      </c>
    </row>
    <row r="386" spans="1:20" x14ac:dyDescent="0.3">
      <c r="A386" s="2" t="s">
        <v>147</v>
      </c>
      <c r="B386" s="2" t="s">
        <v>148</v>
      </c>
      <c r="C386" s="2">
        <v>217296000</v>
      </c>
      <c r="D386" s="2">
        <v>2024</v>
      </c>
      <c r="E386" s="2" t="s">
        <v>22</v>
      </c>
      <c r="F386" s="4" t="s">
        <v>29</v>
      </c>
      <c r="G386" s="2">
        <v>9</v>
      </c>
      <c r="H386" s="2" t="s">
        <v>29</v>
      </c>
      <c r="I386" s="2" t="s">
        <v>29</v>
      </c>
      <c r="J386" s="2">
        <v>0.13300000000000001</v>
      </c>
      <c r="K386" s="2">
        <v>8</v>
      </c>
      <c r="L386" s="2" t="s">
        <v>29</v>
      </c>
      <c r="M386" s="2" t="s">
        <v>29</v>
      </c>
      <c r="N386" s="2">
        <v>73.8</v>
      </c>
      <c r="O386" s="2" t="s">
        <v>29</v>
      </c>
      <c r="P386" s="2" t="s">
        <v>29</v>
      </c>
      <c r="Q386" s="7" t="e">
        <f t="shared" ref="Q386:Q449" si="33">100*(1-EXP(-P386/100))</f>
        <v>#VALUE!</v>
      </c>
      <c r="R386" s="2" t="s">
        <v>120</v>
      </c>
      <c r="S386" s="2" t="s">
        <v>28</v>
      </c>
      <c r="T386" s="2" t="s">
        <v>29</v>
      </c>
    </row>
    <row r="387" spans="1:20" x14ac:dyDescent="0.3">
      <c r="A387" s="2" t="s">
        <v>147</v>
      </c>
      <c r="B387" s="2" t="s">
        <v>148</v>
      </c>
      <c r="C387" s="2">
        <v>217296000</v>
      </c>
      <c r="D387" s="2">
        <v>2024</v>
      </c>
      <c r="E387" s="2" t="s">
        <v>26</v>
      </c>
      <c r="F387" s="4">
        <v>5.0000000000000004E-6</v>
      </c>
      <c r="G387" s="2">
        <v>7</v>
      </c>
      <c r="H387" s="2">
        <f>L387+O387+G387*F387</f>
        <v>4516.3440350000001</v>
      </c>
      <c r="I387" s="2">
        <v>1128</v>
      </c>
      <c r="J387" s="2">
        <v>0.13300000000000001</v>
      </c>
      <c r="K387" s="2">
        <v>6</v>
      </c>
      <c r="L387" s="2">
        <f>I387*J387*K387</f>
        <v>900.14400000000001</v>
      </c>
      <c r="M387" s="2">
        <v>49</v>
      </c>
      <c r="N387" s="2">
        <v>73.8</v>
      </c>
      <c r="O387" s="2">
        <f>M387*N387</f>
        <v>3616.2</v>
      </c>
      <c r="P387" s="2">
        <f>H387/C387*100000</f>
        <v>2.0784294395663059</v>
      </c>
      <c r="Q387" s="7">
        <f t="shared" si="33"/>
        <v>2.0569789629377278</v>
      </c>
      <c r="R387" s="2" t="s">
        <v>149</v>
      </c>
      <c r="S387" s="2" t="s">
        <v>28</v>
      </c>
      <c r="T387" s="2" t="s">
        <v>150</v>
      </c>
    </row>
    <row r="388" spans="1:20" x14ac:dyDescent="0.3">
      <c r="A388" s="2" t="s">
        <v>147</v>
      </c>
      <c r="B388" s="2" t="s">
        <v>148</v>
      </c>
      <c r="C388" s="2">
        <v>217296000</v>
      </c>
      <c r="D388" s="2">
        <v>2024</v>
      </c>
      <c r="E388" s="2" t="s">
        <v>151</v>
      </c>
      <c r="F388" s="4">
        <v>5.1000000000000004E-4</v>
      </c>
      <c r="G388" s="2">
        <v>7</v>
      </c>
      <c r="H388" s="2">
        <f>L388+O388+G388*F388</f>
        <v>2769130.1735700001</v>
      </c>
      <c r="I388" s="2">
        <v>52815</v>
      </c>
      <c r="J388" s="2">
        <v>0.13300000000000001</v>
      </c>
      <c r="K388" s="2">
        <v>6</v>
      </c>
      <c r="L388" s="2">
        <f>I388*J388*K388</f>
        <v>42146.37</v>
      </c>
      <c r="M388" s="2">
        <v>36951</v>
      </c>
      <c r="N388" s="2">
        <v>73.8</v>
      </c>
      <c r="O388" s="2">
        <f>M388*N388</f>
        <v>2726983.8</v>
      </c>
      <c r="P388" s="2">
        <f>H388/C388*100000</f>
        <v>1274.3585586343054</v>
      </c>
      <c r="Q388" s="7">
        <f t="shared" si="33"/>
        <v>99.999707900307229</v>
      </c>
      <c r="R388" s="2" t="s">
        <v>152</v>
      </c>
      <c r="S388" s="2" t="s">
        <v>28</v>
      </c>
      <c r="T388" s="2" t="s">
        <v>32</v>
      </c>
    </row>
    <row r="389" spans="1:20" x14ac:dyDescent="0.3">
      <c r="A389" s="2" t="s">
        <v>147</v>
      </c>
      <c r="B389" s="2" t="s">
        <v>148</v>
      </c>
      <c r="C389" s="2">
        <v>217296000</v>
      </c>
      <c r="D389" s="2">
        <v>2024</v>
      </c>
      <c r="E389" s="2" t="s">
        <v>33</v>
      </c>
      <c r="F389" s="4" t="s">
        <v>29</v>
      </c>
      <c r="G389" s="2">
        <v>8</v>
      </c>
      <c r="H389" s="2" t="s">
        <v>29</v>
      </c>
      <c r="I389" s="2" t="s">
        <v>29</v>
      </c>
      <c r="J389" s="2">
        <v>0.13300000000000001</v>
      </c>
      <c r="K389" s="2">
        <v>7</v>
      </c>
      <c r="L389" s="2" t="s">
        <v>29</v>
      </c>
      <c r="M389" s="2" t="s">
        <v>29</v>
      </c>
      <c r="N389" s="2">
        <v>73.8</v>
      </c>
      <c r="O389" s="2" t="s">
        <v>29</v>
      </c>
      <c r="P389" s="2" t="s">
        <v>29</v>
      </c>
      <c r="Q389" s="7" t="e">
        <f t="shared" si="33"/>
        <v>#VALUE!</v>
      </c>
      <c r="R389" s="2" t="s">
        <v>153</v>
      </c>
      <c r="S389" s="2" t="s">
        <v>35</v>
      </c>
      <c r="T389" s="2" t="s">
        <v>29</v>
      </c>
    </row>
    <row r="390" spans="1:20" x14ac:dyDescent="0.3">
      <c r="A390" s="2" t="s">
        <v>147</v>
      </c>
      <c r="B390" s="2" t="s">
        <v>148</v>
      </c>
      <c r="C390" s="2">
        <v>217296000</v>
      </c>
      <c r="D390" s="2">
        <v>2024</v>
      </c>
      <c r="E390" s="2" t="s">
        <v>37</v>
      </c>
      <c r="F390" s="4">
        <v>5.0000000000000004E-6</v>
      </c>
      <c r="G390" s="2">
        <v>6</v>
      </c>
      <c r="H390" s="2">
        <f>L390+O390+G390*F390</f>
        <v>760.32002999999997</v>
      </c>
      <c r="I390" s="2">
        <v>1188</v>
      </c>
      <c r="J390" s="2">
        <v>0.128</v>
      </c>
      <c r="K390" s="2">
        <v>5</v>
      </c>
      <c r="L390" s="2">
        <f>I390*J390*K390</f>
        <v>760.31999999999994</v>
      </c>
      <c r="M390" s="2">
        <v>0</v>
      </c>
      <c r="N390" s="2">
        <v>73.8</v>
      </c>
      <c r="O390" s="2">
        <f>M390*N390</f>
        <v>0</v>
      </c>
      <c r="P390" s="2">
        <f>H390/C390*100000</f>
        <v>0.34990061022752372</v>
      </c>
      <c r="Q390" s="7">
        <f t="shared" si="33"/>
        <v>0.34928917139296356</v>
      </c>
      <c r="R390" s="2" t="s">
        <v>154</v>
      </c>
      <c r="S390" s="2" t="s">
        <v>155</v>
      </c>
      <c r="T390" s="2" t="s">
        <v>156</v>
      </c>
    </row>
    <row r="391" spans="1:20" x14ac:dyDescent="0.3">
      <c r="A391" s="2" t="s">
        <v>147</v>
      </c>
      <c r="B391" s="2" t="s">
        <v>148</v>
      </c>
      <c r="C391" s="2">
        <v>217296000</v>
      </c>
      <c r="D391" s="2">
        <v>2024</v>
      </c>
      <c r="E391" s="2" t="s">
        <v>41</v>
      </c>
      <c r="F391" s="4">
        <v>9.9999999999999995E-7</v>
      </c>
      <c r="G391" s="2">
        <v>6</v>
      </c>
      <c r="H391" s="2">
        <f>L391+O391+G391*F391</f>
        <v>6702.9600060000002</v>
      </c>
      <c r="I391" s="2">
        <v>127</v>
      </c>
      <c r="J391" s="2">
        <v>0.12</v>
      </c>
      <c r="K391" s="2">
        <v>4</v>
      </c>
      <c r="L391" s="2">
        <f>I391*J391*K391</f>
        <v>60.96</v>
      </c>
      <c r="M391" s="2">
        <v>90</v>
      </c>
      <c r="N391" s="2">
        <v>73.8</v>
      </c>
      <c r="O391" s="2">
        <f>M391*N391</f>
        <v>6642</v>
      </c>
      <c r="P391" s="2">
        <f>H391/C391*100000</f>
        <v>3.0847139413518887</v>
      </c>
      <c r="Q391" s="7">
        <f t="shared" si="33"/>
        <v>3.0376220992160308</v>
      </c>
      <c r="R391" s="2" t="s">
        <v>157</v>
      </c>
      <c r="S391" s="2" t="s">
        <v>158</v>
      </c>
      <c r="T391" s="2" t="s">
        <v>159</v>
      </c>
    </row>
    <row r="392" spans="1:20" x14ac:dyDescent="0.3">
      <c r="A392" s="2" t="s">
        <v>147</v>
      </c>
      <c r="B392" s="2" t="s">
        <v>148</v>
      </c>
      <c r="C392" s="2">
        <v>218599776</v>
      </c>
      <c r="D392" s="2">
        <v>2025</v>
      </c>
      <c r="E392" s="2" t="s">
        <v>22</v>
      </c>
      <c r="F392" s="4" t="s">
        <v>29</v>
      </c>
      <c r="G392" s="2">
        <v>9</v>
      </c>
      <c r="H392" s="2" t="s">
        <v>29</v>
      </c>
      <c r="I392" s="2" t="s">
        <v>29</v>
      </c>
      <c r="J392" s="2">
        <v>0.13300000000000001</v>
      </c>
      <c r="K392" s="2">
        <v>8</v>
      </c>
      <c r="L392" s="2" t="s">
        <v>29</v>
      </c>
      <c r="M392" s="2" t="s">
        <v>29</v>
      </c>
      <c r="N392" s="2">
        <v>73.8</v>
      </c>
      <c r="O392" s="2" t="s">
        <v>29</v>
      </c>
      <c r="P392" s="2" t="s">
        <v>29</v>
      </c>
      <c r="Q392" s="7" t="e">
        <f t="shared" si="33"/>
        <v>#VALUE!</v>
      </c>
      <c r="R392" s="2" t="s">
        <v>120</v>
      </c>
      <c r="S392" s="2" t="s">
        <v>28</v>
      </c>
      <c r="T392" s="2" t="s">
        <v>29</v>
      </c>
    </row>
    <row r="393" spans="1:20" x14ac:dyDescent="0.3">
      <c r="A393" s="2" t="s">
        <v>147</v>
      </c>
      <c r="B393" s="2" t="s">
        <v>148</v>
      </c>
      <c r="C393" s="2">
        <v>218599776</v>
      </c>
      <c r="D393" s="2">
        <v>2025</v>
      </c>
      <c r="E393" s="2" t="s">
        <v>26</v>
      </c>
      <c r="F393" s="4">
        <v>5.0000000000000004E-6</v>
      </c>
      <c r="G393" s="2">
        <v>7</v>
      </c>
      <c r="H393" s="2">
        <f>L393+O393+G393*F393</f>
        <v>4466.0700349999997</v>
      </c>
      <c r="I393" s="2">
        <v>1065</v>
      </c>
      <c r="J393" s="2">
        <v>0.13300000000000001</v>
      </c>
      <c r="K393" s="2">
        <v>6</v>
      </c>
      <c r="L393" s="2">
        <f>I393*J393*K393</f>
        <v>849.87000000000012</v>
      </c>
      <c r="M393" s="2">
        <v>49</v>
      </c>
      <c r="N393" s="2">
        <v>73.8</v>
      </c>
      <c r="O393" s="2">
        <f>M393*N393</f>
        <v>3616.2</v>
      </c>
      <c r="P393" s="2">
        <f>H393/C393*100000</f>
        <v>2.0430350463854086</v>
      </c>
      <c r="Q393" s="7">
        <f t="shared" si="33"/>
        <v>2.0223064892847642</v>
      </c>
      <c r="R393" s="2" t="s">
        <v>149</v>
      </c>
      <c r="S393" s="2" t="s">
        <v>28</v>
      </c>
      <c r="T393" s="2" t="s">
        <v>150</v>
      </c>
    </row>
    <row r="394" spans="1:20" x14ac:dyDescent="0.3">
      <c r="A394" s="2" t="s">
        <v>147</v>
      </c>
      <c r="B394" s="2" t="s">
        <v>148</v>
      </c>
      <c r="C394" s="2">
        <v>218599776</v>
      </c>
      <c r="D394" s="2">
        <v>2025</v>
      </c>
      <c r="E394" s="2" t="s">
        <v>151</v>
      </c>
      <c r="F394" s="4">
        <v>5.5599999999999996E-4</v>
      </c>
      <c r="G394" s="2">
        <v>7</v>
      </c>
      <c r="H394" s="2">
        <f>L394+O394+G394*F394</f>
        <v>3032369.3618919998</v>
      </c>
      <c r="I394" s="2">
        <v>51421</v>
      </c>
      <c r="J394" s="2">
        <v>0.13300000000000001</v>
      </c>
      <c r="K394" s="2">
        <v>6</v>
      </c>
      <c r="L394" s="2">
        <f>I394*J394*K394</f>
        <v>41033.957999999999</v>
      </c>
      <c r="M394" s="2">
        <v>40533</v>
      </c>
      <c r="N394" s="2">
        <v>73.8</v>
      </c>
      <c r="O394" s="2">
        <f>M394*N394</f>
        <v>2991335.4</v>
      </c>
      <c r="P394" s="2">
        <f>H394/C394*100000</f>
        <v>1387.178622677088</v>
      </c>
      <c r="Q394" s="7">
        <f t="shared" si="33"/>
        <v>99.999905472148384</v>
      </c>
      <c r="R394" s="2" t="s">
        <v>152</v>
      </c>
      <c r="S394" s="2" t="s">
        <v>28</v>
      </c>
      <c r="T394" s="2" t="s">
        <v>32</v>
      </c>
    </row>
    <row r="395" spans="1:20" x14ac:dyDescent="0.3">
      <c r="A395" s="2" t="s">
        <v>147</v>
      </c>
      <c r="B395" s="2" t="s">
        <v>148</v>
      </c>
      <c r="C395" s="2">
        <v>218599776</v>
      </c>
      <c r="D395" s="2">
        <v>2025</v>
      </c>
      <c r="E395" s="2" t="s">
        <v>33</v>
      </c>
      <c r="F395" s="4" t="s">
        <v>29</v>
      </c>
      <c r="G395" s="2">
        <v>8</v>
      </c>
      <c r="H395" s="2" t="s">
        <v>29</v>
      </c>
      <c r="I395" s="2" t="s">
        <v>29</v>
      </c>
      <c r="J395" s="2">
        <v>0.13300000000000001</v>
      </c>
      <c r="K395" s="2">
        <v>7</v>
      </c>
      <c r="L395" s="2" t="s">
        <v>29</v>
      </c>
      <c r="M395" s="2" t="s">
        <v>29</v>
      </c>
      <c r="N395" s="2">
        <v>73.8</v>
      </c>
      <c r="O395" s="2" t="s">
        <v>29</v>
      </c>
      <c r="P395" s="2" t="s">
        <v>29</v>
      </c>
      <c r="Q395" s="7" t="e">
        <f t="shared" si="33"/>
        <v>#VALUE!</v>
      </c>
      <c r="R395" s="2" t="s">
        <v>153</v>
      </c>
      <c r="S395" s="2" t="s">
        <v>35</v>
      </c>
      <c r="T395" s="2" t="s">
        <v>29</v>
      </c>
    </row>
    <row r="396" spans="1:20" x14ac:dyDescent="0.3">
      <c r="A396" s="2" t="s">
        <v>147</v>
      </c>
      <c r="B396" s="2" t="s">
        <v>148</v>
      </c>
      <c r="C396" s="2">
        <v>218599776</v>
      </c>
      <c r="D396" s="2">
        <v>2025</v>
      </c>
      <c r="E396" s="2" t="s">
        <v>37</v>
      </c>
      <c r="F396" s="4">
        <v>6.0000000000000002E-6</v>
      </c>
      <c r="G396" s="2">
        <v>6</v>
      </c>
      <c r="H396" s="2">
        <f t="shared" ref="H396:H427" si="34">L396+O396+G396*F396</f>
        <v>716.16003599999999</v>
      </c>
      <c r="I396" s="2">
        <v>1119</v>
      </c>
      <c r="J396" s="2">
        <v>0.128</v>
      </c>
      <c r="K396" s="2">
        <v>5</v>
      </c>
      <c r="L396" s="2">
        <f t="shared" ref="L396:L427" si="35">I396*J396*K396</f>
        <v>716.16</v>
      </c>
      <c r="M396" s="2">
        <v>0</v>
      </c>
      <c r="N396" s="2">
        <v>73.8</v>
      </c>
      <c r="O396" s="2">
        <f t="shared" ref="O396:O427" si="36">M396*N396</f>
        <v>0</v>
      </c>
      <c r="P396" s="2">
        <f t="shared" ref="P396:P427" si="37">H396/C396*100000</f>
        <v>0.32761242902645976</v>
      </c>
      <c r="Q396" s="7">
        <f t="shared" si="33"/>
        <v>0.32707636507203208</v>
      </c>
      <c r="R396" s="2" t="s">
        <v>154</v>
      </c>
      <c r="S396" s="2" t="s">
        <v>155</v>
      </c>
      <c r="T396" s="2" t="s">
        <v>156</v>
      </c>
    </row>
    <row r="397" spans="1:20" x14ac:dyDescent="0.3">
      <c r="A397" s="2" t="s">
        <v>147</v>
      </c>
      <c r="B397" s="2" t="s">
        <v>148</v>
      </c>
      <c r="C397" s="2">
        <v>218599776</v>
      </c>
      <c r="D397" s="2">
        <v>2025</v>
      </c>
      <c r="E397" s="2" t="s">
        <v>41</v>
      </c>
      <c r="F397" s="4">
        <v>9.9999999999999995E-7</v>
      </c>
      <c r="G397" s="2">
        <v>6</v>
      </c>
      <c r="H397" s="2">
        <f t="shared" si="34"/>
        <v>6706.8000060000004</v>
      </c>
      <c r="I397" s="2">
        <v>135</v>
      </c>
      <c r="J397" s="2">
        <v>0.12</v>
      </c>
      <c r="K397" s="2">
        <v>4</v>
      </c>
      <c r="L397" s="2">
        <f t="shared" si="35"/>
        <v>64.8</v>
      </c>
      <c r="M397" s="2">
        <v>90</v>
      </c>
      <c r="N397" s="2">
        <v>73.8</v>
      </c>
      <c r="O397" s="2">
        <f t="shared" si="36"/>
        <v>6642</v>
      </c>
      <c r="P397" s="2">
        <f t="shared" si="37"/>
        <v>3.0680726800012823</v>
      </c>
      <c r="Q397" s="7">
        <f t="shared" si="33"/>
        <v>3.0214849938260957</v>
      </c>
      <c r="R397" s="2" t="s">
        <v>157</v>
      </c>
      <c r="S397" s="2" t="s">
        <v>158</v>
      </c>
      <c r="T397" s="2" t="s">
        <v>159</v>
      </c>
    </row>
    <row r="398" spans="1:20" x14ac:dyDescent="0.3">
      <c r="A398" s="2" t="s">
        <v>161</v>
      </c>
      <c r="B398" s="2" t="s">
        <v>87</v>
      </c>
      <c r="C398" s="2">
        <v>77547156</v>
      </c>
      <c r="D398" s="2">
        <v>2015</v>
      </c>
      <c r="E398" s="2" t="s">
        <v>22</v>
      </c>
      <c r="F398" s="4">
        <v>4.6E-5</v>
      </c>
      <c r="G398" s="2">
        <v>9</v>
      </c>
      <c r="H398" s="2">
        <f t="shared" si="34"/>
        <v>67196.720413999996</v>
      </c>
      <c r="I398" s="2">
        <v>730</v>
      </c>
      <c r="J398" s="2">
        <v>0.13300000000000001</v>
      </c>
      <c r="K398" s="2">
        <v>8</v>
      </c>
      <c r="L398" s="2">
        <f t="shared" si="35"/>
        <v>776.72</v>
      </c>
      <c r="M398" s="2">
        <v>900</v>
      </c>
      <c r="N398" s="2">
        <v>73.8</v>
      </c>
      <c r="O398" s="2">
        <f t="shared" si="36"/>
        <v>66420</v>
      </c>
      <c r="P398" s="2">
        <f t="shared" si="37"/>
        <v>86.652720589778951</v>
      </c>
      <c r="Q398" s="7">
        <f t="shared" si="33"/>
        <v>57.959098901554505</v>
      </c>
      <c r="R398" s="2" t="s">
        <v>162</v>
      </c>
      <c r="S398" s="2" t="s">
        <v>28</v>
      </c>
      <c r="T398" s="2" t="s">
        <v>163</v>
      </c>
    </row>
    <row r="399" spans="1:20" x14ac:dyDescent="0.3">
      <c r="A399" s="2" t="s">
        <v>161</v>
      </c>
      <c r="B399" s="2" t="s">
        <v>87</v>
      </c>
      <c r="C399" s="2">
        <v>77547156</v>
      </c>
      <c r="D399" s="2">
        <v>2015</v>
      </c>
      <c r="E399" s="2" t="s">
        <v>26</v>
      </c>
      <c r="F399" s="4">
        <v>3.9999999999999998E-6</v>
      </c>
      <c r="G399" s="2">
        <v>7</v>
      </c>
      <c r="H399" s="2">
        <f t="shared" si="34"/>
        <v>1246.266028</v>
      </c>
      <c r="I399" s="2">
        <v>267</v>
      </c>
      <c r="J399" s="2">
        <v>0.13300000000000001</v>
      </c>
      <c r="K399" s="2">
        <v>6</v>
      </c>
      <c r="L399" s="2">
        <f t="shared" si="35"/>
        <v>213.06600000000003</v>
      </c>
      <c r="M399" s="2">
        <v>14</v>
      </c>
      <c r="N399" s="2">
        <v>73.8</v>
      </c>
      <c r="O399" s="2">
        <f t="shared" si="36"/>
        <v>1033.2</v>
      </c>
      <c r="P399" s="2">
        <f t="shared" si="37"/>
        <v>1.6071073296356606</v>
      </c>
      <c r="Q399" s="7">
        <f t="shared" si="33"/>
        <v>1.5942622631827663</v>
      </c>
      <c r="R399" s="2" t="s">
        <v>164</v>
      </c>
      <c r="S399" s="2" t="s">
        <v>28</v>
      </c>
      <c r="T399" s="2" t="s">
        <v>150</v>
      </c>
    </row>
    <row r="400" spans="1:20" x14ac:dyDescent="0.3">
      <c r="A400" s="2" t="s">
        <v>161</v>
      </c>
      <c r="B400" s="2" t="s">
        <v>87</v>
      </c>
      <c r="C400" s="2">
        <v>77547156</v>
      </c>
      <c r="D400" s="2">
        <v>2015</v>
      </c>
      <c r="E400" s="2" t="s">
        <v>151</v>
      </c>
      <c r="F400" s="4">
        <v>5.1E-5</v>
      </c>
      <c r="G400" s="2">
        <v>7</v>
      </c>
      <c r="H400" s="2">
        <f t="shared" si="34"/>
        <v>103279.69235699999</v>
      </c>
      <c r="I400" s="2">
        <v>2354</v>
      </c>
      <c r="J400" s="2">
        <v>0.13300000000000001</v>
      </c>
      <c r="K400" s="2">
        <v>6</v>
      </c>
      <c r="L400" s="2">
        <f t="shared" si="35"/>
        <v>1878.492</v>
      </c>
      <c r="M400" s="2">
        <v>1374</v>
      </c>
      <c r="N400" s="2">
        <v>73.8</v>
      </c>
      <c r="O400" s="2">
        <f t="shared" si="36"/>
        <v>101401.2</v>
      </c>
      <c r="P400" s="2">
        <f t="shared" si="37"/>
        <v>133.18308199078248</v>
      </c>
      <c r="Q400" s="7">
        <f t="shared" si="33"/>
        <v>73.600650595484211</v>
      </c>
      <c r="R400" s="2" t="s">
        <v>165</v>
      </c>
      <c r="S400" s="2" t="s">
        <v>28</v>
      </c>
      <c r="T400" s="2" t="s">
        <v>32</v>
      </c>
    </row>
    <row r="401" spans="1:20" x14ac:dyDescent="0.3">
      <c r="A401" s="2" t="s">
        <v>161</v>
      </c>
      <c r="B401" s="2" t="s">
        <v>87</v>
      </c>
      <c r="C401" s="2">
        <v>77547156</v>
      </c>
      <c r="D401" s="2">
        <v>2015</v>
      </c>
      <c r="E401" s="2" t="s">
        <v>33</v>
      </c>
      <c r="F401" s="4">
        <v>1.9999999999999999E-6</v>
      </c>
      <c r="G401" s="2">
        <v>8</v>
      </c>
      <c r="H401" s="2">
        <f t="shared" si="34"/>
        <v>20015.125016000002</v>
      </c>
      <c r="I401" s="2">
        <v>175</v>
      </c>
      <c r="J401" s="2">
        <v>0.13300000000000001</v>
      </c>
      <c r="K401" s="2">
        <v>7</v>
      </c>
      <c r="L401" s="2">
        <f t="shared" si="35"/>
        <v>162.92500000000001</v>
      </c>
      <c r="M401" s="2">
        <v>269</v>
      </c>
      <c r="N401" s="2">
        <v>73.8</v>
      </c>
      <c r="O401" s="2">
        <f t="shared" si="36"/>
        <v>19852.2</v>
      </c>
      <c r="P401" s="2">
        <f t="shared" si="37"/>
        <v>25.810263133312073</v>
      </c>
      <c r="Q401" s="7">
        <f t="shared" si="33"/>
        <v>22.748405630289859</v>
      </c>
      <c r="R401" s="2" t="s">
        <v>166</v>
      </c>
      <c r="S401" s="2" t="s">
        <v>35</v>
      </c>
      <c r="T401" s="2" t="s">
        <v>28</v>
      </c>
    </row>
    <row r="402" spans="1:20" x14ac:dyDescent="0.3">
      <c r="A402" s="2" t="s">
        <v>161</v>
      </c>
      <c r="B402" s="2" t="s">
        <v>87</v>
      </c>
      <c r="C402" s="2">
        <v>77547156</v>
      </c>
      <c r="D402" s="2">
        <v>2015</v>
      </c>
      <c r="E402" s="2" t="s">
        <v>37</v>
      </c>
      <c r="F402" s="4">
        <v>4.4999999999999998E-2</v>
      </c>
      <c r="G402" s="2">
        <v>6</v>
      </c>
      <c r="H402" s="2">
        <f t="shared" si="34"/>
        <v>2485859.4700000002</v>
      </c>
      <c r="I402" s="2">
        <v>3884155</v>
      </c>
      <c r="J402" s="2">
        <v>0.128</v>
      </c>
      <c r="K402" s="2">
        <v>5</v>
      </c>
      <c r="L402" s="2">
        <f t="shared" si="35"/>
        <v>2485859.2000000002</v>
      </c>
      <c r="M402" s="2">
        <v>0</v>
      </c>
      <c r="N402" s="2">
        <v>73.8</v>
      </c>
      <c r="O402" s="2">
        <f t="shared" si="36"/>
        <v>0</v>
      </c>
      <c r="P402" s="2">
        <f t="shared" si="37"/>
        <v>3205.6101064492941</v>
      </c>
      <c r="Q402" s="7">
        <f t="shared" si="33"/>
        <v>99.999999999998806</v>
      </c>
      <c r="R402" s="2" t="s">
        <v>167</v>
      </c>
      <c r="S402" s="2" t="s">
        <v>155</v>
      </c>
      <c r="T402" s="2" t="s">
        <v>156</v>
      </c>
    </row>
    <row r="403" spans="1:20" x14ac:dyDescent="0.3">
      <c r="A403" s="2" t="s">
        <v>161</v>
      </c>
      <c r="B403" s="2" t="s">
        <v>87</v>
      </c>
      <c r="C403" s="2">
        <v>77547156</v>
      </c>
      <c r="D403" s="2">
        <v>2015</v>
      </c>
      <c r="E403" s="2" t="s">
        <v>41</v>
      </c>
      <c r="F403" s="4">
        <v>9.9999999999999995E-7</v>
      </c>
      <c r="G403" s="2">
        <v>6</v>
      </c>
      <c r="H403" s="2">
        <f t="shared" si="34"/>
        <v>3368.0400060000002</v>
      </c>
      <c r="I403" s="2">
        <v>98</v>
      </c>
      <c r="J403" s="2">
        <v>0.12</v>
      </c>
      <c r="K403" s="2">
        <v>4</v>
      </c>
      <c r="L403" s="2">
        <f t="shared" si="35"/>
        <v>47.04</v>
      </c>
      <c r="M403" s="2">
        <v>45</v>
      </c>
      <c r="N403" s="2">
        <v>73.8</v>
      </c>
      <c r="O403" s="2">
        <f t="shared" si="36"/>
        <v>3321</v>
      </c>
      <c r="P403" s="2">
        <f t="shared" si="37"/>
        <v>4.3432153798135422</v>
      </c>
      <c r="Q403" s="7">
        <f t="shared" si="33"/>
        <v>4.2502485543064346</v>
      </c>
      <c r="R403" s="2" t="s">
        <v>168</v>
      </c>
      <c r="S403" s="2" t="s">
        <v>158</v>
      </c>
      <c r="T403" s="2" t="s">
        <v>159</v>
      </c>
    </row>
    <row r="404" spans="1:20" x14ac:dyDescent="0.3">
      <c r="A404" s="2" t="s">
        <v>161</v>
      </c>
      <c r="B404" s="2" t="s">
        <v>87</v>
      </c>
      <c r="C404" s="2">
        <v>79951117</v>
      </c>
      <c r="D404" s="2">
        <v>2016</v>
      </c>
      <c r="E404" s="2" t="s">
        <v>22</v>
      </c>
      <c r="F404" s="4">
        <v>5.8E-5</v>
      </c>
      <c r="G404" s="2">
        <v>9</v>
      </c>
      <c r="H404" s="2">
        <f t="shared" si="34"/>
        <v>85842.496522000001</v>
      </c>
      <c r="I404" s="2">
        <v>914</v>
      </c>
      <c r="J404" s="2">
        <v>0.13300000000000001</v>
      </c>
      <c r="K404" s="2">
        <v>8</v>
      </c>
      <c r="L404" s="2">
        <f t="shared" si="35"/>
        <v>972.49600000000009</v>
      </c>
      <c r="M404" s="2">
        <v>1150</v>
      </c>
      <c r="N404" s="2">
        <v>73.8</v>
      </c>
      <c r="O404" s="2">
        <f t="shared" si="36"/>
        <v>84870</v>
      </c>
      <c r="P404" s="2">
        <f t="shared" si="37"/>
        <v>107.36872697100655</v>
      </c>
      <c r="Q404" s="7">
        <f t="shared" si="33"/>
        <v>65.825391859649059</v>
      </c>
      <c r="R404" s="2" t="s">
        <v>162</v>
      </c>
      <c r="S404" s="2" t="s">
        <v>28</v>
      </c>
      <c r="T404" s="2" t="s">
        <v>163</v>
      </c>
    </row>
    <row r="405" spans="1:20" x14ac:dyDescent="0.3">
      <c r="A405" s="2" t="s">
        <v>161</v>
      </c>
      <c r="B405" s="2" t="s">
        <v>87</v>
      </c>
      <c r="C405" s="2">
        <v>79951117</v>
      </c>
      <c r="D405" s="2">
        <v>2016</v>
      </c>
      <c r="E405" s="2" t="s">
        <v>26</v>
      </c>
      <c r="F405" s="4">
        <v>3.9999999999999998E-6</v>
      </c>
      <c r="G405" s="2">
        <v>7</v>
      </c>
      <c r="H405" s="2">
        <f t="shared" si="34"/>
        <v>1432.968028</v>
      </c>
      <c r="I405" s="2">
        <v>316</v>
      </c>
      <c r="J405" s="2">
        <v>0.13300000000000001</v>
      </c>
      <c r="K405" s="2">
        <v>6</v>
      </c>
      <c r="L405" s="2">
        <f t="shared" si="35"/>
        <v>252.16800000000003</v>
      </c>
      <c r="M405" s="2">
        <v>16</v>
      </c>
      <c r="N405" s="2">
        <v>73.8</v>
      </c>
      <c r="O405" s="2">
        <f t="shared" si="36"/>
        <v>1180.8</v>
      </c>
      <c r="P405" s="2">
        <f t="shared" si="37"/>
        <v>1.7923052006890661</v>
      </c>
      <c r="Q405" s="7">
        <f t="shared" si="33"/>
        <v>1.7763389413589903</v>
      </c>
      <c r="R405" s="2" t="s">
        <v>164</v>
      </c>
      <c r="S405" s="2" t="s">
        <v>28</v>
      </c>
      <c r="T405" s="2" t="s">
        <v>150</v>
      </c>
    </row>
    <row r="406" spans="1:20" x14ac:dyDescent="0.3">
      <c r="A406" s="2" t="s">
        <v>161</v>
      </c>
      <c r="B406" s="2" t="s">
        <v>87</v>
      </c>
      <c r="C406" s="2">
        <v>79951117</v>
      </c>
      <c r="D406" s="2">
        <v>2016</v>
      </c>
      <c r="E406" s="2" t="s">
        <v>151</v>
      </c>
      <c r="F406" s="4">
        <v>5.0000000000000002E-5</v>
      </c>
      <c r="G406" s="2">
        <v>7</v>
      </c>
      <c r="H406" s="2">
        <f t="shared" si="34"/>
        <v>108446.04634999999</v>
      </c>
      <c r="I406" s="2">
        <v>2077</v>
      </c>
      <c r="J406" s="2">
        <v>0.13300000000000001</v>
      </c>
      <c r="K406" s="2">
        <v>6</v>
      </c>
      <c r="L406" s="2">
        <f t="shared" si="35"/>
        <v>1657.4460000000004</v>
      </c>
      <c r="M406" s="2">
        <v>1447</v>
      </c>
      <c r="N406" s="2">
        <v>73.8</v>
      </c>
      <c r="O406" s="2">
        <f t="shared" si="36"/>
        <v>106788.59999999999</v>
      </c>
      <c r="P406" s="2">
        <f t="shared" si="37"/>
        <v>135.64043933244858</v>
      </c>
      <c r="Q406" s="7">
        <f t="shared" si="33"/>
        <v>74.241471074822925</v>
      </c>
      <c r="R406" s="2" t="s">
        <v>165</v>
      </c>
      <c r="S406" s="2" t="s">
        <v>28</v>
      </c>
      <c r="T406" s="2" t="s">
        <v>32</v>
      </c>
    </row>
    <row r="407" spans="1:20" x14ac:dyDescent="0.3">
      <c r="A407" s="2" t="s">
        <v>161</v>
      </c>
      <c r="B407" s="2" t="s">
        <v>87</v>
      </c>
      <c r="C407" s="2">
        <v>79951117</v>
      </c>
      <c r="D407" s="2">
        <v>2016</v>
      </c>
      <c r="E407" s="2" t="s">
        <v>33</v>
      </c>
      <c r="F407" s="4">
        <v>3.0000000000000001E-6</v>
      </c>
      <c r="G407" s="2">
        <v>8</v>
      </c>
      <c r="H407" s="2">
        <f t="shared" si="34"/>
        <v>17655.387024</v>
      </c>
      <c r="I407" s="2">
        <v>177</v>
      </c>
      <c r="J407" s="2">
        <v>0.13300000000000001</v>
      </c>
      <c r="K407" s="2">
        <v>7</v>
      </c>
      <c r="L407" s="2">
        <f t="shared" si="35"/>
        <v>164.78700000000001</v>
      </c>
      <c r="M407" s="2">
        <v>237</v>
      </c>
      <c r="N407" s="2">
        <v>73.8</v>
      </c>
      <c r="O407" s="2">
        <f t="shared" si="36"/>
        <v>17490.599999999999</v>
      </c>
      <c r="P407" s="2">
        <f t="shared" si="37"/>
        <v>22.082727154393602</v>
      </c>
      <c r="Q407" s="7">
        <f t="shared" si="33"/>
        <v>19.814482846507232</v>
      </c>
      <c r="R407" s="2" t="s">
        <v>166</v>
      </c>
      <c r="S407" s="2" t="s">
        <v>35</v>
      </c>
      <c r="T407" s="2" t="s">
        <v>28</v>
      </c>
    </row>
    <row r="408" spans="1:20" x14ac:dyDescent="0.3">
      <c r="A408" s="2" t="s">
        <v>161</v>
      </c>
      <c r="B408" s="2" t="s">
        <v>87</v>
      </c>
      <c r="C408" s="2">
        <v>79951117</v>
      </c>
      <c r="D408" s="2">
        <v>2016</v>
      </c>
      <c r="E408" s="2" t="s">
        <v>37</v>
      </c>
      <c r="F408" s="4">
        <v>4.8000000000000001E-2</v>
      </c>
      <c r="G408" s="2">
        <v>6</v>
      </c>
      <c r="H408" s="2">
        <f t="shared" si="34"/>
        <v>2677649.5680000004</v>
      </c>
      <c r="I408" s="2">
        <v>4183827</v>
      </c>
      <c r="J408" s="2">
        <v>0.128</v>
      </c>
      <c r="K408" s="2">
        <v>5</v>
      </c>
      <c r="L408" s="2">
        <f t="shared" si="35"/>
        <v>2677649.2800000003</v>
      </c>
      <c r="M408" s="2">
        <v>0</v>
      </c>
      <c r="N408" s="2">
        <v>73.8</v>
      </c>
      <c r="O408" s="2">
        <f t="shared" si="36"/>
        <v>0</v>
      </c>
      <c r="P408" s="2">
        <f t="shared" si="37"/>
        <v>3349.1083908183555</v>
      </c>
      <c r="Q408" s="7">
        <f t="shared" si="33"/>
        <v>99.999999999999716</v>
      </c>
      <c r="R408" s="2" t="s">
        <v>167</v>
      </c>
      <c r="S408" s="2" t="s">
        <v>155</v>
      </c>
      <c r="T408" s="2" t="s">
        <v>156</v>
      </c>
    </row>
    <row r="409" spans="1:20" x14ac:dyDescent="0.3">
      <c r="A409" s="2" t="s">
        <v>161</v>
      </c>
      <c r="B409" s="2" t="s">
        <v>87</v>
      </c>
      <c r="C409" s="2">
        <v>79951117</v>
      </c>
      <c r="D409" s="2">
        <v>2016</v>
      </c>
      <c r="E409" s="2" t="s">
        <v>41</v>
      </c>
      <c r="F409" s="4">
        <v>9.9999999999999995E-7</v>
      </c>
      <c r="G409" s="2">
        <v>6</v>
      </c>
      <c r="H409" s="2">
        <f t="shared" si="34"/>
        <v>3361.8000060000004</v>
      </c>
      <c r="I409" s="2">
        <v>85</v>
      </c>
      <c r="J409" s="2">
        <v>0.12</v>
      </c>
      <c r="K409" s="2">
        <v>4</v>
      </c>
      <c r="L409" s="2">
        <f t="shared" si="35"/>
        <v>40.799999999999997</v>
      </c>
      <c r="M409" s="2">
        <v>45</v>
      </c>
      <c r="N409" s="2">
        <v>73.8</v>
      </c>
      <c r="O409" s="2">
        <f t="shared" si="36"/>
        <v>3321</v>
      </c>
      <c r="P409" s="2">
        <f t="shared" si="37"/>
        <v>4.2048193097789994</v>
      </c>
      <c r="Q409" s="7">
        <f t="shared" si="33"/>
        <v>4.117642921911302</v>
      </c>
      <c r="R409" s="2" t="s">
        <v>168</v>
      </c>
      <c r="S409" s="2" t="s">
        <v>158</v>
      </c>
      <c r="T409" s="2" t="s">
        <v>159</v>
      </c>
    </row>
    <row r="410" spans="1:20" x14ac:dyDescent="0.3">
      <c r="A410" s="2" t="s">
        <v>161</v>
      </c>
      <c r="B410" s="2" t="s">
        <v>87</v>
      </c>
      <c r="C410" s="2">
        <v>82429602</v>
      </c>
      <c r="D410" s="2">
        <v>2017</v>
      </c>
      <c r="E410" s="2" t="s">
        <v>22</v>
      </c>
      <c r="F410" s="4">
        <v>6.7999999999999999E-5</v>
      </c>
      <c r="G410" s="2">
        <v>9</v>
      </c>
      <c r="H410" s="2">
        <f t="shared" si="34"/>
        <v>104660.640612</v>
      </c>
      <c r="I410" s="2">
        <v>1260</v>
      </c>
      <c r="J410" s="2">
        <v>0.13300000000000001</v>
      </c>
      <c r="K410" s="2">
        <v>8</v>
      </c>
      <c r="L410" s="2">
        <f t="shared" si="35"/>
        <v>1340.64</v>
      </c>
      <c r="M410" s="2">
        <v>1400</v>
      </c>
      <c r="N410" s="2">
        <v>73.8</v>
      </c>
      <c r="O410" s="2">
        <f t="shared" si="36"/>
        <v>103320</v>
      </c>
      <c r="P410" s="2">
        <f t="shared" si="37"/>
        <v>126.96972698230425</v>
      </c>
      <c r="Q410" s="7">
        <f t="shared" si="33"/>
        <v>71.90833491452797</v>
      </c>
      <c r="R410" s="2" t="s">
        <v>162</v>
      </c>
      <c r="S410" s="2" t="s">
        <v>28</v>
      </c>
      <c r="T410" s="2" t="s">
        <v>163</v>
      </c>
    </row>
    <row r="411" spans="1:20" x14ac:dyDescent="0.3">
      <c r="A411" s="2" t="s">
        <v>161</v>
      </c>
      <c r="B411" s="2" t="s">
        <v>87</v>
      </c>
      <c r="C411" s="2">
        <v>82429602</v>
      </c>
      <c r="D411" s="2">
        <v>2017</v>
      </c>
      <c r="E411" s="2" t="s">
        <v>26</v>
      </c>
      <c r="F411" s="4">
        <v>3.9999999999999998E-6</v>
      </c>
      <c r="G411" s="2">
        <v>7</v>
      </c>
      <c r="H411" s="2">
        <f t="shared" si="34"/>
        <v>1401.8460279999999</v>
      </c>
      <c r="I411" s="2">
        <v>277</v>
      </c>
      <c r="J411" s="2">
        <v>0.13300000000000001</v>
      </c>
      <c r="K411" s="2">
        <v>6</v>
      </c>
      <c r="L411" s="2">
        <f t="shared" si="35"/>
        <v>221.04599999999999</v>
      </c>
      <c r="M411" s="2">
        <v>16</v>
      </c>
      <c r="N411" s="2">
        <v>73.8</v>
      </c>
      <c r="O411" s="2">
        <f t="shared" si="36"/>
        <v>1180.8</v>
      </c>
      <c r="P411" s="2">
        <f t="shared" si="37"/>
        <v>1.7006584940201455</v>
      </c>
      <c r="Q411" s="7">
        <f t="shared" si="33"/>
        <v>1.6862789286147928</v>
      </c>
      <c r="R411" s="2" t="s">
        <v>164</v>
      </c>
      <c r="S411" s="2" t="s">
        <v>28</v>
      </c>
      <c r="T411" s="2" t="s">
        <v>150</v>
      </c>
    </row>
    <row r="412" spans="1:20" x14ac:dyDescent="0.3">
      <c r="A412" s="2" t="s">
        <v>161</v>
      </c>
      <c r="B412" s="2" t="s">
        <v>87</v>
      </c>
      <c r="C412" s="2">
        <v>82429602</v>
      </c>
      <c r="D412" s="2">
        <v>2017</v>
      </c>
      <c r="E412" s="2" t="s">
        <v>151</v>
      </c>
      <c r="F412" s="4">
        <v>5.5000000000000002E-5</v>
      </c>
      <c r="G412" s="2">
        <v>7</v>
      </c>
      <c r="H412" s="2">
        <f t="shared" si="34"/>
        <v>108459.612385</v>
      </c>
      <c r="I412" s="2">
        <v>2094</v>
      </c>
      <c r="J412" s="2">
        <v>0.13300000000000001</v>
      </c>
      <c r="K412" s="2">
        <v>6</v>
      </c>
      <c r="L412" s="2">
        <f t="shared" si="35"/>
        <v>1671.0120000000002</v>
      </c>
      <c r="M412" s="2">
        <v>1447</v>
      </c>
      <c r="N412" s="2">
        <v>73.8</v>
      </c>
      <c r="O412" s="2">
        <f t="shared" si="36"/>
        <v>106788.59999999999</v>
      </c>
      <c r="P412" s="2">
        <f t="shared" si="37"/>
        <v>131.57847393828251</v>
      </c>
      <c r="Q412" s="7">
        <f t="shared" si="33"/>
        <v>73.173627649172744</v>
      </c>
      <c r="R412" s="2" t="s">
        <v>165</v>
      </c>
      <c r="S412" s="2" t="s">
        <v>28</v>
      </c>
      <c r="T412" s="2" t="s">
        <v>32</v>
      </c>
    </row>
    <row r="413" spans="1:20" x14ac:dyDescent="0.3">
      <c r="A413" s="2" t="s">
        <v>161</v>
      </c>
      <c r="B413" s="2" t="s">
        <v>87</v>
      </c>
      <c r="C413" s="2">
        <v>82429602</v>
      </c>
      <c r="D413" s="2">
        <v>2017</v>
      </c>
      <c r="E413" s="2" t="s">
        <v>33</v>
      </c>
      <c r="F413" s="4">
        <v>1.9999999999999999E-6</v>
      </c>
      <c r="G413" s="2">
        <v>8</v>
      </c>
      <c r="H413" s="2">
        <f t="shared" si="34"/>
        <v>18972.615016000003</v>
      </c>
      <c r="I413" s="2">
        <v>165</v>
      </c>
      <c r="J413" s="2">
        <v>0.13300000000000001</v>
      </c>
      <c r="K413" s="2">
        <v>7</v>
      </c>
      <c r="L413" s="2">
        <f t="shared" si="35"/>
        <v>153.61500000000001</v>
      </c>
      <c r="M413" s="2">
        <v>255</v>
      </c>
      <c r="N413" s="2">
        <v>73.8</v>
      </c>
      <c r="O413" s="2">
        <f t="shared" si="36"/>
        <v>18819</v>
      </c>
      <c r="P413" s="2">
        <f t="shared" si="37"/>
        <v>23.01674951190472</v>
      </c>
      <c r="Q413" s="7">
        <f t="shared" si="33"/>
        <v>20.559946685245944</v>
      </c>
      <c r="R413" s="2" t="s">
        <v>166</v>
      </c>
      <c r="S413" s="2" t="s">
        <v>35</v>
      </c>
      <c r="T413" s="2" t="s">
        <v>28</v>
      </c>
    </row>
    <row r="414" spans="1:20" x14ac:dyDescent="0.3">
      <c r="A414" s="2" t="s">
        <v>161</v>
      </c>
      <c r="B414" s="2" t="s">
        <v>87</v>
      </c>
      <c r="C414" s="2">
        <v>82429602</v>
      </c>
      <c r="D414" s="2">
        <v>2017</v>
      </c>
      <c r="E414" s="2" t="s">
        <v>37</v>
      </c>
      <c r="F414" s="4">
        <v>5.0999999999999997E-2</v>
      </c>
      <c r="G414" s="2">
        <v>6</v>
      </c>
      <c r="H414" s="2">
        <f t="shared" si="34"/>
        <v>2870416.9459999995</v>
      </c>
      <c r="I414" s="2">
        <v>4485026</v>
      </c>
      <c r="J414" s="2">
        <v>0.128</v>
      </c>
      <c r="K414" s="2">
        <v>5</v>
      </c>
      <c r="L414" s="2">
        <f t="shared" si="35"/>
        <v>2870416.6399999997</v>
      </c>
      <c r="M414" s="2">
        <v>0</v>
      </c>
      <c r="N414" s="2">
        <v>73.8</v>
      </c>
      <c r="O414" s="2">
        <f t="shared" si="36"/>
        <v>0</v>
      </c>
      <c r="P414" s="2">
        <f t="shared" si="37"/>
        <v>3482.2647160179172</v>
      </c>
      <c r="Q414" s="7">
        <f t="shared" si="33"/>
        <v>99.999999999999929</v>
      </c>
      <c r="R414" s="2" t="s">
        <v>167</v>
      </c>
      <c r="S414" s="2" t="s">
        <v>155</v>
      </c>
      <c r="T414" s="2" t="s">
        <v>156</v>
      </c>
    </row>
    <row r="415" spans="1:20" x14ac:dyDescent="0.3">
      <c r="A415" s="2" t="s">
        <v>161</v>
      </c>
      <c r="B415" s="2" t="s">
        <v>87</v>
      </c>
      <c r="C415" s="2">
        <v>82429602</v>
      </c>
      <c r="D415" s="2">
        <v>2017</v>
      </c>
      <c r="E415" s="2" t="s">
        <v>41</v>
      </c>
      <c r="F415" s="4">
        <v>9.9999999999999995E-7</v>
      </c>
      <c r="G415" s="2">
        <v>6</v>
      </c>
      <c r="H415" s="2">
        <f t="shared" si="34"/>
        <v>3364.680006</v>
      </c>
      <c r="I415" s="2">
        <v>91</v>
      </c>
      <c r="J415" s="2">
        <v>0.12</v>
      </c>
      <c r="K415" s="2">
        <v>4</v>
      </c>
      <c r="L415" s="2">
        <f t="shared" si="35"/>
        <v>43.68</v>
      </c>
      <c r="M415" s="2">
        <v>45</v>
      </c>
      <c r="N415" s="2">
        <v>73.8</v>
      </c>
      <c r="O415" s="2">
        <f t="shared" si="36"/>
        <v>3321</v>
      </c>
      <c r="P415" s="2">
        <f t="shared" si="37"/>
        <v>4.0818831152429924</v>
      </c>
      <c r="Q415" s="7">
        <f t="shared" si="33"/>
        <v>3.9996963162084453</v>
      </c>
      <c r="R415" s="2" t="s">
        <v>168</v>
      </c>
      <c r="S415" s="2" t="s">
        <v>158</v>
      </c>
      <c r="T415" s="2" t="s">
        <v>159</v>
      </c>
    </row>
    <row r="416" spans="1:20" x14ac:dyDescent="0.3">
      <c r="A416" s="2" t="s">
        <v>161</v>
      </c>
      <c r="B416" s="2" t="s">
        <v>87</v>
      </c>
      <c r="C416" s="2">
        <v>84984920</v>
      </c>
      <c r="D416" s="2">
        <v>2018</v>
      </c>
      <c r="E416" s="2" t="s">
        <v>22</v>
      </c>
      <c r="F416" s="4">
        <v>7.7999999999999999E-5</v>
      </c>
      <c r="G416" s="2">
        <v>9</v>
      </c>
      <c r="H416" s="2">
        <f t="shared" si="34"/>
        <v>123160.64870200001</v>
      </c>
      <c r="I416" s="2">
        <v>1307</v>
      </c>
      <c r="J416" s="2">
        <v>0.13300000000000001</v>
      </c>
      <c r="K416" s="2">
        <v>8</v>
      </c>
      <c r="L416" s="2">
        <f t="shared" si="35"/>
        <v>1390.6480000000001</v>
      </c>
      <c r="M416" s="2">
        <v>1650</v>
      </c>
      <c r="N416" s="2">
        <v>73.8</v>
      </c>
      <c r="O416" s="2">
        <f t="shared" si="36"/>
        <v>121770</v>
      </c>
      <c r="P416" s="2">
        <f t="shared" si="37"/>
        <v>144.92059144375261</v>
      </c>
      <c r="Q416" s="7">
        <f t="shared" si="33"/>
        <v>76.524336905074804</v>
      </c>
      <c r="R416" s="2" t="s">
        <v>162</v>
      </c>
      <c r="S416" s="2" t="s">
        <v>28</v>
      </c>
      <c r="T416" s="2" t="s">
        <v>163</v>
      </c>
    </row>
    <row r="417" spans="1:20" x14ac:dyDescent="0.3">
      <c r="A417" s="2" t="s">
        <v>161</v>
      </c>
      <c r="B417" s="2" t="s">
        <v>87</v>
      </c>
      <c r="C417" s="2">
        <v>84984920</v>
      </c>
      <c r="D417" s="2">
        <v>2018</v>
      </c>
      <c r="E417" s="2" t="s">
        <v>26</v>
      </c>
      <c r="F417" s="4">
        <v>3.9999999999999998E-6</v>
      </c>
      <c r="G417" s="2">
        <v>7</v>
      </c>
      <c r="H417" s="2">
        <f t="shared" si="34"/>
        <v>1188.4260279999999</v>
      </c>
      <c r="I417" s="2">
        <v>287</v>
      </c>
      <c r="J417" s="2">
        <v>0.13300000000000001</v>
      </c>
      <c r="K417" s="2">
        <v>6</v>
      </c>
      <c r="L417" s="2">
        <f t="shared" si="35"/>
        <v>229.02600000000001</v>
      </c>
      <c r="M417" s="2">
        <v>13</v>
      </c>
      <c r="N417" s="2">
        <v>73.8</v>
      </c>
      <c r="O417" s="2">
        <f t="shared" si="36"/>
        <v>959.4</v>
      </c>
      <c r="P417" s="2">
        <f t="shared" si="37"/>
        <v>1.3983963602013156</v>
      </c>
      <c r="Q417" s="7">
        <f t="shared" si="33"/>
        <v>1.3886642157668327</v>
      </c>
      <c r="R417" s="2" t="s">
        <v>164</v>
      </c>
      <c r="S417" s="2" t="s">
        <v>28</v>
      </c>
      <c r="T417" s="2" t="s">
        <v>150</v>
      </c>
    </row>
    <row r="418" spans="1:20" x14ac:dyDescent="0.3">
      <c r="A418" s="2" t="s">
        <v>161</v>
      </c>
      <c r="B418" s="2" t="s">
        <v>87</v>
      </c>
      <c r="C418" s="2">
        <v>84984920</v>
      </c>
      <c r="D418" s="2">
        <v>2018</v>
      </c>
      <c r="E418" s="2" t="s">
        <v>151</v>
      </c>
      <c r="F418" s="4">
        <v>4.8999999999999998E-5</v>
      </c>
      <c r="G418" s="2">
        <v>7</v>
      </c>
      <c r="H418" s="2">
        <f t="shared" si="34"/>
        <v>113427.00034300001</v>
      </c>
      <c r="I418" s="2">
        <v>2400</v>
      </c>
      <c r="J418" s="2">
        <v>0.13300000000000001</v>
      </c>
      <c r="K418" s="2">
        <v>6</v>
      </c>
      <c r="L418" s="2">
        <f t="shared" si="35"/>
        <v>1915.2000000000003</v>
      </c>
      <c r="M418" s="2">
        <v>1511</v>
      </c>
      <c r="N418" s="2">
        <v>73.8</v>
      </c>
      <c r="O418" s="2">
        <f t="shared" si="36"/>
        <v>111511.8</v>
      </c>
      <c r="P418" s="2">
        <f t="shared" si="37"/>
        <v>133.46720846827884</v>
      </c>
      <c r="Q418" s="7">
        <f t="shared" si="33"/>
        <v>73.675551679734724</v>
      </c>
      <c r="R418" s="2" t="s">
        <v>165</v>
      </c>
      <c r="S418" s="2" t="s">
        <v>28</v>
      </c>
      <c r="T418" s="2" t="s">
        <v>32</v>
      </c>
    </row>
    <row r="419" spans="1:20" x14ac:dyDescent="0.3">
      <c r="A419" s="2" t="s">
        <v>161</v>
      </c>
      <c r="B419" s="2" t="s">
        <v>87</v>
      </c>
      <c r="C419" s="2">
        <v>84984920</v>
      </c>
      <c r="D419" s="2">
        <v>2018</v>
      </c>
      <c r="E419" s="2" t="s">
        <v>33</v>
      </c>
      <c r="F419" s="4">
        <v>1.9999999999999999E-6</v>
      </c>
      <c r="G419" s="2">
        <v>8</v>
      </c>
      <c r="H419" s="2">
        <f t="shared" si="34"/>
        <v>19485.491016</v>
      </c>
      <c r="I419" s="2">
        <v>161</v>
      </c>
      <c r="J419" s="2">
        <v>0.13300000000000001</v>
      </c>
      <c r="K419" s="2">
        <v>7</v>
      </c>
      <c r="L419" s="2">
        <f t="shared" si="35"/>
        <v>149.89099999999999</v>
      </c>
      <c r="M419" s="2">
        <v>262</v>
      </c>
      <c r="N419" s="2">
        <v>73.8</v>
      </c>
      <c r="O419" s="2">
        <f t="shared" si="36"/>
        <v>19335.599999999999</v>
      </c>
      <c r="P419" s="2">
        <f t="shared" si="37"/>
        <v>22.928174805600804</v>
      </c>
      <c r="Q419" s="7">
        <f t="shared" si="33"/>
        <v>20.489551719870157</v>
      </c>
      <c r="R419" s="2" t="s">
        <v>166</v>
      </c>
      <c r="S419" s="2" t="s">
        <v>35</v>
      </c>
      <c r="T419" s="2" t="s">
        <v>28</v>
      </c>
    </row>
    <row r="420" spans="1:20" x14ac:dyDescent="0.3">
      <c r="A420" s="2" t="s">
        <v>161</v>
      </c>
      <c r="B420" s="2" t="s">
        <v>87</v>
      </c>
      <c r="C420" s="2">
        <v>84984920</v>
      </c>
      <c r="D420" s="2">
        <v>2018</v>
      </c>
      <c r="E420" s="2" t="s">
        <v>37</v>
      </c>
      <c r="F420" s="4">
        <v>5.3999999999999999E-2</v>
      </c>
      <c r="G420" s="2">
        <v>6</v>
      </c>
      <c r="H420" s="2">
        <f t="shared" si="34"/>
        <v>2645006.4040000001</v>
      </c>
      <c r="I420" s="2">
        <v>4132822</v>
      </c>
      <c r="J420" s="2">
        <v>0.128</v>
      </c>
      <c r="K420" s="2">
        <v>5</v>
      </c>
      <c r="L420" s="2">
        <f t="shared" si="35"/>
        <v>2645006.08</v>
      </c>
      <c r="M420" s="2">
        <v>0</v>
      </c>
      <c r="N420" s="2">
        <v>73.8</v>
      </c>
      <c r="O420" s="2">
        <f t="shared" si="36"/>
        <v>0</v>
      </c>
      <c r="P420" s="2">
        <f t="shared" si="37"/>
        <v>3112.3244029646671</v>
      </c>
      <c r="Q420" s="7">
        <f t="shared" si="33"/>
        <v>99.999999999996959</v>
      </c>
      <c r="R420" s="2" t="s">
        <v>167</v>
      </c>
      <c r="S420" s="2" t="s">
        <v>155</v>
      </c>
      <c r="T420" s="2" t="s">
        <v>156</v>
      </c>
    </row>
    <row r="421" spans="1:20" x14ac:dyDescent="0.3">
      <c r="A421" s="2" t="s">
        <v>161</v>
      </c>
      <c r="B421" s="2" t="s">
        <v>87</v>
      </c>
      <c r="C421" s="2">
        <v>84984920</v>
      </c>
      <c r="D421" s="2">
        <v>2018</v>
      </c>
      <c r="E421" s="2" t="s">
        <v>41</v>
      </c>
      <c r="F421" s="4">
        <v>9.9999999999999995E-7</v>
      </c>
      <c r="G421" s="2">
        <v>6</v>
      </c>
      <c r="H421" s="2">
        <f t="shared" si="34"/>
        <v>3364.200006</v>
      </c>
      <c r="I421" s="2">
        <v>90</v>
      </c>
      <c r="J421" s="2">
        <v>0.12</v>
      </c>
      <c r="K421" s="2">
        <v>4</v>
      </c>
      <c r="L421" s="2">
        <f t="shared" si="35"/>
        <v>43.199999999999996</v>
      </c>
      <c r="M421" s="2">
        <v>45</v>
      </c>
      <c r="N421" s="2">
        <v>73.8</v>
      </c>
      <c r="O421" s="2">
        <f t="shared" si="36"/>
        <v>3321</v>
      </c>
      <c r="P421" s="2">
        <f t="shared" si="37"/>
        <v>3.9585846594901777</v>
      </c>
      <c r="Q421" s="7">
        <f t="shared" si="33"/>
        <v>3.8812564219728896</v>
      </c>
      <c r="R421" s="2" t="s">
        <v>168</v>
      </c>
      <c r="S421" s="2" t="s">
        <v>158</v>
      </c>
      <c r="T421" s="2" t="s">
        <v>159</v>
      </c>
    </row>
    <row r="422" spans="1:20" x14ac:dyDescent="0.3">
      <c r="A422" s="2" t="s">
        <v>161</v>
      </c>
      <c r="B422" s="2" t="s">
        <v>87</v>
      </c>
      <c r="C422" s="2">
        <v>87619452</v>
      </c>
      <c r="D422" s="2">
        <v>2019</v>
      </c>
      <c r="E422" s="2" t="s">
        <v>22</v>
      </c>
      <c r="F422" s="4">
        <v>8.7000000000000001E-5</v>
      </c>
      <c r="G422" s="2">
        <v>9</v>
      </c>
      <c r="H422" s="2">
        <f t="shared" si="34"/>
        <v>141851.11278299999</v>
      </c>
      <c r="I422" s="2">
        <v>1533</v>
      </c>
      <c r="J422" s="2">
        <v>0.13300000000000001</v>
      </c>
      <c r="K422" s="2">
        <v>8</v>
      </c>
      <c r="L422" s="2">
        <f t="shared" si="35"/>
        <v>1631.1120000000001</v>
      </c>
      <c r="M422" s="2">
        <v>1900</v>
      </c>
      <c r="N422" s="2">
        <v>73.8</v>
      </c>
      <c r="O422" s="2">
        <f t="shared" si="36"/>
        <v>140220</v>
      </c>
      <c r="P422" s="2">
        <f t="shared" si="37"/>
        <v>161.89454458468879</v>
      </c>
      <c r="Q422" s="7">
        <f t="shared" si="33"/>
        <v>80.189249594264595</v>
      </c>
      <c r="R422" s="2" t="s">
        <v>162</v>
      </c>
      <c r="S422" s="2" t="s">
        <v>28</v>
      </c>
      <c r="T422" s="2" t="s">
        <v>163</v>
      </c>
    </row>
    <row r="423" spans="1:20" x14ac:dyDescent="0.3">
      <c r="A423" s="2" t="s">
        <v>161</v>
      </c>
      <c r="B423" s="2" t="s">
        <v>87</v>
      </c>
      <c r="C423" s="2">
        <v>87619452</v>
      </c>
      <c r="D423" s="2">
        <v>2019</v>
      </c>
      <c r="E423" s="2" t="s">
        <v>26</v>
      </c>
      <c r="F423" s="4">
        <v>3.0000000000000001E-6</v>
      </c>
      <c r="G423" s="2">
        <v>7</v>
      </c>
      <c r="H423" s="2">
        <f t="shared" si="34"/>
        <v>1435.3620210000001</v>
      </c>
      <c r="I423" s="2">
        <v>319</v>
      </c>
      <c r="J423" s="2">
        <v>0.13300000000000001</v>
      </c>
      <c r="K423" s="2">
        <v>6</v>
      </c>
      <c r="L423" s="2">
        <f t="shared" si="35"/>
        <v>254.56200000000001</v>
      </c>
      <c r="M423" s="2">
        <v>16</v>
      </c>
      <c r="N423" s="2">
        <v>73.8</v>
      </c>
      <c r="O423" s="2">
        <f t="shared" si="36"/>
        <v>1180.8</v>
      </c>
      <c r="P423" s="2">
        <f t="shared" si="37"/>
        <v>1.6381773547271219</v>
      </c>
      <c r="Q423" s="7">
        <f t="shared" si="33"/>
        <v>1.6248322012993976</v>
      </c>
      <c r="R423" s="2" t="s">
        <v>164</v>
      </c>
      <c r="S423" s="2" t="s">
        <v>28</v>
      </c>
      <c r="T423" s="2" t="s">
        <v>150</v>
      </c>
    </row>
    <row r="424" spans="1:20" x14ac:dyDescent="0.3">
      <c r="A424" s="2" t="s">
        <v>161</v>
      </c>
      <c r="B424" s="2" t="s">
        <v>87</v>
      </c>
      <c r="C424" s="2">
        <v>87619452</v>
      </c>
      <c r="D424" s="2">
        <v>2019</v>
      </c>
      <c r="E424" s="2" t="s">
        <v>151</v>
      </c>
      <c r="F424" s="4">
        <v>4.6999999999999997E-5</v>
      </c>
      <c r="G424" s="2">
        <v>7</v>
      </c>
      <c r="H424" s="2">
        <f t="shared" si="34"/>
        <v>106319.82632899999</v>
      </c>
      <c r="I424" s="2">
        <v>2187</v>
      </c>
      <c r="J424" s="2">
        <v>0.13300000000000001</v>
      </c>
      <c r="K424" s="2">
        <v>6</v>
      </c>
      <c r="L424" s="2">
        <f t="shared" si="35"/>
        <v>1745.2260000000001</v>
      </c>
      <c r="M424" s="2">
        <v>1417</v>
      </c>
      <c r="N424" s="2">
        <v>73.8</v>
      </c>
      <c r="O424" s="2">
        <f t="shared" si="36"/>
        <v>104574.59999999999</v>
      </c>
      <c r="P424" s="2">
        <f t="shared" si="37"/>
        <v>121.34272002637039</v>
      </c>
      <c r="Q424" s="7">
        <f t="shared" si="33"/>
        <v>70.282295309560823</v>
      </c>
      <c r="R424" s="2" t="s">
        <v>165</v>
      </c>
      <c r="S424" s="2" t="s">
        <v>28</v>
      </c>
      <c r="T424" s="2" t="s">
        <v>32</v>
      </c>
    </row>
    <row r="425" spans="1:20" x14ac:dyDescent="0.3">
      <c r="A425" s="2" t="s">
        <v>161</v>
      </c>
      <c r="B425" s="2" t="s">
        <v>87</v>
      </c>
      <c r="C425" s="2">
        <v>87619452</v>
      </c>
      <c r="D425" s="2">
        <v>2019</v>
      </c>
      <c r="E425" s="2" t="s">
        <v>33</v>
      </c>
      <c r="F425" s="4">
        <v>1.9999999999999999E-6</v>
      </c>
      <c r="G425" s="2">
        <v>8</v>
      </c>
      <c r="H425" s="2">
        <f t="shared" si="34"/>
        <v>17599.276016</v>
      </c>
      <c r="I425" s="2">
        <v>196</v>
      </c>
      <c r="J425" s="2">
        <v>0.13300000000000001</v>
      </c>
      <c r="K425" s="2">
        <v>7</v>
      </c>
      <c r="L425" s="2">
        <f t="shared" si="35"/>
        <v>182.476</v>
      </c>
      <c r="M425" s="2">
        <v>236</v>
      </c>
      <c r="N425" s="2">
        <v>73.8</v>
      </c>
      <c r="O425" s="2">
        <f t="shared" si="36"/>
        <v>17416.8</v>
      </c>
      <c r="P425" s="2">
        <f t="shared" si="37"/>
        <v>20.086037534222424</v>
      </c>
      <c r="Q425" s="7">
        <f t="shared" si="33"/>
        <v>18.197335972980344</v>
      </c>
      <c r="R425" s="2" t="s">
        <v>166</v>
      </c>
      <c r="S425" s="2" t="s">
        <v>35</v>
      </c>
      <c r="T425" s="2" t="s">
        <v>28</v>
      </c>
    </row>
    <row r="426" spans="1:20" x14ac:dyDescent="0.3">
      <c r="A426" s="2" t="s">
        <v>161</v>
      </c>
      <c r="B426" s="2" t="s">
        <v>87</v>
      </c>
      <c r="C426" s="2">
        <v>87619452</v>
      </c>
      <c r="D426" s="2">
        <v>2019</v>
      </c>
      <c r="E426" s="2" t="s">
        <v>37</v>
      </c>
      <c r="F426" s="4">
        <v>5.7000000000000002E-2</v>
      </c>
      <c r="G426" s="2">
        <v>6</v>
      </c>
      <c r="H426" s="2">
        <f t="shared" si="34"/>
        <v>3226502.7420000001</v>
      </c>
      <c r="I426" s="2">
        <v>5041410</v>
      </c>
      <c r="J426" s="2">
        <v>0.128</v>
      </c>
      <c r="K426" s="2">
        <v>5</v>
      </c>
      <c r="L426" s="2">
        <f t="shared" si="35"/>
        <v>3226502.4</v>
      </c>
      <c r="M426" s="2">
        <v>0</v>
      </c>
      <c r="N426" s="2">
        <v>73.8</v>
      </c>
      <c r="O426" s="2">
        <f t="shared" si="36"/>
        <v>0</v>
      </c>
      <c r="P426" s="2">
        <f t="shared" si="37"/>
        <v>3682.4046126195817</v>
      </c>
      <c r="Q426" s="7">
        <f t="shared" si="33"/>
        <v>99.999999999999986</v>
      </c>
      <c r="R426" s="2" t="s">
        <v>167</v>
      </c>
      <c r="S426" s="2" t="s">
        <v>155</v>
      </c>
      <c r="T426" s="2" t="s">
        <v>156</v>
      </c>
    </row>
    <row r="427" spans="1:20" x14ac:dyDescent="0.3">
      <c r="A427" s="2" t="s">
        <v>161</v>
      </c>
      <c r="B427" s="2" t="s">
        <v>87</v>
      </c>
      <c r="C427" s="2">
        <v>87619452</v>
      </c>
      <c r="D427" s="2">
        <v>2019</v>
      </c>
      <c r="E427" s="2" t="s">
        <v>41</v>
      </c>
      <c r="F427" s="4">
        <v>9.9999999999999995E-7</v>
      </c>
      <c r="G427" s="2">
        <v>6</v>
      </c>
      <c r="H427" s="2">
        <f t="shared" si="34"/>
        <v>3366.6000060000001</v>
      </c>
      <c r="I427" s="2">
        <v>95</v>
      </c>
      <c r="J427" s="2">
        <v>0.12</v>
      </c>
      <c r="K427" s="2">
        <v>4</v>
      </c>
      <c r="L427" s="2">
        <f t="shared" si="35"/>
        <v>45.6</v>
      </c>
      <c r="M427" s="2">
        <v>45</v>
      </c>
      <c r="N427" s="2">
        <v>73.8</v>
      </c>
      <c r="O427" s="2">
        <f t="shared" si="36"/>
        <v>3321</v>
      </c>
      <c r="P427" s="2">
        <f t="shared" si="37"/>
        <v>3.8422974912009269</v>
      </c>
      <c r="Q427" s="7">
        <f t="shared" si="33"/>
        <v>3.769417642398909</v>
      </c>
      <c r="R427" s="2" t="s">
        <v>168</v>
      </c>
      <c r="S427" s="2" t="s">
        <v>158</v>
      </c>
      <c r="T427" s="2" t="s">
        <v>159</v>
      </c>
    </row>
    <row r="428" spans="1:20" x14ac:dyDescent="0.3">
      <c r="A428" s="2" t="s">
        <v>161</v>
      </c>
      <c r="B428" s="2" t="s">
        <v>87</v>
      </c>
      <c r="C428" s="2">
        <v>90335655</v>
      </c>
      <c r="D428" s="2">
        <v>2020</v>
      </c>
      <c r="E428" s="2" t="s">
        <v>22</v>
      </c>
      <c r="F428" s="4">
        <v>9.5000000000000005E-5</v>
      </c>
      <c r="G428" s="2">
        <v>9</v>
      </c>
      <c r="H428" s="2">
        <f t="shared" ref="H428:H459" si="38">L428+O428+G428*F428</f>
        <v>160580.94485499998</v>
      </c>
      <c r="I428" s="2">
        <v>1796</v>
      </c>
      <c r="J428" s="2">
        <v>0.13300000000000001</v>
      </c>
      <c r="K428" s="2">
        <v>8</v>
      </c>
      <c r="L428" s="2">
        <f t="shared" ref="L428:L459" si="39">I428*J428*K428</f>
        <v>1910.9440000000002</v>
      </c>
      <c r="M428" s="2">
        <v>2150</v>
      </c>
      <c r="N428" s="2">
        <v>73.8</v>
      </c>
      <c r="O428" s="2">
        <f t="shared" ref="O428:O459" si="40">M428*N428</f>
        <v>158670</v>
      </c>
      <c r="P428" s="2">
        <f t="shared" ref="P428:P463" si="41">H428/C428*100000</f>
        <v>177.76031496644373</v>
      </c>
      <c r="Q428" s="7">
        <f t="shared" si="33"/>
        <v>83.095716754035635</v>
      </c>
      <c r="R428" s="2" t="s">
        <v>162</v>
      </c>
      <c r="S428" s="2" t="s">
        <v>28</v>
      </c>
      <c r="T428" s="2" t="s">
        <v>163</v>
      </c>
    </row>
    <row r="429" spans="1:20" x14ac:dyDescent="0.3">
      <c r="A429" s="2" t="s">
        <v>161</v>
      </c>
      <c r="B429" s="2" t="s">
        <v>87</v>
      </c>
      <c r="C429" s="2">
        <v>90335655</v>
      </c>
      <c r="D429" s="2">
        <v>2020</v>
      </c>
      <c r="E429" s="2" t="s">
        <v>26</v>
      </c>
      <c r="F429" s="4">
        <v>3.0000000000000001E-6</v>
      </c>
      <c r="G429" s="2">
        <v>7</v>
      </c>
      <c r="H429" s="2">
        <f t="shared" si="38"/>
        <v>1482.828021</v>
      </c>
      <c r="I429" s="2">
        <v>286</v>
      </c>
      <c r="J429" s="2">
        <v>0.13300000000000001</v>
      </c>
      <c r="K429" s="2">
        <v>6</v>
      </c>
      <c r="L429" s="2">
        <f t="shared" si="39"/>
        <v>228.22800000000001</v>
      </c>
      <c r="M429" s="2">
        <v>17</v>
      </c>
      <c r="N429" s="2">
        <v>73.8</v>
      </c>
      <c r="O429" s="2">
        <f t="shared" si="40"/>
        <v>1254.5999999999999</v>
      </c>
      <c r="P429" s="2">
        <f t="shared" si="41"/>
        <v>1.6414648468536592</v>
      </c>
      <c r="Q429" s="7">
        <f t="shared" si="33"/>
        <v>1.628066224035829</v>
      </c>
      <c r="R429" s="2" t="s">
        <v>164</v>
      </c>
      <c r="S429" s="2" t="s">
        <v>28</v>
      </c>
      <c r="T429" s="2" t="s">
        <v>150</v>
      </c>
    </row>
    <row r="430" spans="1:20" x14ac:dyDescent="0.3">
      <c r="A430" s="2" t="s">
        <v>161</v>
      </c>
      <c r="B430" s="2" t="s">
        <v>87</v>
      </c>
      <c r="C430" s="2">
        <v>90335655</v>
      </c>
      <c r="D430" s="2">
        <v>2020</v>
      </c>
      <c r="E430" s="2" t="s">
        <v>151</v>
      </c>
      <c r="F430" s="4">
        <v>4.3999999999999999E-5</v>
      </c>
      <c r="G430" s="2">
        <v>7</v>
      </c>
      <c r="H430" s="2">
        <f t="shared" si="38"/>
        <v>105492.06630800001</v>
      </c>
      <c r="I430" s="2">
        <v>2167</v>
      </c>
      <c r="J430" s="2">
        <v>0.13300000000000001</v>
      </c>
      <c r="K430" s="2">
        <v>6</v>
      </c>
      <c r="L430" s="2">
        <f t="shared" si="39"/>
        <v>1729.2660000000001</v>
      </c>
      <c r="M430" s="2">
        <v>1406</v>
      </c>
      <c r="N430" s="2">
        <v>73.8</v>
      </c>
      <c r="O430" s="2">
        <f t="shared" si="40"/>
        <v>103762.8</v>
      </c>
      <c r="P430" s="2">
        <f t="shared" si="41"/>
        <v>116.77788389091771</v>
      </c>
      <c r="Q430" s="7">
        <f t="shared" si="33"/>
        <v>68.894291758710409</v>
      </c>
      <c r="R430" s="2" t="s">
        <v>165</v>
      </c>
      <c r="S430" s="2" t="s">
        <v>28</v>
      </c>
      <c r="T430" s="2" t="s">
        <v>32</v>
      </c>
    </row>
    <row r="431" spans="1:20" x14ac:dyDescent="0.3">
      <c r="A431" s="2" t="s">
        <v>161</v>
      </c>
      <c r="B431" s="2" t="s">
        <v>87</v>
      </c>
      <c r="C431" s="2">
        <v>90335655</v>
      </c>
      <c r="D431" s="2">
        <v>2020</v>
      </c>
      <c r="E431" s="2" t="s">
        <v>33</v>
      </c>
      <c r="F431" s="4">
        <v>1.9999999999999999E-6</v>
      </c>
      <c r="G431" s="2">
        <v>8</v>
      </c>
      <c r="H431" s="2">
        <f t="shared" si="38"/>
        <v>17204.208016</v>
      </c>
      <c r="I431" s="2">
        <v>168</v>
      </c>
      <c r="J431" s="2">
        <v>0.13300000000000001</v>
      </c>
      <c r="K431" s="2">
        <v>7</v>
      </c>
      <c r="L431" s="2">
        <f t="shared" si="39"/>
        <v>156.40800000000002</v>
      </c>
      <c r="M431" s="2">
        <v>231</v>
      </c>
      <c r="N431" s="2">
        <v>73.8</v>
      </c>
      <c r="O431" s="2">
        <f t="shared" si="40"/>
        <v>17047.8</v>
      </c>
      <c r="P431" s="2">
        <f t="shared" si="41"/>
        <v>19.044759254803655</v>
      </c>
      <c r="Q431" s="7">
        <f t="shared" si="33"/>
        <v>17.341092397875922</v>
      </c>
      <c r="R431" s="2" t="s">
        <v>166</v>
      </c>
      <c r="S431" s="2" t="s">
        <v>35</v>
      </c>
      <c r="T431" s="2" t="s">
        <v>28</v>
      </c>
    </row>
    <row r="432" spans="1:20" x14ac:dyDescent="0.3">
      <c r="A432" s="2" t="s">
        <v>161</v>
      </c>
      <c r="B432" s="2" t="s">
        <v>87</v>
      </c>
      <c r="C432" s="2">
        <v>90335655</v>
      </c>
      <c r="D432" s="2">
        <v>2020</v>
      </c>
      <c r="E432" s="2" t="s">
        <v>37</v>
      </c>
      <c r="F432" s="4">
        <v>0.06</v>
      </c>
      <c r="G432" s="2">
        <v>6</v>
      </c>
      <c r="H432" s="2">
        <f t="shared" si="38"/>
        <v>3244200.68</v>
      </c>
      <c r="I432" s="2">
        <v>5069063</v>
      </c>
      <c r="J432" s="2">
        <v>0.128</v>
      </c>
      <c r="K432" s="2">
        <v>5</v>
      </c>
      <c r="L432" s="2">
        <f t="shared" si="39"/>
        <v>3244200.3200000003</v>
      </c>
      <c r="M432" s="2">
        <v>0</v>
      </c>
      <c r="N432" s="2">
        <v>73.8</v>
      </c>
      <c r="O432" s="2">
        <f t="shared" si="40"/>
        <v>0</v>
      </c>
      <c r="P432" s="2">
        <f t="shared" si="41"/>
        <v>3591.2737667092806</v>
      </c>
      <c r="Q432" s="7">
        <f t="shared" si="33"/>
        <v>99.999999999999972</v>
      </c>
      <c r="R432" s="2" t="s">
        <v>167</v>
      </c>
      <c r="S432" s="2" t="s">
        <v>155</v>
      </c>
      <c r="T432" s="2" t="s">
        <v>156</v>
      </c>
    </row>
    <row r="433" spans="1:20" x14ac:dyDescent="0.3">
      <c r="A433" s="2" t="s">
        <v>161</v>
      </c>
      <c r="B433" s="2" t="s">
        <v>87</v>
      </c>
      <c r="C433" s="2">
        <v>90335655</v>
      </c>
      <c r="D433" s="2">
        <v>2020</v>
      </c>
      <c r="E433" s="2" t="s">
        <v>41</v>
      </c>
      <c r="F433" s="4">
        <v>9.9999999999999995E-7</v>
      </c>
      <c r="G433" s="2">
        <v>6</v>
      </c>
      <c r="H433" s="2">
        <f t="shared" si="38"/>
        <v>3361.3200060000004</v>
      </c>
      <c r="I433" s="2">
        <v>84</v>
      </c>
      <c r="J433" s="2">
        <v>0.12</v>
      </c>
      <c r="K433" s="2">
        <v>4</v>
      </c>
      <c r="L433" s="2">
        <f t="shared" si="39"/>
        <v>40.32</v>
      </c>
      <c r="M433" s="2">
        <v>45</v>
      </c>
      <c r="N433" s="2">
        <v>73.8</v>
      </c>
      <c r="O433" s="2">
        <f t="shared" si="40"/>
        <v>3321</v>
      </c>
      <c r="P433" s="2">
        <f t="shared" si="41"/>
        <v>3.7209228249908635</v>
      </c>
      <c r="Q433" s="7">
        <f t="shared" si="33"/>
        <v>3.6525471830530232</v>
      </c>
      <c r="R433" s="2" t="s">
        <v>168</v>
      </c>
      <c r="S433" s="2" t="s">
        <v>158</v>
      </c>
      <c r="T433" s="2" t="s">
        <v>159</v>
      </c>
    </row>
    <row r="434" spans="1:20" x14ac:dyDescent="0.3">
      <c r="A434" s="2" t="s">
        <v>161</v>
      </c>
      <c r="B434" s="2" t="s">
        <v>87</v>
      </c>
      <c r="C434" s="2">
        <v>93136060</v>
      </c>
      <c r="D434" s="2">
        <v>2021</v>
      </c>
      <c r="E434" s="2" t="s">
        <v>22</v>
      </c>
      <c r="F434" s="4">
        <v>1.03E-4</v>
      </c>
      <c r="G434" s="2">
        <v>9</v>
      </c>
      <c r="H434" s="2">
        <f t="shared" si="38"/>
        <v>179182.03292699999</v>
      </c>
      <c r="I434" s="2">
        <v>1938</v>
      </c>
      <c r="J434" s="2">
        <v>0.13300000000000001</v>
      </c>
      <c r="K434" s="2">
        <v>8</v>
      </c>
      <c r="L434" s="2">
        <f t="shared" si="39"/>
        <v>2062.0320000000002</v>
      </c>
      <c r="M434" s="2">
        <v>2400</v>
      </c>
      <c r="N434" s="2">
        <v>73.8</v>
      </c>
      <c r="O434" s="2">
        <f t="shared" si="40"/>
        <v>177120</v>
      </c>
      <c r="P434" s="2">
        <f t="shared" si="41"/>
        <v>192.38738779265518</v>
      </c>
      <c r="Q434" s="7">
        <f t="shared" si="33"/>
        <v>85.395987670302745</v>
      </c>
      <c r="R434" s="2" t="s">
        <v>162</v>
      </c>
      <c r="S434" s="2" t="s">
        <v>28</v>
      </c>
      <c r="T434" s="2" t="s">
        <v>163</v>
      </c>
    </row>
    <row r="435" spans="1:20" x14ac:dyDescent="0.3">
      <c r="A435" s="2" t="s">
        <v>161</v>
      </c>
      <c r="B435" s="2" t="s">
        <v>87</v>
      </c>
      <c r="C435" s="2">
        <v>93136060</v>
      </c>
      <c r="D435" s="2">
        <v>2021</v>
      </c>
      <c r="E435" s="2" t="s">
        <v>26</v>
      </c>
      <c r="F435" s="4">
        <v>3.9999999999999998E-6</v>
      </c>
      <c r="G435" s="2">
        <v>7</v>
      </c>
      <c r="H435" s="2">
        <f t="shared" si="38"/>
        <v>1279.7820280000001</v>
      </c>
      <c r="I435" s="2">
        <v>309</v>
      </c>
      <c r="J435" s="2">
        <v>0.13300000000000001</v>
      </c>
      <c r="K435" s="2">
        <v>6</v>
      </c>
      <c r="L435" s="2">
        <f t="shared" si="39"/>
        <v>246.58199999999999</v>
      </c>
      <c r="M435" s="2">
        <v>14</v>
      </c>
      <c r="N435" s="2">
        <v>73.8</v>
      </c>
      <c r="O435" s="2">
        <f t="shared" si="40"/>
        <v>1033.2</v>
      </c>
      <c r="P435" s="2">
        <f t="shared" si="41"/>
        <v>1.3740993853508512</v>
      </c>
      <c r="Q435" s="7">
        <f t="shared" si="33"/>
        <v>1.3647017333503597</v>
      </c>
      <c r="R435" s="2" t="s">
        <v>164</v>
      </c>
      <c r="S435" s="2" t="s">
        <v>28</v>
      </c>
      <c r="T435" s="2" t="s">
        <v>150</v>
      </c>
    </row>
    <row r="436" spans="1:20" x14ac:dyDescent="0.3">
      <c r="A436" s="2" t="s">
        <v>161</v>
      </c>
      <c r="B436" s="2" t="s">
        <v>87</v>
      </c>
      <c r="C436" s="2">
        <v>93136060</v>
      </c>
      <c r="D436" s="2">
        <v>2021</v>
      </c>
      <c r="E436" s="2" t="s">
        <v>151</v>
      </c>
      <c r="F436" s="4">
        <v>4.3999999999999999E-5</v>
      </c>
      <c r="G436" s="2">
        <v>7</v>
      </c>
      <c r="H436" s="2">
        <f t="shared" si="38"/>
        <v>94600.020308000006</v>
      </c>
      <c r="I436" s="2">
        <v>2390</v>
      </c>
      <c r="J436" s="2">
        <v>0.13300000000000001</v>
      </c>
      <c r="K436" s="2">
        <v>6</v>
      </c>
      <c r="L436" s="2">
        <f t="shared" si="39"/>
        <v>1907.22</v>
      </c>
      <c r="M436" s="2">
        <v>1256</v>
      </c>
      <c r="N436" s="2">
        <v>73.8</v>
      </c>
      <c r="O436" s="2">
        <f t="shared" si="40"/>
        <v>92692.800000000003</v>
      </c>
      <c r="P436" s="2">
        <f t="shared" si="41"/>
        <v>101.57185123356089</v>
      </c>
      <c r="Q436" s="7">
        <f t="shared" si="33"/>
        <v>63.785786725926485</v>
      </c>
      <c r="R436" s="2" t="s">
        <v>165</v>
      </c>
      <c r="S436" s="2" t="s">
        <v>28</v>
      </c>
      <c r="T436" s="2" t="s">
        <v>32</v>
      </c>
    </row>
    <row r="437" spans="1:20" x14ac:dyDescent="0.3">
      <c r="A437" s="2" t="s">
        <v>161</v>
      </c>
      <c r="B437" s="2" t="s">
        <v>87</v>
      </c>
      <c r="C437" s="2">
        <v>93136060</v>
      </c>
      <c r="D437" s="2">
        <v>2021</v>
      </c>
      <c r="E437" s="2" t="s">
        <v>33</v>
      </c>
      <c r="F437" s="4">
        <v>1.9999999999999999E-6</v>
      </c>
      <c r="G437" s="2">
        <v>8</v>
      </c>
      <c r="H437" s="2">
        <f t="shared" si="38"/>
        <v>16705.297016000004</v>
      </c>
      <c r="I437" s="2">
        <v>187</v>
      </c>
      <c r="J437" s="2">
        <v>0.13300000000000001</v>
      </c>
      <c r="K437" s="2">
        <v>7</v>
      </c>
      <c r="L437" s="2">
        <f t="shared" si="39"/>
        <v>174.09700000000001</v>
      </c>
      <c r="M437" s="2">
        <v>224</v>
      </c>
      <c r="N437" s="2">
        <v>73.8</v>
      </c>
      <c r="O437" s="2">
        <f t="shared" si="40"/>
        <v>16531.2</v>
      </c>
      <c r="P437" s="2">
        <f t="shared" si="41"/>
        <v>17.936443753364706</v>
      </c>
      <c r="Q437" s="7">
        <f t="shared" si="33"/>
        <v>16.419875345796907</v>
      </c>
      <c r="R437" s="2" t="s">
        <v>166</v>
      </c>
      <c r="S437" s="2" t="s">
        <v>35</v>
      </c>
      <c r="T437" s="2" t="s">
        <v>28</v>
      </c>
    </row>
    <row r="438" spans="1:20" x14ac:dyDescent="0.3">
      <c r="A438" s="2" t="s">
        <v>161</v>
      </c>
      <c r="B438" s="2" t="s">
        <v>87</v>
      </c>
      <c r="C438" s="2">
        <v>93136060</v>
      </c>
      <c r="D438" s="2">
        <v>2021</v>
      </c>
      <c r="E438" s="2" t="s">
        <v>37</v>
      </c>
      <c r="F438" s="4">
        <v>6.3E-2</v>
      </c>
      <c r="G438" s="2">
        <v>6</v>
      </c>
      <c r="H438" s="2">
        <f t="shared" si="38"/>
        <v>4147757.1779999998</v>
      </c>
      <c r="I438" s="2">
        <v>6480870</v>
      </c>
      <c r="J438" s="2">
        <v>0.128</v>
      </c>
      <c r="K438" s="2">
        <v>5</v>
      </c>
      <c r="L438" s="2">
        <f t="shared" si="39"/>
        <v>4147756.8</v>
      </c>
      <c r="M438" s="2">
        <v>0</v>
      </c>
      <c r="N438" s="2">
        <v>73.8</v>
      </c>
      <c r="O438" s="2">
        <f t="shared" si="40"/>
        <v>0</v>
      </c>
      <c r="P438" s="2">
        <f t="shared" si="41"/>
        <v>4453.4385263881677</v>
      </c>
      <c r="Q438" s="7">
        <f t="shared" si="33"/>
        <v>100</v>
      </c>
      <c r="R438" s="2" t="s">
        <v>167</v>
      </c>
      <c r="S438" s="2" t="s">
        <v>155</v>
      </c>
      <c r="T438" s="2" t="s">
        <v>156</v>
      </c>
    </row>
    <row r="439" spans="1:20" x14ac:dyDescent="0.3">
      <c r="A439" s="2" t="s">
        <v>161</v>
      </c>
      <c r="B439" s="2" t="s">
        <v>87</v>
      </c>
      <c r="C439" s="2">
        <v>93136060</v>
      </c>
      <c r="D439" s="2">
        <v>2021</v>
      </c>
      <c r="E439" s="2" t="s">
        <v>41</v>
      </c>
      <c r="F439" s="4">
        <v>9.9999999999999995E-7</v>
      </c>
      <c r="G439" s="2">
        <v>6</v>
      </c>
      <c r="H439" s="2">
        <f t="shared" si="38"/>
        <v>2405.760006</v>
      </c>
      <c r="I439" s="2">
        <v>92</v>
      </c>
      <c r="J439" s="2">
        <v>0.12</v>
      </c>
      <c r="K439" s="2">
        <v>4</v>
      </c>
      <c r="L439" s="2">
        <f t="shared" si="39"/>
        <v>44.16</v>
      </c>
      <c r="M439" s="2">
        <v>32</v>
      </c>
      <c r="N439" s="2">
        <v>73.8</v>
      </c>
      <c r="O439" s="2">
        <f t="shared" si="40"/>
        <v>2361.6</v>
      </c>
      <c r="P439" s="2">
        <f t="shared" si="41"/>
        <v>2.5830596720539822</v>
      </c>
      <c r="Q439" s="7">
        <f t="shared" si="33"/>
        <v>2.5499840850511823</v>
      </c>
      <c r="R439" s="2" t="s">
        <v>169</v>
      </c>
      <c r="S439" s="2" t="s">
        <v>158</v>
      </c>
      <c r="T439" s="2" t="s">
        <v>159</v>
      </c>
    </row>
    <row r="440" spans="1:20" x14ac:dyDescent="0.3">
      <c r="A440" s="2" t="s">
        <v>161</v>
      </c>
      <c r="B440" s="2" t="s">
        <v>87</v>
      </c>
      <c r="C440" s="2">
        <v>96023278</v>
      </c>
      <c r="D440" s="2">
        <v>2022</v>
      </c>
      <c r="E440" s="2" t="s">
        <v>22</v>
      </c>
      <c r="F440" s="4">
        <v>2.1499999999999999E-4</v>
      </c>
      <c r="G440" s="2">
        <v>9</v>
      </c>
      <c r="H440" s="2">
        <f t="shared" si="38"/>
        <v>384969.72193499998</v>
      </c>
      <c r="I440" s="2">
        <v>4605</v>
      </c>
      <c r="J440" s="2">
        <v>0.13300000000000001</v>
      </c>
      <c r="K440" s="2">
        <v>8</v>
      </c>
      <c r="L440" s="2">
        <f t="shared" si="39"/>
        <v>4899.72</v>
      </c>
      <c r="M440" s="2">
        <v>5150</v>
      </c>
      <c r="N440" s="2">
        <v>73.8</v>
      </c>
      <c r="O440" s="2">
        <f t="shared" si="40"/>
        <v>380070</v>
      </c>
      <c r="P440" s="2">
        <f t="shared" si="41"/>
        <v>400.91291398633564</v>
      </c>
      <c r="Q440" s="7">
        <f t="shared" si="33"/>
        <v>98.185080623398903</v>
      </c>
      <c r="R440" s="2" t="s">
        <v>170</v>
      </c>
      <c r="S440" s="2" t="s">
        <v>28</v>
      </c>
      <c r="T440" s="2" t="s">
        <v>163</v>
      </c>
    </row>
    <row r="441" spans="1:20" x14ac:dyDescent="0.3">
      <c r="A441" s="2" t="s">
        <v>161</v>
      </c>
      <c r="B441" s="2" t="s">
        <v>87</v>
      </c>
      <c r="C441" s="2">
        <v>96023278</v>
      </c>
      <c r="D441" s="2">
        <v>2022</v>
      </c>
      <c r="E441" s="2" t="s">
        <v>26</v>
      </c>
      <c r="F441" s="4">
        <v>3.0000000000000001E-6</v>
      </c>
      <c r="G441" s="2">
        <v>7</v>
      </c>
      <c r="H441" s="2">
        <f t="shared" si="38"/>
        <v>1436.1600209999999</v>
      </c>
      <c r="I441" s="2">
        <v>320</v>
      </c>
      <c r="J441" s="2">
        <v>0.13300000000000001</v>
      </c>
      <c r="K441" s="2">
        <v>6</v>
      </c>
      <c r="L441" s="2">
        <f t="shared" si="39"/>
        <v>255.36</v>
      </c>
      <c r="M441" s="2">
        <v>16</v>
      </c>
      <c r="N441" s="2">
        <v>73.8</v>
      </c>
      <c r="O441" s="2">
        <f t="shared" si="40"/>
        <v>1180.8</v>
      </c>
      <c r="P441" s="2">
        <f t="shared" si="41"/>
        <v>1.4956373609740754</v>
      </c>
      <c r="Q441" s="7">
        <f t="shared" si="33"/>
        <v>1.4845082581534497</v>
      </c>
      <c r="R441" s="2" t="s">
        <v>164</v>
      </c>
      <c r="S441" s="2" t="s">
        <v>28</v>
      </c>
      <c r="T441" s="2" t="s">
        <v>150</v>
      </c>
    </row>
    <row r="442" spans="1:20" x14ac:dyDescent="0.3">
      <c r="A442" s="2" t="s">
        <v>161</v>
      </c>
      <c r="B442" s="2" t="s">
        <v>87</v>
      </c>
      <c r="C442" s="2">
        <v>96023278</v>
      </c>
      <c r="D442" s="2">
        <v>2022</v>
      </c>
      <c r="E442" s="2" t="s">
        <v>151</v>
      </c>
      <c r="F442" s="4">
        <v>4.5000000000000003E-5</v>
      </c>
      <c r="G442" s="2">
        <v>7</v>
      </c>
      <c r="H442" s="2">
        <f t="shared" si="38"/>
        <v>103208.22631499999</v>
      </c>
      <c r="I442" s="2">
        <v>1987</v>
      </c>
      <c r="J442" s="2">
        <v>0.13300000000000001</v>
      </c>
      <c r="K442" s="2">
        <v>6</v>
      </c>
      <c r="L442" s="2">
        <f t="shared" si="39"/>
        <v>1585.6260000000002</v>
      </c>
      <c r="M442" s="2">
        <v>1377</v>
      </c>
      <c r="N442" s="2">
        <v>73.8</v>
      </c>
      <c r="O442" s="2">
        <f t="shared" si="40"/>
        <v>101622.59999999999</v>
      </c>
      <c r="P442" s="2">
        <f t="shared" si="41"/>
        <v>107.48250680944258</v>
      </c>
      <c r="Q442" s="7">
        <f t="shared" si="33"/>
        <v>65.864253560994328</v>
      </c>
      <c r="R442" s="2" t="s">
        <v>165</v>
      </c>
      <c r="S442" s="2" t="s">
        <v>28</v>
      </c>
      <c r="T442" s="2" t="s">
        <v>32</v>
      </c>
    </row>
    <row r="443" spans="1:20" x14ac:dyDescent="0.3">
      <c r="A443" s="2" t="s">
        <v>161</v>
      </c>
      <c r="B443" s="2" t="s">
        <v>87</v>
      </c>
      <c r="C443" s="2">
        <v>96023278</v>
      </c>
      <c r="D443" s="2">
        <v>2022</v>
      </c>
      <c r="E443" s="2" t="s">
        <v>33</v>
      </c>
      <c r="F443" s="4">
        <v>1.9999999999999999E-6</v>
      </c>
      <c r="G443" s="2">
        <v>8</v>
      </c>
      <c r="H443" s="2">
        <f t="shared" si="38"/>
        <v>18838.049016000001</v>
      </c>
      <c r="I443" s="2">
        <v>179</v>
      </c>
      <c r="J443" s="2">
        <v>0.13300000000000001</v>
      </c>
      <c r="K443" s="2">
        <v>7</v>
      </c>
      <c r="L443" s="2">
        <f t="shared" si="39"/>
        <v>166.649</v>
      </c>
      <c r="M443" s="2">
        <v>253</v>
      </c>
      <c r="N443" s="2">
        <v>73.8</v>
      </c>
      <c r="O443" s="2">
        <f t="shared" si="40"/>
        <v>18671.399999999998</v>
      </c>
      <c r="P443" s="2">
        <f t="shared" si="41"/>
        <v>19.618210717613703</v>
      </c>
      <c r="Q443" s="7">
        <f t="shared" si="33"/>
        <v>17.813744601924252</v>
      </c>
      <c r="R443" s="2" t="s">
        <v>166</v>
      </c>
      <c r="S443" s="2" t="s">
        <v>35</v>
      </c>
      <c r="T443" s="2" t="s">
        <v>28</v>
      </c>
    </row>
    <row r="444" spans="1:20" x14ac:dyDescent="0.3">
      <c r="A444" s="2" t="s">
        <v>161</v>
      </c>
      <c r="B444" s="2" t="s">
        <v>87</v>
      </c>
      <c r="C444" s="2">
        <v>96023278</v>
      </c>
      <c r="D444" s="2">
        <v>2022</v>
      </c>
      <c r="E444" s="2" t="s">
        <v>37</v>
      </c>
      <c r="F444" s="4">
        <v>6.6000000000000003E-2</v>
      </c>
      <c r="G444" s="2">
        <v>6</v>
      </c>
      <c r="H444" s="2">
        <f t="shared" si="38"/>
        <v>4527331.5959999999</v>
      </c>
      <c r="I444" s="2">
        <v>7073955</v>
      </c>
      <c r="J444" s="2">
        <v>0.128</v>
      </c>
      <c r="K444" s="2">
        <v>5</v>
      </c>
      <c r="L444" s="2">
        <f t="shared" si="39"/>
        <v>4527331.2</v>
      </c>
      <c r="M444" s="2">
        <v>0</v>
      </c>
      <c r="N444" s="2">
        <v>73.8</v>
      </c>
      <c r="O444" s="2">
        <f t="shared" si="40"/>
        <v>0</v>
      </c>
      <c r="P444" s="2">
        <f t="shared" si="41"/>
        <v>4714.8271651380201</v>
      </c>
      <c r="Q444" s="7">
        <f t="shared" si="33"/>
        <v>100</v>
      </c>
      <c r="R444" s="2" t="s">
        <v>167</v>
      </c>
      <c r="S444" s="2" t="s">
        <v>155</v>
      </c>
      <c r="T444" s="2" t="s">
        <v>156</v>
      </c>
    </row>
    <row r="445" spans="1:20" x14ac:dyDescent="0.3">
      <c r="A445" s="2" t="s">
        <v>161</v>
      </c>
      <c r="B445" s="2" t="s">
        <v>87</v>
      </c>
      <c r="C445" s="2">
        <v>96023278</v>
      </c>
      <c r="D445" s="2">
        <v>2022</v>
      </c>
      <c r="E445" s="2" t="s">
        <v>41</v>
      </c>
      <c r="F445" s="4">
        <v>9.9999999999999995E-7</v>
      </c>
      <c r="G445" s="2">
        <v>6</v>
      </c>
      <c r="H445" s="2">
        <f t="shared" si="38"/>
        <v>3359.8800060000003</v>
      </c>
      <c r="I445" s="2">
        <v>81</v>
      </c>
      <c r="J445" s="2">
        <v>0.12</v>
      </c>
      <c r="K445" s="2">
        <v>4</v>
      </c>
      <c r="L445" s="2">
        <f t="shared" si="39"/>
        <v>38.879999999999995</v>
      </c>
      <c r="M445" s="2">
        <v>45</v>
      </c>
      <c r="N445" s="2">
        <v>73.8</v>
      </c>
      <c r="O445" s="2">
        <f t="shared" si="40"/>
        <v>3321</v>
      </c>
      <c r="P445" s="2">
        <f t="shared" si="41"/>
        <v>3.4990265652043253</v>
      </c>
      <c r="Q445" s="7">
        <f t="shared" si="33"/>
        <v>3.4385184157573412</v>
      </c>
      <c r="R445" s="2" t="s">
        <v>168</v>
      </c>
      <c r="S445" s="2" t="s">
        <v>158</v>
      </c>
      <c r="T445" s="2" t="s">
        <v>159</v>
      </c>
    </row>
    <row r="446" spans="1:20" x14ac:dyDescent="0.3">
      <c r="A446" s="2" t="s">
        <v>161</v>
      </c>
      <c r="B446" s="2" t="s">
        <v>87</v>
      </c>
      <c r="C446" s="2">
        <v>99000000</v>
      </c>
      <c r="D446" s="2">
        <v>2023</v>
      </c>
      <c r="E446" s="2" t="s">
        <v>22</v>
      </c>
      <c r="F446" s="4">
        <v>2.1800000000000001E-4</v>
      </c>
      <c r="G446" s="2">
        <v>9</v>
      </c>
      <c r="H446" s="2">
        <f t="shared" si="38"/>
        <v>403569.74596199999</v>
      </c>
      <c r="I446" s="2">
        <v>4746</v>
      </c>
      <c r="J446" s="2">
        <v>0.13300000000000001</v>
      </c>
      <c r="K446" s="2">
        <v>8</v>
      </c>
      <c r="L446" s="2">
        <f t="shared" si="39"/>
        <v>5049.7440000000006</v>
      </c>
      <c r="M446" s="2">
        <v>5400</v>
      </c>
      <c r="N446" s="2">
        <v>73.8</v>
      </c>
      <c r="O446" s="2">
        <f t="shared" si="40"/>
        <v>398520</v>
      </c>
      <c r="P446" s="2">
        <f t="shared" si="41"/>
        <v>407.64620804242423</v>
      </c>
      <c r="Q446" s="7">
        <f t="shared" si="33"/>
        <v>98.30326111543711</v>
      </c>
      <c r="R446" s="2" t="s">
        <v>170</v>
      </c>
      <c r="S446" s="2" t="s">
        <v>28</v>
      </c>
      <c r="T446" s="2" t="s">
        <v>163</v>
      </c>
    </row>
    <row r="447" spans="1:20" x14ac:dyDescent="0.3">
      <c r="A447" s="2" t="s">
        <v>161</v>
      </c>
      <c r="B447" s="2" t="s">
        <v>87</v>
      </c>
      <c r="C447" s="2">
        <v>99000000</v>
      </c>
      <c r="D447" s="2">
        <v>2023</v>
      </c>
      <c r="E447" s="2" t="s">
        <v>26</v>
      </c>
      <c r="F447" s="4">
        <v>3.0000000000000001E-6</v>
      </c>
      <c r="G447" s="2">
        <v>7</v>
      </c>
      <c r="H447" s="2">
        <f t="shared" si="38"/>
        <v>1410.6240210000001</v>
      </c>
      <c r="I447" s="2">
        <v>288</v>
      </c>
      <c r="J447" s="2">
        <v>0.13300000000000001</v>
      </c>
      <c r="K447" s="2">
        <v>6</v>
      </c>
      <c r="L447" s="2">
        <f t="shared" si="39"/>
        <v>229.82400000000001</v>
      </c>
      <c r="M447" s="2">
        <v>16</v>
      </c>
      <c r="N447" s="2">
        <v>73.8</v>
      </c>
      <c r="O447" s="2">
        <f t="shared" si="40"/>
        <v>1180.8</v>
      </c>
      <c r="P447" s="2">
        <f t="shared" si="41"/>
        <v>1.4248727484848487</v>
      </c>
      <c r="Q447" s="7">
        <f t="shared" si="33"/>
        <v>1.4147694799026</v>
      </c>
      <c r="R447" s="2" t="s">
        <v>164</v>
      </c>
      <c r="S447" s="2" t="s">
        <v>28</v>
      </c>
      <c r="T447" s="2" t="s">
        <v>150</v>
      </c>
    </row>
    <row r="448" spans="1:20" x14ac:dyDescent="0.3">
      <c r="A448" s="2" t="s">
        <v>161</v>
      </c>
      <c r="B448" s="2" t="s">
        <v>87</v>
      </c>
      <c r="C448" s="2">
        <v>99000000</v>
      </c>
      <c r="D448" s="2">
        <v>2023</v>
      </c>
      <c r="E448" s="2" t="s">
        <v>151</v>
      </c>
      <c r="F448" s="4">
        <v>4.3999999999999999E-5</v>
      </c>
      <c r="G448" s="2">
        <v>7</v>
      </c>
      <c r="H448" s="2">
        <f t="shared" si="38"/>
        <v>103690.128308</v>
      </c>
      <c r="I448" s="2">
        <v>2036</v>
      </c>
      <c r="J448" s="2">
        <v>0.13300000000000001</v>
      </c>
      <c r="K448" s="2">
        <v>6</v>
      </c>
      <c r="L448" s="2">
        <f t="shared" si="39"/>
        <v>1624.7280000000001</v>
      </c>
      <c r="M448" s="2">
        <v>1383</v>
      </c>
      <c r="N448" s="2">
        <v>73.8</v>
      </c>
      <c r="O448" s="2">
        <f t="shared" si="40"/>
        <v>102065.4</v>
      </c>
      <c r="P448" s="2">
        <f t="shared" si="41"/>
        <v>104.73750334141414</v>
      </c>
      <c r="Q448" s="7">
        <f t="shared" si="33"/>
        <v>64.914246932049807</v>
      </c>
      <c r="R448" s="2" t="s">
        <v>165</v>
      </c>
      <c r="S448" s="2" t="s">
        <v>28</v>
      </c>
      <c r="T448" s="2" t="s">
        <v>32</v>
      </c>
    </row>
    <row r="449" spans="1:20" x14ac:dyDescent="0.3">
      <c r="A449" s="2" t="s">
        <v>161</v>
      </c>
      <c r="B449" s="2" t="s">
        <v>87</v>
      </c>
      <c r="C449" s="2">
        <v>99000000</v>
      </c>
      <c r="D449" s="2">
        <v>2023</v>
      </c>
      <c r="E449" s="2" t="s">
        <v>33</v>
      </c>
      <c r="F449" s="4">
        <v>1.9999999999999999E-6</v>
      </c>
      <c r="G449" s="2">
        <v>8</v>
      </c>
      <c r="H449" s="2">
        <f t="shared" si="38"/>
        <v>16837.070016000001</v>
      </c>
      <c r="I449" s="2">
        <v>170</v>
      </c>
      <c r="J449" s="2">
        <v>0.13300000000000001</v>
      </c>
      <c r="K449" s="2">
        <v>7</v>
      </c>
      <c r="L449" s="2">
        <f t="shared" si="39"/>
        <v>158.26999999999998</v>
      </c>
      <c r="M449" s="2">
        <v>226</v>
      </c>
      <c r="N449" s="2">
        <v>73.8</v>
      </c>
      <c r="O449" s="2">
        <f t="shared" si="40"/>
        <v>16678.8</v>
      </c>
      <c r="P449" s="2">
        <f t="shared" si="41"/>
        <v>17.007141430303033</v>
      </c>
      <c r="Q449" s="7">
        <f t="shared" si="33"/>
        <v>15.639543098718956</v>
      </c>
      <c r="R449" s="2" t="s">
        <v>166</v>
      </c>
      <c r="S449" s="2" t="s">
        <v>35</v>
      </c>
      <c r="T449" s="2" t="s">
        <v>28</v>
      </c>
    </row>
    <row r="450" spans="1:20" x14ac:dyDescent="0.3">
      <c r="A450" s="2" t="s">
        <v>161</v>
      </c>
      <c r="B450" s="2" t="s">
        <v>87</v>
      </c>
      <c r="C450" s="2">
        <v>99000000</v>
      </c>
      <c r="D450" s="2">
        <v>2023</v>
      </c>
      <c r="E450" s="2" t="s">
        <v>37</v>
      </c>
      <c r="F450" s="4">
        <v>6.9000000000000006E-2</v>
      </c>
      <c r="G450" s="2">
        <v>6</v>
      </c>
      <c r="H450" s="2">
        <f t="shared" si="38"/>
        <v>4312170.6540000001</v>
      </c>
      <c r="I450" s="2">
        <v>6737766</v>
      </c>
      <c r="J450" s="2">
        <v>0.128</v>
      </c>
      <c r="K450" s="2">
        <v>5</v>
      </c>
      <c r="L450" s="2">
        <f t="shared" si="39"/>
        <v>4312170.24</v>
      </c>
      <c r="M450" s="2">
        <v>0</v>
      </c>
      <c r="N450" s="2">
        <v>73.8</v>
      </c>
      <c r="O450" s="2">
        <f t="shared" si="40"/>
        <v>0</v>
      </c>
      <c r="P450" s="2">
        <f t="shared" si="41"/>
        <v>4355.7279333333336</v>
      </c>
      <c r="Q450" s="7">
        <f t="shared" ref="Q450:Q513" si="42">100*(1-EXP(-P450/100))</f>
        <v>100</v>
      </c>
      <c r="R450" s="2" t="s">
        <v>167</v>
      </c>
      <c r="S450" s="2" t="s">
        <v>155</v>
      </c>
      <c r="T450" s="2" t="s">
        <v>156</v>
      </c>
    </row>
    <row r="451" spans="1:20" x14ac:dyDescent="0.3">
      <c r="A451" s="2" t="s">
        <v>161</v>
      </c>
      <c r="B451" s="2" t="s">
        <v>87</v>
      </c>
      <c r="C451" s="2">
        <v>99000000</v>
      </c>
      <c r="D451" s="2">
        <v>2023</v>
      </c>
      <c r="E451" s="2" t="s">
        <v>41</v>
      </c>
      <c r="F451" s="4">
        <v>9.9999999999999995E-7</v>
      </c>
      <c r="G451" s="2">
        <v>6</v>
      </c>
      <c r="H451" s="2">
        <f t="shared" si="38"/>
        <v>3368.0400060000002</v>
      </c>
      <c r="I451" s="2">
        <v>98</v>
      </c>
      <c r="J451" s="2">
        <v>0.12</v>
      </c>
      <c r="K451" s="2">
        <v>4</v>
      </c>
      <c r="L451" s="2">
        <f t="shared" si="39"/>
        <v>47.04</v>
      </c>
      <c r="M451" s="2">
        <v>45</v>
      </c>
      <c r="N451" s="2">
        <v>73.8</v>
      </c>
      <c r="O451" s="2">
        <f t="shared" si="40"/>
        <v>3321</v>
      </c>
      <c r="P451" s="2">
        <f t="shared" si="41"/>
        <v>3.4020606121212125</v>
      </c>
      <c r="Q451" s="7">
        <f t="shared" si="42"/>
        <v>3.3448412446870468</v>
      </c>
      <c r="R451" s="2" t="s">
        <v>168</v>
      </c>
      <c r="S451" s="2" t="s">
        <v>158</v>
      </c>
      <c r="T451" s="2" t="s">
        <v>159</v>
      </c>
    </row>
    <row r="452" spans="1:20" x14ac:dyDescent="0.3">
      <c r="A452" s="2" t="s">
        <v>161</v>
      </c>
      <c r="B452" s="2" t="s">
        <v>87</v>
      </c>
      <c r="C452" s="2">
        <v>102069000</v>
      </c>
      <c r="D452" s="2">
        <v>2024</v>
      </c>
      <c r="E452" s="2" t="s">
        <v>22</v>
      </c>
      <c r="F452" s="4">
        <v>2.2100000000000001E-4</v>
      </c>
      <c r="G452" s="2">
        <v>9</v>
      </c>
      <c r="H452" s="2">
        <f t="shared" si="38"/>
        <v>422445.34598899999</v>
      </c>
      <c r="I452" s="2">
        <v>5146</v>
      </c>
      <c r="J452" s="2">
        <v>0.13300000000000001</v>
      </c>
      <c r="K452" s="2">
        <v>8</v>
      </c>
      <c r="L452" s="2">
        <f t="shared" si="39"/>
        <v>5475.3440000000001</v>
      </c>
      <c r="M452" s="2">
        <v>5650</v>
      </c>
      <c r="N452" s="2">
        <v>73.8</v>
      </c>
      <c r="O452" s="2">
        <f t="shared" si="40"/>
        <v>416970</v>
      </c>
      <c r="P452" s="2">
        <f t="shared" si="41"/>
        <v>413.88212482634299</v>
      </c>
      <c r="Q452" s="7">
        <f t="shared" si="42"/>
        <v>98.405836834023034</v>
      </c>
      <c r="R452" s="2" t="s">
        <v>170</v>
      </c>
      <c r="S452" s="2" t="s">
        <v>28</v>
      </c>
      <c r="T452" s="2" t="s">
        <v>163</v>
      </c>
    </row>
    <row r="453" spans="1:20" x14ac:dyDescent="0.3">
      <c r="A453" s="2" t="s">
        <v>161</v>
      </c>
      <c r="B453" s="2" t="s">
        <v>87</v>
      </c>
      <c r="C453" s="2">
        <v>102069000</v>
      </c>
      <c r="D453" s="2">
        <v>2024</v>
      </c>
      <c r="E453" s="2" t="s">
        <v>26</v>
      </c>
      <c r="F453" s="4">
        <v>3.0000000000000001E-6</v>
      </c>
      <c r="G453" s="2">
        <v>7</v>
      </c>
      <c r="H453" s="2">
        <f t="shared" si="38"/>
        <v>1468.464021</v>
      </c>
      <c r="I453" s="2">
        <v>268</v>
      </c>
      <c r="J453" s="2">
        <v>0.13300000000000001</v>
      </c>
      <c r="K453" s="2">
        <v>6</v>
      </c>
      <c r="L453" s="2">
        <f t="shared" si="39"/>
        <v>213.86400000000003</v>
      </c>
      <c r="M453" s="2">
        <v>17</v>
      </c>
      <c r="N453" s="2">
        <v>73.8</v>
      </c>
      <c r="O453" s="2">
        <f t="shared" si="40"/>
        <v>1254.5999999999999</v>
      </c>
      <c r="P453" s="2">
        <f t="shared" si="41"/>
        <v>1.4386973723657526</v>
      </c>
      <c r="Q453" s="7">
        <f t="shared" si="42"/>
        <v>1.428397575185969</v>
      </c>
      <c r="R453" s="2" t="s">
        <v>164</v>
      </c>
      <c r="S453" s="2" t="s">
        <v>28</v>
      </c>
      <c r="T453" s="2" t="s">
        <v>150</v>
      </c>
    </row>
    <row r="454" spans="1:20" x14ac:dyDescent="0.3">
      <c r="A454" s="2" t="s">
        <v>161</v>
      </c>
      <c r="B454" s="2" t="s">
        <v>87</v>
      </c>
      <c r="C454" s="2">
        <v>102069000</v>
      </c>
      <c r="D454" s="2">
        <v>2024</v>
      </c>
      <c r="E454" s="2" t="s">
        <v>151</v>
      </c>
      <c r="F454" s="4">
        <v>4.6999999999999997E-5</v>
      </c>
      <c r="G454" s="2">
        <v>7</v>
      </c>
      <c r="H454" s="2">
        <f t="shared" si="38"/>
        <v>115826.904329</v>
      </c>
      <c r="I454" s="2">
        <v>2448</v>
      </c>
      <c r="J454" s="2">
        <v>0.13300000000000001</v>
      </c>
      <c r="K454" s="2">
        <v>6</v>
      </c>
      <c r="L454" s="2">
        <f t="shared" si="39"/>
        <v>1953.5039999999999</v>
      </c>
      <c r="M454" s="2">
        <v>1543</v>
      </c>
      <c r="N454" s="2">
        <v>73.8</v>
      </c>
      <c r="O454" s="2">
        <f t="shared" si="40"/>
        <v>113873.4</v>
      </c>
      <c r="P454" s="2">
        <f t="shared" si="41"/>
        <v>113.47902333617454</v>
      </c>
      <c r="Q454" s="7">
        <f t="shared" si="42"/>
        <v>67.851044795564633</v>
      </c>
      <c r="R454" s="2" t="s">
        <v>165</v>
      </c>
      <c r="S454" s="2" t="s">
        <v>28</v>
      </c>
      <c r="T454" s="2" t="s">
        <v>32</v>
      </c>
    </row>
    <row r="455" spans="1:20" x14ac:dyDescent="0.3">
      <c r="A455" s="2" t="s">
        <v>161</v>
      </c>
      <c r="B455" s="2" t="s">
        <v>87</v>
      </c>
      <c r="C455" s="2">
        <v>102069000</v>
      </c>
      <c r="D455" s="2">
        <v>2024</v>
      </c>
      <c r="E455" s="2" t="s">
        <v>33</v>
      </c>
      <c r="F455" s="4">
        <v>1.9999999999999999E-6</v>
      </c>
      <c r="G455" s="2">
        <v>8</v>
      </c>
      <c r="H455" s="2">
        <f t="shared" si="38"/>
        <v>17792.746016000001</v>
      </c>
      <c r="I455" s="2">
        <v>166</v>
      </c>
      <c r="J455" s="2">
        <v>0.13300000000000001</v>
      </c>
      <c r="K455" s="2">
        <v>7</v>
      </c>
      <c r="L455" s="2">
        <f t="shared" si="39"/>
        <v>154.54600000000002</v>
      </c>
      <c r="M455" s="2">
        <v>239</v>
      </c>
      <c r="N455" s="2">
        <v>73.8</v>
      </c>
      <c r="O455" s="2">
        <f t="shared" si="40"/>
        <v>17638.2</v>
      </c>
      <c r="P455" s="2">
        <f t="shared" si="41"/>
        <v>17.432076356190422</v>
      </c>
      <c r="Q455" s="7">
        <f t="shared" si="42"/>
        <v>15.997259574337619</v>
      </c>
      <c r="R455" s="2" t="s">
        <v>166</v>
      </c>
      <c r="S455" s="2" t="s">
        <v>35</v>
      </c>
      <c r="T455" s="2" t="s">
        <v>28</v>
      </c>
    </row>
    <row r="456" spans="1:20" x14ac:dyDescent="0.3">
      <c r="A456" s="2" t="s">
        <v>161</v>
      </c>
      <c r="B456" s="2" t="s">
        <v>87</v>
      </c>
      <c r="C456" s="2">
        <v>102069000</v>
      </c>
      <c r="D456" s="2">
        <v>2024</v>
      </c>
      <c r="E456" s="2" t="s">
        <v>37</v>
      </c>
      <c r="F456" s="4">
        <v>7.1999999999999995E-2</v>
      </c>
      <c r="G456" s="2">
        <v>6</v>
      </c>
      <c r="H456" s="2">
        <f t="shared" si="38"/>
        <v>4591633.7120000003</v>
      </c>
      <c r="I456" s="2">
        <v>7174427</v>
      </c>
      <c r="J456" s="2">
        <v>0.128</v>
      </c>
      <c r="K456" s="2">
        <v>5</v>
      </c>
      <c r="L456" s="2">
        <f t="shared" si="39"/>
        <v>4591633.28</v>
      </c>
      <c r="M456" s="2">
        <v>0</v>
      </c>
      <c r="N456" s="2">
        <v>73.8</v>
      </c>
      <c r="O456" s="2">
        <f t="shared" si="40"/>
        <v>0</v>
      </c>
      <c r="P456" s="2">
        <f t="shared" si="41"/>
        <v>4498.5585358923872</v>
      </c>
      <c r="Q456" s="7">
        <f t="shared" si="42"/>
        <v>100</v>
      </c>
      <c r="R456" s="2" t="s">
        <v>167</v>
      </c>
      <c r="S456" s="2" t="s">
        <v>155</v>
      </c>
      <c r="T456" s="2" t="s">
        <v>156</v>
      </c>
    </row>
    <row r="457" spans="1:20" x14ac:dyDescent="0.3">
      <c r="A457" s="2" t="s">
        <v>161</v>
      </c>
      <c r="B457" s="2" t="s">
        <v>87</v>
      </c>
      <c r="C457" s="2">
        <v>102069000</v>
      </c>
      <c r="D457" s="2">
        <v>2024</v>
      </c>
      <c r="E457" s="2" t="s">
        <v>41</v>
      </c>
      <c r="F457" s="4">
        <v>9.9999999999999995E-7</v>
      </c>
      <c r="G457" s="2">
        <v>6</v>
      </c>
      <c r="H457" s="2">
        <f t="shared" si="38"/>
        <v>3359.4000060000003</v>
      </c>
      <c r="I457" s="2">
        <v>80</v>
      </c>
      <c r="J457" s="2">
        <v>0.12</v>
      </c>
      <c r="K457" s="2">
        <v>4</v>
      </c>
      <c r="L457" s="2">
        <f t="shared" si="39"/>
        <v>38.4</v>
      </c>
      <c r="M457" s="2">
        <v>45</v>
      </c>
      <c r="N457" s="2">
        <v>73.8</v>
      </c>
      <c r="O457" s="2">
        <f t="shared" si="40"/>
        <v>3321</v>
      </c>
      <c r="P457" s="2">
        <f t="shared" si="41"/>
        <v>3.291302948005761</v>
      </c>
      <c r="Q457" s="7">
        <f t="shared" si="42"/>
        <v>3.237728942010154</v>
      </c>
      <c r="R457" s="2" t="s">
        <v>168</v>
      </c>
      <c r="S457" s="2" t="s">
        <v>158</v>
      </c>
      <c r="T457" s="2" t="s">
        <v>159</v>
      </c>
    </row>
    <row r="458" spans="1:20" x14ac:dyDescent="0.3">
      <c r="A458" s="2" t="s">
        <v>161</v>
      </c>
      <c r="B458" s="2" t="s">
        <v>87</v>
      </c>
      <c r="C458" s="2">
        <v>105233139</v>
      </c>
      <c r="D458" s="2">
        <v>2025</v>
      </c>
      <c r="E458" s="2" t="s">
        <v>22</v>
      </c>
      <c r="F458" s="4">
        <v>2.24E-4</v>
      </c>
      <c r="G458" s="2">
        <v>9</v>
      </c>
      <c r="H458" s="2">
        <f t="shared" si="38"/>
        <v>440905.98601599998</v>
      </c>
      <c r="I458" s="2">
        <v>5156</v>
      </c>
      <c r="J458" s="2">
        <v>0.13300000000000001</v>
      </c>
      <c r="K458" s="2">
        <v>8</v>
      </c>
      <c r="L458" s="2">
        <f t="shared" si="39"/>
        <v>5485.9840000000004</v>
      </c>
      <c r="M458" s="2">
        <v>5900</v>
      </c>
      <c r="N458" s="2">
        <v>73.8</v>
      </c>
      <c r="O458" s="2">
        <f t="shared" si="40"/>
        <v>435420</v>
      </c>
      <c r="P458" s="2">
        <f t="shared" si="41"/>
        <v>418.98017127095295</v>
      </c>
      <c r="Q458" s="7">
        <f t="shared" si="42"/>
        <v>98.485071151338559</v>
      </c>
      <c r="R458" s="2" t="s">
        <v>171</v>
      </c>
      <c r="S458" s="2" t="s">
        <v>28</v>
      </c>
      <c r="T458" s="2" t="s">
        <v>163</v>
      </c>
    </row>
    <row r="459" spans="1:20" x14ac:dyDescent="0.3">
      <c r="A459" s="2" t="s">
        <v>161</v>
      </c>
      <c r="B459" s="2" t="s">
        <v>87</v>
      </c>
      <c r="C459" s="2">
        <v>105233139</v>
      </c>
      <c r="D459" s="2">
        <v>2025</v>
      </c>
      <c r="E459" s="2" t="s">
        <v>26</v>
      </c>
      <c r="F459" s="4">
        <v>3.0000000000000001E-6</v>
      </c>
      <c r="G459" s="2">
        <v>7</v>
      </c>
      <c r="H459" s="2">
        <f t="shared" si="38"/>
        <v>1300.530021</v>
      </c>
      <c r="I459" s="2">
        <v>335</v>
      </c>
      <c r="J459" s="2">
        <v>0.13300000000000001</v>
      </c>
      <c r="K459" s="2">
        <v>6</v>
      </c>
      <c r="L459" s="2">
        <f t="shared" si="39"/>
        <v>267.33</v>
      </c>
      <c r="M459" s="2">
        <v>14</v>
      </c>
      <c r="N459" s="2">
        <v>73.8</v>
      </c>
      <c r="O459" s="2">
        <f t="shared" si="40"/>
        <v>1033.2</v>
      </c>
      <c r="P459" s="2">
        <f t="shared" si="41"/>
        <v>1.2358559607349544</v>
      </c>
      <c r="Q459" s="7">
        <f t="shared" si="42"/>
        <v>1.2282506235341217</v>
      </c>
      <c r="R459" s="2" t="s">
        <v>164</v>
      </c>
      <c r="S459" s="2" t="s">
        <v>28</v>
      </c>
      <c r="T459" s="2" t="s">
        <v>150</v>
      </c>
    </row>
    <row r="460" spans="1:20" x14ac:dyDescent="0.3">
      <c r="A460" s="2" t="s">
        <v>161</v>
      </c>
      <c r="B460" s="2" t="s">
        <v>87</v>
      </c>
      <c r="C460" s="2">
        <v>105233139</v>
      </c>
      <c r="D460" s="2">
        <v>2025</v>
      </c>
      <c r="E460" s="2" t="s">
        <v>151</v>
      </c>
      <c r="F460" s="4">
        <v>4.6E-5</v>
      </c>
      <c r="G460" s="2">
        <v>7</v>
      </c>
      <c r="H460" s="2">
        <f t="shared" ref="H460:H491" si="43">L460+O460+G460*F460</f>
        <v>103137.64832200001</v>
      </c>
      <c r="I460" s="2">
        <v>2176</v>
      </c>
      <c r="J460" s="2">
        <v>0.13300000000000001</v>
      </c>
      <c r="K460" s="2">
        <v>6</v>
      </c>
      <c r="L460" s="2">
        <f t="shared" ref="L460:L491" si="44">I460*J460*K460</f>
        <v>1736.4480000000001</v>
      </c>
      <c r="M460" s="2">
        <v>1374</v>
      </c>
      <c r="N460" s="2">
        <v>73.8</v>
      </c>
      <c r="O460" s="2">
        <f t="shared" ref="O460:O491" si="45">M460*N460</f>
        <v>101401.2</v>
      </c>
      <c r="P460" s="2">
        <f t="shared" si="41"/>
        <v>98.008715982519547</v>
      </c>
      <c r="Q460" s="7">
        <f t="shared" si="42"/>
        <v>62.472161177282338</v>
      </c>
      <c r="R460" s="2" t="s">
        <v>165</v>
      </c>
      <c r="S460" s="2" t="s">
        <v>28</v>
      </c>
      <c r="T460" s="2" t="s">
        <v>32</v>
      </c>
    </row>
    <row r="461" spans="1:20" x14ac:dyDescent="0.3">
      <c r="A461" s="2" t="s">
        <v>161</v>
      </c>
      <c r="B461" s="2" t="s">
        <v>87</v>
      </c>
      <c r="C461" s="2">
        <v>105233139</v>
      </c>
      <c r="D461" s="2">
        <v>2025</v>
      </c>
      <c r="E461" s="2" t="s">
        <v>33</v>
      </c>
      <c r="F461" s="4">
        <v>1.9999999999999999E-6</v>
      </c>
      <c r="G461" s="2">
        <v>8</v>
      </c>
      <c r="H461" s="2">
        <f t="shared" si="43"/>
        <v>18120.531016000001</v>
      </c>
      <c r="I461" s="2">
        <v>201</v>
      </c>
      <c r="J461" s="2">
        <v>0.13300000000000001</v>
      </c>
      <c r="K461" s="2">
        <v>7</v>
      </c>
      <c r="L461" s="2">
        <f t="shared" si="44"/>
        <v>187.131</v>
      </c>
      <c r="M461" s="2">
        <v>243</v>
      </c>
      <c r="N461" s="2">
        <v>73.8</v>
      </c>
      <c r="O461" s="2">
        <f t="shared" si="45"/>
        <v>17933.399999999998</v>
      </c>
      <c r="P461" s="2">
        <f t="shared" si="41"/>
        <v>17.219415089385485</v>
      </c>
      <c r="Q461" s="7">
        <f t="shared" si="42"/>
        <v>15.81842819725836</v>
      </c>
      <c r="R461" s="2" t="s">
        <v>166</v>
      </c>
      <c r="S461" s="2" t="s">
        <v>35</v>
      </c>
      <c r="T461" s="2" t="s">
        <v>28</v>
      </c>
    </row>
    <row r="462" spans="1:20" x14ac:dyDescent="0.3">
      <c r="A462" s="2" t="s">
        <v>161</v>
      </c>
      <c r="B462" s="2" t="s">
        <v>87</v>
      </c>
      <c r="C462" s="2">
        <v>105233139</v>
      </c>
      <c r="D462" s="2">
        <v>2025</v>
      </c>
      <c r="E462" s="2" t="s">
        <v>37</v>
      </c>
      <c r="F462" s="4">
        <v>7.4999999999999997E-2</v>
      </c>
      <c r="G462" s="2">
        <v>6</v>
      </c>
      <c r="H462" s="2">
        <f t="shared" si="43"/>
        <v>4632705.7300000004</v>
      </c>
      <c r="I462" s="2">
        <v>7238602</v>
      </c>
      <c r="J462" s="2">
        <v>0.128</v>
      </c>
      <c r="K462" s="2">
        <v>5</v>
      </c>
      <c r="L462" s="2">
        <f t="shared" si="44"/>
        <v>4632705.28</v>
      </c>
      <c r="M462" s="2">
        <v>0</v>
      </c>
      <c r="N462" s="2">
        <v>73.8</v>
      </c>
      <c r="O462" s="2">
        <f t="shared" si="45"/>
        <v>0</v>
      </c>
      <c r="P462" s="2">
        <f t="shared" si="41"/>
        <v>4402.3258965980294</v>
      </c>
      <c r="Q462" s="7">
        <f t="shared" si="42"/>
        <v>100</v>
      </c>
      <c r="R462" s="2" t="s">
        <v>167</v>
      </c>
      <c r="S462" s="2" t="s">
        <v>155</v>
      </c>
      <c r="T462" s="2" t="s">
        <v>156</v>
      </c>
    </row>
    <row r="463" spans="1:20" x14ac:dyDescent="0.3">
      <c r="A463" s="2" t="s">
        <v>161</v>
      </c>
      <c r="B463" s="2" t="s">
        <v>87</v>
      </c>
      <c r="C463" s="2">
        <v>105233139</v>
      </c>
      <c r="D463" s="2">
        <v>2025</v>
      </c>
      <c r="E463" s="2" t="s">
        <v>41</v>
      </c>
      <c r="F463" s="4">
        <v>9.9999999999999995E-7</v>
      </c>
      <c r="G463" s="2">
        <v>6</v>
      </c>
      <c r="H463" s="2">
        <f t="shared" si="43"/>
        <v>3362.2800060000004</v>
      </c>
      <c r="I463" s="2">
        <v>86</v>
      </c>
      <c r="J463" s="2">
        <v>0.12</v>
      </c>
      <c r="K463" s="2">
        <v>4</v>
      </c>
      <c r="L463" s="2">
        <f t="shared" si="44"/>
        <v>41.28</v>
      </c>
      <c r="M463" s="2">
        <v>45</v>
      </c>
      <c r="N463" s="2">
        <v>73.8</v>
      </c>
      <c r="O463" s="2">
        <f t="shared" si="45"/>
        <v>3321</v>
      </c>
      <c r="P463" s="2">
        <f t="shared" si="41"/>
        <v>3.1950771762115737</v>
      </c>
      <c r="Q463" s="7">
        <f t="shared" si="42"/>
        <v>3.1445738874819273</v>
      </c>
      <c r="R463" s="2" t="s">
        <v>168</v>
      </c>
      <c r="S463" s="2" t="s">
        <v>158</v>
      </c>
      <c r="T463" s="2" t="s">
        <v>159</v>
      </c>
    </row>
    <row r="464" spans="1:20" x14ac:dyDescent="0.3">
      <c r="A464" s="2" t="s">
        <v>172</v>
      </c>
      <c r="B464" s="2" t="s">
        <v>87</v>
      </c>
      <c r="C464" s="2">
        <v>28368663</v>
      </c>
      <c r="D464" s="2">
        <v>2015</v>
      </c>
      <c r="E464" s="2" t="s">
        <v>22</v>
      </c>
      <c r="F464" s="4" t="s">
        <v>29</v>
      </c>
      <c r="G464" s="2">
        <v>9</v>
      </c>
      <c r="H464" s="2" t="s">
        <v>29</v>
      </c>
      <c r="I464" s="2" t="s">
        <v>29</v>
      </c>
      <c r="J464" s="2">
        <v>0.13300000000000001</v>
      </c>
      <c r="K464" s="2">
        <v>8</v>
      </c>
      <c r="L464" s="2" t="s">
        <v>29</v>
      </c>
      <c r="M464" s="2" t="s">
        <v>29</v>
      </c>
      <c r="N464" s="2">
        <v>73.8</v>
      </c>
      <c r="O464" s="2" t="s">
        <v>29</v>
      </c>
      <c r="P464" s="2" t="s">
        <v>29</v>
      </c>
      <c r="Q464" s="7" t="e">
        <f t="shared" si="42"/>
        <v>#VALUE!</v>
      </c>
      <c r="R464" s="2" t="s">
        <v>120</v>
      </c>
      <c r="S464" s="2" t="s">
        <v>28</v>
      </c>
      <c r="T464" s="2" t="s">
        <v>29</v>
      </c>
    </row>
    <row r="465" spans="1:20" x14ac:dyDescent="0.3">
      <c r="A465" s="2" t="s">
        <v>172</v>
      </c>
      <c r="B465" s="2" t="s">
        <v>87</v>
      </c>
      <c r="C465" s="2">
        <v>28368663</v>
      </c>
      <c r="D465" s="2">
        <v>2015</v>
      </c>
      <c r="E465" s="2" t="s">
        <v>26</v>
      </c>
      <c r="F465" s="4">
        <v>1.9999999999999999E-6</v>
      </c>
      <c r="G465" s="2">
        <v>7</v>
      </c>
      <c r="H465" s="2">
        <f>L465+O465+G465*F465</f>
        <v>53.466014000000008</v>
      </c>
      <c r="I465" s="2">
        <v>67</v>
      </c>
      <c r="J465" s="2">
        <v>0.13300000000000001</v>
      </c>
      <c r="K465" s="2">
        <v>6</v>
      </c>
      <c r="L465" s="2">
        <f>I465*J465*K465</f>
        <v>53.466000000000008</v>
      </c>
      <c r="M465" s="2">
        <v>0</v>
      </c>
      <c r="N465" s="2">
        <v>73.8</v>
      </c>
      <c r="O465" s="2">
        <f>M465*N465</f>
        <v>0</v>
      </c>
      <c r="P465" s="2">
        <f>H465/C465*100000</f>
        <v>0.18846857181813612</v>
      </c>
      <c r="Q465" s="7">
        <f t="shared" si="42"/>
        <v>0.18829108132742967</v>
      </c>
      <c r="R465" s="2" t="s">
        <v>173</v>
      </c>
      <c r="S465" s="2" t="s">
        <v>28</v>
      </c>
      <c r="T465" s="2" t="s">
        <v>150</v>
      </c>
    </row>
    <row r="466" spans="1:20" x14ac:dyDescent="0.3">
      <c r="A466" s="2" t="s">
        <v>172</v>
      </c>
      <c r="B466" s="2" t="s">
        <v>87</v>
      </c>
      <c r="C466" s="2">
        <v>28368663</v>
      </c>
      <c r="D466" s="2">
        <v>2015</v>
      </c>
      <c r="E466" s="2" t="s">
        <v>151</v>
      </c>
      <c r="F466" s="4">
        <v>1.9999999999999999E-6</v>
      </c>
      <c r="G466" s="2">
        <v>7</v>
      </c>
      <c r="H466" s="2">
        <f>L466+O466+G466*F466</f>
        <v>2624.4960140000003</v>
      </c>
      <c r="I466" s="2">
        <v>52</v>
      </c>
      <c r="J466" s="2">
        <v>0.13300000000000001</v>
      </c>
      <c r="K466" s="2">
        <v>6</v>
      </c>
      <c r="L466" s="2">
        <f>I466*J466*K466</f>
        <v>41.496000000000002</v>
      </c>
      <c r="M466" s="2">
        <v>35</v>
      </c>
      <c r="N466" s="2">
        <v>73.8</v>
      </c>
      <c r="O466" s="2">
        <f>M466*N466</f>
        <v>2583</v>
      </c>
      <c r="P466" s="2">
        <f>H466/C466*100000</f>
        <v>9.2513912763530666</v>
      </c>
      <c r="Q466" s="7">
        <f t="shared" si="42"/>
        <v>8.8363472507202001</v>
      </c>
      <c r="R466" s="2" t="s">
        <v>174</v>
      </c>
      <c r="S466" s="2" t="s">
        <v>28</v>
      </c>
      <c r="T466" s="2" t="s">
        <v>32</v>
      </c>
    </row>
    <row r="467" spans="1:20" x14ac:dyDescent="0.3">
      <c r="A467" s="2" t="s">
        <v>172</v>
      </c>
      <c r="B467" s="2" t="s">
        <v>87</v>
      </c>
      <c r="C467" s="2">
        <v>28368663</v>
      </c>
      <c r="D467" s="2">
        <v>2015</v>
      </c>
      <c r="E467" s="2" t="s">
        <v>33</v>
      </c>
      <c r="F467" s="4" t="s">
        <v>29</v>
      </c>
      <c r="G467" s="2">
        <v>8</v>
      </c>
      <c r="H467" s="2" t="s">
        <v>29</v>
      </c>
      <c r="I467" s="2" t="s">
        <v>29</v>
      </c>
      <c r="J467" s="2">
        <v>0.13300000000000001</v>
      </c>
      <c r="K467" s="2">
        <v>7</v>
      </c>
      <c r="L467" s="2" t="s">
        <v>29</v>
      </c>
      <c r="M467" s="2" t="s">
        <v>29</v>
      </c>
      <c r="N467" s="2">
        <v>73.8</v>
      </c>
      <c r="O467" s="2" t="s">
        <v>29</v>
      </c>
      <c r="P467" s="2" t="s">
        <v>29</v>
      </c>
      <c r="Q467" s="7" t="e">
        <f t="shared" si="42"/>
        <v>#VALUE!</v>
      </c>
      <c r="R467" s="2" t="s">
        <v>175</v>
      </c>
      <c r="S467" s="2" t="s">
        <v>35</v>
      </c>
      <c r="T467" s="2" t="s">
        <v>29</v>
      </c>
    </row>
    <row r="468" spans="1:20" x14ac:dyDescent="0.3">
      <c r="A468" s="2" t="s">
        <v>172</v>
      </c>
      <c r="B468" s="2" t="s">
        <v>87</v>
      </c>
      <c r="C468" s="2">
        <v>28368663</v>
      </c>
      <c r="D468" s="2">
        <v>2015</v>
      </c>
      <c r="E468" s="2" t="s">
        <v>37</v>
      </c>
      <c r="F468" s="4">
        <v>9.0000000000000006E-5</v>
      </c>
      <c r="G468" s="2">
        <v>6</v>
      </c>
      <c r="H468" s="2">
        <f>L468+O468+G468*F468</f>
        <v>1429.76054</v>
      </c>
      <c r="I468" s="2">
        <v>2234</v>
      </c>
      <c r="J468" s="2">
        <v>0.128</v>
      </c>
      <c r="K468" s="2">
        <v>5</v>
      </c>
      <c r="L468" s="2">
        <f>I468*J468*K468</f>
        <v>1429.76</v>
      </c>
      <c r="M468" s="2">
        <v>0</v>
      </c>
      <c r="N468" s="2">
        <v>73.8</v>
      </c>
      <c r="O468" s="2">
        <f>M468*N468</f>
        <v>0</v>
      </c>
      <c r="P468" s="2">
        <f>H468/C468*100000</f>
        <v>5.0399292345924094</v>
      </c>
      <c r="Q468" s="7">
        <f t="shared" si="42"/>
        <v>4.9150318308463063</v>
      </c>
      <c r="R468" s="2" t="s">
        <v>176</v>
      </c>
      <c r="S468" s="2" t="s">
        <v>155</v>
      </c>
      <c r="T468" s="2" t="s">
        <v>156</v>
      </c>
    </row>
    <row r="469" spans="1:20" x14ac:dyDescent="0.3">
      <c r="A469" s="2" t="s">
        <v>172</v>
      </c>
      <c r="B469" s="2" t="s">
        <v>87</v>
      </c>
      <c r="C469" s="2">
        <v>28368663</v>
      </c>
      <c r="D469" s="2">
        <v>2015</v>
      </c>
      <c r="E469" s="2" t="s">
        <v>41</v>
      </c>
      <c r="F469" s="4">
        <v>9.9999999999999995E-7</v>
      </c>
      <c r="G469" s="2">
        <v>6</v>
      </c>
      <c r="H469" s="2">
        <f>L469+O469+G469*F469</f>
        <v>601.92000599999994</v>
      </c>
      <c r="I469" s="2">
        <v>24</v>
      </c>
      <c r="J469" s="2">
        <v>0.12</v>
      </c>
      <c r="K469" s="2">
        <v>4</v>
      </c>
      <c r="L469" s="2">
        <f>I469*J469*K469</f>
        <v>11.52</v>
      </c>
      <c r="M469" s="2">
        <v>8</v>
      </c>
      <c r="N469" s="2">
        <v>73.8</v>
      </c>
      <c r="O469" s="2">
        <f>M469*N469</f>
        <v>590.4</v>
      </c>
      <c r="P469" s="2">
        <f>H469/C469*100000</f>
        <v>2.1217778433900816</v>
      </c>
      <c r="Q469" s="7">
        <f t="shared" si="42"/>
        <v>2.0994264983848487</v>
      </c>
      <c r="R469" s="2" t="s">
        <v>177</v>
      </c>
      <c r="S469" s="2" t="s">
        <v>158</v>
      </c>
      <c r="T469" s="2" t="s">
        <v>159</v>
      </c>
    </row>
    <row r="470" spans="1:20" x14ac:dyDescent="0.3">
      <c r="A470" s="2" t="s">
        <v>172</v>
      </c>
      <c r="B470" s="2" t="s">
        <v>87</v>
      </c>
      <c r="C470" s="2">
        <v>28964405</v>
      </c>
      <c r="D470" s="2">
        <v>2016</v>
      </c>
      <c r="E470" s="2" t="s">
        <v>22</v>
      </c>
      <c r="F470" s="4" t="s">
        <v>29</v>
      </c>
      <c r="G470" s="2">
        <v>9</v>
      </c>
      <c r="H470" s="2" t="s">
        <v>29</v>
      </c>
      <c r="I470" s="2" t="s">
        <v>29</v>
      </c>
      <c r="J470" s="2">
        <v>0.13300000000000001</v>
      </c>
      <c r="K470" s="2">
        <v>8</v>
      </c>
      <c r="L470" s="2" t="s">
        <v>29</v>
      </c>
      <c r="M470" s="2" t="s">
        <v>29</v>
      </c>
      <c r="N470" s="2">
        <v>73.8</v>
      </c>
      <c r="O470" s="2" t="s">
        <v>29</v>
      </c>
      <c r="P470" s="2" t="s">
        <v>29</v>
      </c>
      <c r="Q470" s="7" t="e">
        <f t="shared" si="42"/>
        <v>#VALUE!</v>
      </c>
      <c r="R470" s="2" t="s">
        <v>120</v>
      </c>
      <c r="S470" s="2" t="s">
        <v>28</v>
      </c>
      <c r="T470" s="2" t="s">
        <v>29</v>
      </c>
    </row>
    <row r="471" spans="1:20" x14ac:dyDescent="0.3">
      <c r="A471" s="2" t="s">
        <v>172</v>
      </c>
      <c r="B471" s="2" t="s">
        <v>87</v>
      </c>
      <c r="C471" s="2">
        <v>28964405</v>
      </c>
      <c r="D471" s="2">
        <v>2016</v>
      </c>
      <c r="E471" s="2" t="s">
        <v>26</v>
      </c>
      <c r="F471" s="4">
        <v>1.9999999999999999E-6</v>
      </c>
      <c r="G471" s="2">
        <v>7</v>
      </c>
      <c r="H471" s="2">
        <f>L471+O471+G471*F471</f>
        <v>51.870013999999998</v>
      </c>
      <c r="I471" s="2">
        <v>65</v>
      </c>
      <c r="J471" s="2">
        <v>0.13300000000000001</v>
      </c>
      <c r="K471" s="2">
        <v>6</v>
      </c>
      <c r="L471" s="2">
        <f>I471*J471*K471</f>
        <v>51.87</v>
      </c>
      <c r="M471" s="2">
        <v>0</v>
      </c>
      <c r="N471" s="2">
        <v>73.8</v>
      </c>
      <c r="O471" s="2">
        <f>M471*N471</f>
        <v>0</v>
      </c>
      <c r="P471" s="2">
        <f>H471/C471*100000</f>
        <v>0.17908192486605543</v>
      </c>
      <c r="Q471" s="7">
        <f t="shared" si="42"/>
        <v>0.17892166886444016</v>
      </c>
      <c r="R471" s="2" t="s">
        <v>173</v>
      </c>
      <c r="S471" s="2" t="s">
        <v>28</v>
      </c>
      <c r="T471" s="2" t="s">
        <v>150</v>
      </c>
    </row>
    <row r="472" spans="1:20" x14ac:dyDescent="0.3">
      <c r="A472" s="2" t="s">
        <v>172</v>
      </c>
      <c r="B472" s="2" t="s">
        <v>87</v>
      </c>
      <c r="C472" s="2">
        <v>28964405</v>
      </c>
      <c r="D472" s="2">
        <v>2016</v>
      </c>
      <c r="E472" s="2" t="s">
        <v>151</v>
      </c>
      <c r="F472" s="4">
        <v>3.0000000000000001E-6</v>
      </c>
      <c r="G472" s="2">
        <v>7</v>
      </c>
      <c r="H472" s="2">
        <f>L472+O472+G472*F472</f>
        <v>2917.3020209999995</v>
      </c>
      <c r="I472" s="2">
        <v>49</v>
      </c>
      <c r="J472" s="2">
        <v>0.13300000000000001</v>
      </c>
      <c r="K472" s="2">
        <v>6</v>
      </c>
      <c r="L472" s="2">
        <f>I472*J472*K472</f>
        <v>39.102000000000004</v>
      </c>
      <c r="M472" s="2">
        <v>39</v>
      </c>
      <c r="N472" s="2">
        <v>73.8</v>
      </c>
      <c r="O472" s="2">
        <f>M472*N472</f>
        <v>2878.2</v>
      </c>
      <c r="P472" s="2">
        <f>H472/C472*100000</f>
        <v>10.072024683400192</v>
      </c>
      <c r="Q472" s="7">
        <f t="shared" si="42"/>
        <v>9.5814053611308676</v>
      </c>
      <c r="R472" s="2" t="s">
        <v>174</v>
      </c>
      <c r="S472" s="2" t="s">
        <v>28</v>
      </c>
      <c r="T472" s="2" t="s">
        <v>32</v>
      </c>
    </row>
    <row r="473" spans="1:20" x14ac:dyDescent="0.3">
      <c r="A473" s="2" t="s">
        <v>172</v>
      </c>
      <c r="B473" s="2" t="s">
        <v>87</v>
      </c>
      <c r="C473" s="2">
        <v>28964405</v>
      </c>
      <c r="D473" s="2">
        <v>2016</v>
      </c>
      <c r="E473" s="2" t="s">
        <v>33</v>
      </c>
      <c r="F473" s="4" t="s">
        <v>29</v>
      </c>
      <c r="G473" s="2">
        <v>8</v>
      </c>
      <c r="H473" s="2" t="s">
        <v>29</v>
      </c>
      <c r="I473" s="2" t="s">
        <v>29</v>
      </c>
      <c r="J473" s="2">
        <v>0.13300000000000001</v>
      </c>
      <c r="K473" s="2">
        <v>7</v>
      </c>
      <c r="L473" s="2" t="s">
        <v>29</v>
      </c>
      <c r="M473" s="2" t="s">
        <v>29</v>
      </c>
      <c r="N473" s="2">
        <v>73.8</v>
      </c>
      <c r="O473" s="2" t="s">
        <v>29</v>
      </c>
      <c r="P473" s="2" t="s">
        <v>29</v>
      </c>
      <c r="Q473" s="7" t="e">
        <f t="shared" si="42"/>
        <v>#VALUE!</v>
      </c>
      <c r="R473" s="2" t="s">
        <v>175</v>
      </c>
      <c r="S473" s="2" t="s">
        <v>35</v>
      </c>
      <c r="T473" s="2" t="s">
        <v>29</v>
      </c>
    </row>
    <row r="474" spans="1:20" x14ac:dyDescent="0.3">
      <c r="A474" s="2" t="s">
        <v>172</v>
      </c>
      <c r="B474" s="2" t="s">
        <v>87</v>
      </c>
      <c r="C474" s="2">
        <v>28964405</v>
      </c>
      <c r="D474" s="2">
        <v>2016</v>
      </c>
      <c r="E474" s="2" t="s">
        <v>37</v>
      </c>
      <c r="F474" s="4">
        <v>8.7999999999999998E-5</v>
      </c>
      <c r="G474" s="2">
        <v>6</v>
      </c>
      <c r="H474" s="2">
        <f>L474+O474+G474*F474</f>
        <v>1479.040528</v>
      </c>
      <c r="I474" s="2">
        <v>2311</v>
      </c>
      <c r="J474" s="2">
        <v>0.128</v>
      </c>
      <c r="K474" s="2">
        <v>5</v>
      </c>
      <c r="L474" s="2">
        <f>I474*J474*K474</f>
        <v>1479.04</v>
      </c>
      <c r="M474" s="2">
        <v>0</v>
      </c>
      <c r="N474" s="2">
        <v>73.8</v>
      </c>
      <c r="O474" s="2">
        <f>M474*N474</f>
        <v>0</v>
      </c>
      <c r="P474" s="2">
        <f>H474/C474*100000</f>
        <v>5.106407426632793</v>
      </c>
      <c r="Q474" s="7">
        <f t="shared" si="42"/>
        <v>4.9782215925546103</v>
      </c>
      <c r="R474" s="2" t="s">
        <v>176</v>
      </c>
      <c r="S474" s="2" t="s">
        <v>155</v>
      </c>
      <c r="T474" s="2" t="s">
        <v>156</v>
      </c>
    </row>
    <row r="475" spans="1:20" x14ac:dyDescent="0.3">
      <c r="A475" s="2" t="s">
        <v>172</v>
      </c>
      <c r="B475" s="2" t="s">
        <v>87</v>
      </c>
      <c r="C475" s="2">
        <v>28964405</v>
      </c>
      <c r="D475" s="2">
        <v>2016</v>
      </c>
      <c r="E475" s="2" t="s">
        <v>41</v>
      </c>
      <c r="F475" s="4">
        <v>9.9999999999999995E-7</v>
      </c>
      <c r="G475" s="2">
        <v>6</v>
      </c>
      <c r="H475" s="2">
        <f>L475+O475+G475*F475</f>
        <v>602.40000599999996</v>
      </c>
      <c r="I475" s="2">
        <v>25</v>
      </c>
      <c r="J475" s="2">
        <v>0.12</v>
      </c>
      <c r="K475" s="2">
        <v>4</v>
      </c>
      <c r="L475" s="2">
        <f>I475*J475*K475</f>
        <v>12</v>
      </c>
      <c r="M475" s="2">
        <v>8</v>
      </c>
      <c r="N475" s="2">
        <v>73.8</v>
      </c>
      <c r="O475" s="2">
        <f>M475*N475</f>
        <v>590.4</v>
      </c>
      <c r="P475" s="2">
        <f>H475/C475*100000</f>
        <v>2.0797941680486791</v>
      </c>
      <c r="Q475" s="7">
        <f t="shared" si="42"/>
        <v>2.0583156101214861</v>
      </c>
      <c r="R475" s="2" t="s">
        <v>177</v>
      </c>
      <c r="S475" s="2" t="s">
        <v>158</v>
      </c>
      <c r="T475" s="2" t="s">
        <v>159</v>
      </c>
    </row>
    <row r="476" spans="1:20" x14ac:dyDescent="0.3">
      <c r="A476" s="2" t="s">
        <v>172</v>
      </c>
      <c r="B476" s="2" t="s">
        <v>87</v>
      </c>
      <c r="C476" s="2">
        <v>29572658</v>
      </c>
      <c r="D476" s="2">
        <v>2017</v>
      </c>
      <c r="E476" s="2" t="s">
        <v>22</v>
      </c>
      <c r="F476" s="4" t="s">
        <v>29</v>
      </c>
      <c r="G476" s="2">
        <v>9</v>
      </c>
      <c r="H476" s="2" t="s">
        <v>29</v>
      </c>
      <c r="I476" s="2" t="s">
        <v>29</v>
      </c>
      <c r="J476" s="2">
        <v>0.13300000000000001</v>
      </c>
      <c r="K476" s="2">
        <v>8</v>
      </c>
      <c r="L476" s="2" t="s">
        <v>29</v>
      </c>
      <c r="M476" s="2" t="s">
        <v>29</v>
      </c>
      <c r="N476" s="2">
        <v>73.8</v>
      </c>
      <c r="O476" s="2" t="s">
        <v>29</v>
      </c>
      <c r="P476" s="2" t="s">
        <v>29</v>
      </c>
      <c r="Q476" s="7" t="e">
        <f t="shared" si="42"/>
        <v>#VALUE!</v>
      </c>
      <c r="R476" s="2" t="s">
        <v>120</v>
      </c>
      <c r="S476" s="2" t="s">
        <v>28</v>
      </c>
      <c r="T476" s="2" t="s">
        <v>29</v>
      </c>
    </row>
    <row r="477" spans="1:20" x14ac:dyDescent="0.3">
      <c r="A477" s="2" t="s">
        <v>172</v>
      </c>
      <c r="B477" s="2" t="s">
        <v>87</v>
      </c>
      <c r="C477" s="2">
        <v>29572658</v>
      </c>
      <c r="D477" s="2">
        <v>2017</v>
      </c>
      <c r="E477" s="2" t="s">
        <v>26</v>
      </c>
      <c r="F477" s="4">
        <v>1.9999999999999999E-6</v>
      </c>
      <c r="G477" s="2">
        <v>7</v>
      </c>
      <c r="H477" s="2">
        <f>L477+O477+G477*F477</f>
        <v>44.688014000000003</v>
      </c>
      <c r="I477" s="2">
        <v>56</v>
      </c>
      <c r="J477" s="2">
        <v>0.13300000000000001</v>
      </c>
      <c r="K477" s="2">
        <v>6</v>
      </c>
      <c r="L477" s="2">
        <f>I477*J477*K477</f>
        <v>44.688000000000002</v>
      </c>
      <c r="M477" s="2">
        <v>0</v>
      </c>
      <c r="N477" s="2">
        <v>73.8</v>
      </c>
      <c r="O477" s="2">
        <f>M477*N477</f>
        <v>0</v>
      </c>
      <c r="P477" s="2">
        <f>H477/C477*100000</f>
        <v>0.15111260543438471</v>
      </c>
      <c r="Q477" s="7">
        <f t="shared" si="42"/>
        <v>0.15099848782604841</v>
      </c>
      <c r="R477" s="2" t="s">
        <v>173</v>
      </c>
      <c r="S477" s="2" t="s">
        <v>28</v>
      </c>
      <c r="T477" s="2" t="s">
        <v>150</v>
      </c>
    </row>
    <row r="478" spans="1:20" x14ac:dyDescent="0.3">
      <c r="A478" s="2" t="s">
        <v>172</v>
      </c>
      <c r="B478" s="2" t="s">
        <v>87</v>
      </c>
      <c r="C478" s="2">
        <v>29572658</v>
      </c>
      <c r="D478" s="2">
        <v>2017</v>
      </c>
      <c r="E478" s="2" t="s">
        <v>151</v>
      </c>
      <c r="F478" s="4">
        <v>3.0000000000000001E-6</v>
      </c>
      <c r="G478" s="2">
        <v>7</v>
      </c>
      <c r="H478" s="2">
        <f>L478+O478+G478*F478</f>
        <v>2844.300021</v>
      </c>
      <c r="I478" s="2">
        <v>50</v>
      </c>
      <c r="J478" s="2">
        <v>0.13300000000000001</v>
      </c>
      <c r="K478" s="2">
        <v>6</v>
      </c>
      <c r="L478" s="2">
        <f>I478*J478*K478</f>
        <v>39.900000000000006</v>
      </c>
      <c r="M478" s="2">
        <v>38</v>
      </c>
      <c r="N478" s="2">
        <v>73.8</v>
      </c>
      <c r="O478" s="2">
        <f>M478*N478</f>
        <v>2804.4</v>
      </c>
      <c r="P478" s="2">
        <f>H478/C478*100000</f>
        <v>9.6180060006780579</v>
      </c>
      <c r="Q478" s="7">
        <f t="shared" si="42"/>
        <v>9.1699547242139694</v>
      </c>
      <c r="R478" s="2" t="s">
        <v>174</v>
      </c>
      <c r="S478" s="2" t="s">
        <v>28</v>
      </c>
      <c r="T478" s="2" t="s">
        <v>32</v>
      </c>
    </row>
    <row r="479" spans="1:20" x14ac:dyDescent="0.3">
      <c r="A479" s="2" t="s">
        <v>172</v>
      </c>
      <c r="B479" s="2" t="s">
        <v>87</v>
      </c>
      <c r="C479" s="2">
        <v>29572658</v>
      </c>
      <c r="D479" s="2">
        <v>2017</v>
      </c>
      <c r="E479" s="2" t="s">
        <v>33</v>
      </c>
      <c r="F479" s="4" t="s">
        <v>29</v>
      </c>
      <c r="G479" s="2">
        <v>8</v>
      </c>
      <c r="H479" s="2" t="s">
        <v>29</v>
      </c>
      <c r="I479" s="2" t="s">
        <v>29</v>
      </c>
      <c r="J479" s="2">
        <v>0.13300000000000001</v>
      </c>
      <c r="K479" s="2">
        <v>7</v>
      </c>
      <c r="L479" s="2" t="s">
        <v>29</v>
      </c>
      <c r="M479" s="2" t="s">
        <v>29</v>
      </c>
      <c r="N479" s="2">
        <v>73.8</v>
      </c>
      <c r="O479" s="2" t="s">
        <v>29</v>
      </c>
      <c r="P479" s="2" t="s">
        <v>29</v>
      </c>
      <c r="Q479" s="7" t="e">
        <f t="shared" si="42"/>
        <v>#VALUE!</v>
      </c>
      <c r="R479" s="2" t="s">
        <v>175</v>
      </c>
      <c r="S479" s="2" t="s">
        <v>35</v>
      </c>
      <c r="T479" s="2" t="s">
        <v>29</v>
      </c>
    </row>
    <row r="480" spans="1:20" x14ac:dyDescent="0.3">
      <c r="A480" s="2" t="s">
        <v>172</v>
      </c>
      <c r="B480" s="2" t="s">
        <v>87</v>
      </c>
      <c r="C480" s="2">
        <v>29572658</v>
      </c>
      <c r="D480" s="2">
        <v>2017</v>
      </c>
      <c r="E480" s="2" t="s">
        <v>37</v>
      </c>
      <c r="F480" s="4">
        <v>8.7000000000000001E-5</v>
      </c>
      <c r="G480" s="2">
        <v>6</v>
      </c>
      <c r="H480" s="2">
        <f>L480+O480+G480*F480</f>
        <v>1636.4805220000001</v>
      </c>
      <c r="I480" s="2">
        <v>2557</v>
      </c>
      <c r="J480" s="2">
        <v>0.128</v>
      </c>
      <c r="K480" s="2">
        <v>5</v>
      </c>
      <c r="L480" s="2">
        <f>I480*J480*K480</f>
        <v>1636.48</v>
      </c>
      <c r="M480" s="2">
        <v>0</v>
      </c>
      <c r="N480" s="2">
        <v>73.8</v>
      </c>
      <c r="O480" s="2">
        <f>M480*N480</f>
        <v>0</v>
      </c>
      <c r="P480" s="2">
        <f>H480/C480*100000</f>
        <v>5.5337620378932462</v>
      </c>
      <c r="Q480" s="7">
        <f t="shared" si="42"/>
        <v>5.3834350783144913</v>
      </c>
      <c r="R480" s="2" t="s">
        <v>176</v>
      </c>
      <c r="S480" s="2" t="s">
        <v>155</v>
      </c>
      <c r="T480" s="2" t="s">
        <v>156</v>
      </c>
    </row>
    <row r="481" spans="1:20" x14ac:dyDescent="0.3">
      <c r="A481" s="2" t="s">
        <v>172</v>
      </c>
      <c r="B481" s="2" t="s">
        <v>87</v>
      </c>
      <c r="C481" s="2">
        <v>29572658</v>
      </c>
      <c r="D481" s="2">
        <v>2017</v>
      </c>
      <c r="E481" s="2" t="s">
        <v>41</v>
      </c>
      <c r="F481" s="4">
        <v>9.9999999999999995E-7</v>
      </c>
      <c r="G481" s="2">
        <v>6</v>
      </c>
      <c r="H481" s="2">
        <f>L481+O481+G481*F481</f>
        <v>601.92000599999994</v>
      </c>
      <c r="I481" s="2">
        <v>24</v>
      </c>
      <c r="J481" s="2">
        <v>0.12</v>
      </c>
      <c r="K481" s="2">
        <v>4</v>
      </c>
      <c r="L481" s="2">
        <f>I481*J481*K481</f>
        <v>11.52</v>
      </c>
      <c r="M481" s="2">
        <v>8</v>
      </c>
      <c r="N481" s="2">
        <v>73.8</v>
      </c>
      <c r="O481" s="2">
        <f>M481*N481</f>
        <v>590.4</v>
      </c>
      <c r="P481" s="2">
        <f>H481/C481*100000</f>
        <v>2.0353936599138298</v>
      </c>
      <c r="Q481" s="7">
        <f t="shared" si="42"/>
        <v>2.0148193490106547</v>
      </c>
      <c r="R481" s="2" t="s">
        <v>177</v>
      </c>
      <c r="S481" s="2" t="s">
        <v>158</v>
      </c>
      <c r="T481" s="2" t="s">
        <v>159</v>
      </c>
    </row>
    <row r="482" spans="1:20" x14ac:dyDescent="0.3">
      <c r="A482" s="2" t="s">
        <v>172</v>
      </c>
      <c r="B482" s="2" t="s">
        <v>87</v>
      </c>
      <c r="C482" s="2">
        <v>30193683</v>
      </c>
      <c r="D482" s="2">
        <v>2018</v>
      </c>
      <c r="E482" s="2" t="s">
        <v>22</v>
      </c>
      <c r="F482" s="4" t="s">
        <v>29</v>
      </c>
      <c r="G482" s="2">
        <v>9</v>
      </c>
      <c r="H482" s="2" t="s">
        <v>29</v>
      </c>
      <c r="I482" s="2" t="s">
        <v>29</v>
      </c>
      <c r="J482" s="2">
        <v>0.13300000000000001</v>
      </c>
      <c r="K482" s="2">
        <v>8</v>
      </c>
      <c r="L482" s="2" t="s">
        <v>29</v>
      </c>
      <c r="M482" s="2" t="s">
        <v>29</v>
      </c>
      <c r="N482" s="2">
        <v>73.8</v>
      </c>
      <c r="O482" s="2" t="s">
        <v>29</v>
      </c>
      <c r="P482" s="2" t="s">
        <v>29</v>
      </c>
      <c r="Q482" s="7" t="e">
        <f t="shared" si="42"/>
        <v>#VALUE!</v>
      </c>
      <c r="R482" s="2" t="s">
        <v>120</v>
      </c>
      <c r="S482" s="2" t="s">
        <v>28</v>
      </c>
      <c r="T482" s="2" t="s">
        <v>29</v>
      </c>
    </row>
    <row r="483" spans="1:20" x14ac:dyDescent="0.3">
      <c r="A483" s="2" t="s">
        <v>172</v>
      </c>
      <c r="B483" s="2" t="s">
        <v>87</v>
      </c>
      <c r="C483" s="2">
        <v>30193683</v>
      </c>
      <c r="D483" s="2">
        <v>2018</v>
      </c>
      <c r="E483" s="2" t="s">
        <v>26</v>
      </c>
      <c r="F483" s="4">
        <v>1.9999999999999999E-6</v>
      </c>
      <c r="G483" s="2">
        <v>7</v>
      </c>
      <c r="H483" s="2">
        <f>L483+O483+G483*F483</f>
        <v>48.678013999999997</v>
      </c>
      <c r="I483" s="2">
        <v>61</v>
      </c>
      <c r="J483" s="2">
        <v>0.13300000000000001</v>
      </c>
      <c r="K483" s="2">
        <v>6</v>
      </c>
      <c r="L483" s="2">
        <f>I483*J483*K483</f>
        <v>48.677999999999997</v>
      </c>
      <c r="M483" s="2">
        <v>0</v>
      </c>
      <c r="N483" s="2">
        <v>73.8</v>
      </c>
      <c r="O483" s="2">
        <f>M483*N483</f>
        <v>0</v>
      </c>
      <c r="P483" s="2">
        <f>H483/C483*100000</f>
        <v>0.16121919939346252</v>
      </c>
      <c r="Q483" s="7">
        <f t="shared" si="42"/>
        <v>0.16108931105321966</v>
      </c>
      <c r="R483" s="2" t="s">
        <v>173</v>
      </c>
      <c r="S483" s="2" t="s">
        <v>28</v>
      </c>
      <c r="T483" s="2" t="s">
        <v>150</v>
      </c>
    </row>
    <row r="484" spans="1:20" x14ac:dyDescent="0.3">
      <c r="A484" s="2" t="s">
        <v>172</v>
      </c>
      <c r="B484" s="2" t="s">
        <v>87</v>
      </c>
      <c r="C484" s="2">
        <v>30193683</v>
      </c>
      <c r="D484" s="2">
        <v>2018</v>
      </c>
      <c r="E484" s="2" t="s">
        <v>151</v>
      </c>
      <c r="F484" s="4">
        <v>3.0000000000000001E-6</v>
      </c>
      <c r="G484" s="2">
        <v>7</v>
      </c>
      <c r="H484" s="2">
        <f>L484+O484+G484*F484</f>
        <v>2918.8980209999995</v>
      </c>
      <c r="I484" s="2">
        <v>51</v>
      </c>
      <c r="J484" s="2">
        <v>0.13300000000000001</v>
      </c>
      <c r="K484" s="2">
        <v>6</v>
      </c>
      <c r="L484" s="2">
        <f>I484*J484*K484</f>
        <v>40.698</v>
      </c>
      <c r="M484" s="2">
        <v>39</v>
      </c>
      <c r="N484" s="2">
        <v>73.8</v>
      </c>
      <c r="O484" s="2">
        <f>M484*N484</f>
        <v>2878.2</v>
      </c>
      <c r="P484" s="2">
        <f>H484/C484*100000</f>
        <v>9.6672473543555437</v>
      </c>
      <c r="Q484" s="7">
        <f t="shared" si="42"/>
        <v>9.2146696580307825</v>
      </c>
      <c r="R484" s="2" t="s">
        <v>174</v>
      </c>
      <c r="S484" s="2" t="s">
        <v>28</v>
      </c>
      <c r="T484" s="2" t="s">
        <v>32</v>
      </c>
    </row>
    <row r="485" spans="1:20" x14ac:dyDescent="0.3">
      <c r="A485" s="2" t="s">
        <v>172</v>
      </c>
      <c r="B485" s="2" t="s">
        <v>87</v>
      </c>
      <c r="C485" s="2">
        <v>30193683</v>
      </c>
      <c r="D485" s="2">
        <v>2018</v>
      </c>
      <c r="E485" s="2" t="s">
        <v>33</v>
      </c>
      <c r="F485" s="4" t="s">
        <v>29</v>
      </c>
      <c r="G485" s="2">
        <v>8</v>
      </c>
      <c r="H485" s="2" t="s">
        <v>29</v>
      </c>
      <c r="I485" s="2" t="s">
        <v>29</v>
      </c>
      <c r="J485" s="2">
        <v>0.13300000000000001</v>
      </c>
      <c r="K485" s="2">
        <v>7</v>
      </c>
      <c r="L485" s="2" t="s">
        <v>29</v>
      </c>
      <c r="M485" s="2" t="s">
        <v>29</v>
      </c>
      <c r="N485" s="2">
        <v>73.8</v>
      </c>
      <c r="O485" s="2" t="s">
        <v>29</v>
      </c>
      <c r="P485" s="2" t="s">
        <v>29</v>
      </c>
      <c r="Q485" s="7" t="e">
        <f t="shared" si="42"/>
        <v>#VALUE!</v>
      </c>
      <c r="R485" s="2" t="s">
        <v>175</v>
      </c>
      <c r="S485" s="2" t="s">
        <v>35</v>
      </c>
      <c r="T485" s="2" t="s">
        <v>29</v>
      </c>
    </row>
    <row r="486" spans="1:20" x14ac:dyDescent="0.3">
      <c r="A486" s="2" t="s">
        <v>172</v>
      </c>
      <c r="B486" s="2" t="s">
        <v>87</v>
      </c>
      <c r="C486" s="2">
        <v>30193683</v>
      </c>
      <c r="D486" s="2">
        <v>2018</v>
      </c>
      <c r="E486" s="2" t="s">
        <v>37</v>
      </c>
      <c r="F486" s="4">
        <v>7.7999999999999999E-5</v>
      </c>
      <c r="G486" s="2">
        <v>6</v>
      </c>
      <c r="H486" s="2">
        <f>L486+O486+G486*F486</f>
        <v>1683.2004679999998</v>
      </c>
      <c r="I486" s="2">
        <v>2630</v>
      </c>
      <c r="J486" s="2">
        <v>0.128</v>
      </c>
      <c r="K486" s="2">
        <v>5</v>
      </c>
      <c r="L486" s="2">
        <f>I486*J486*K486</f>
        <v>1683.1999999999998</v>
      </c>
      <c r="M486" s="2">
        <v>0</v>
      </c>
      <c r="N486" s="2">
        <v>73.8</v>
      </c>
      <c r="O486" s="2">
        <f>M486*N486</f>
        <v>0</v>
      </c>
      <c r="P486" s="2">
        <f>H486/C486*100000</f>
        <v>5.5746775509301063</v>
      </c>
      <c r="Q486" s="7">
        <f t="shared" si="42"/>
        <v>5.4221400125688879</v>
      </c>
      <c r="R486" s="2" t="s">
        <v>176</v>
      </c>
      <c r="S486" s="2" t="s">
        <v>155</v>
      </c>
      <c r="T486" s="2" t="s">
        <v>156</v>
      </c>
    </row>
    <row r="487" spans="1:20" x14ac:dyDescent="0.3">
      <c r="A487" s="2" t="s">
        <v>172</v>
      </c>
      <c r="B487" s="2" t="s">
        <v>87</v>
      </c>
      <c r="C487" s="2">
        <v>30193683</v>
      </c>
      <c r="D487" s="2">
        <v>2018</v>
      </c>
      <c r="E487" s="2" t="s">
        <v>41</v>
      </c>
      <c r="F487" s="4">
        <v>9.9999999999999995E-7</v>
      </c>
      <c r="G487" s="2">
        <v>6</v>
      </c>
      <c r="H487" s="2">
        <f>L487+O487+G487*F487</f>
        <v>601.44000599999993</v>
      </c>
      <c r="I487" s="2">
        <v>23</v>
      </c>
      <c r="J487" s="2">
        <v>0.12</v>
      </c>
      <c r="K487" s="2">
        <v>4</v>
      </c>
      <c r="L487" s="2">
        <f>I487*J487*K487</f>
        <v>11.04</v>
      </c>
      <c r="M487" s="2">
        <v>8</v>
      </c>
      <c r="N487" s="2">
        <v>73.8</v>
      </c>
      <c r="O487" s="2">
        <f>M487*N487</f>
        <v>590.4</v>
      </c>
      <c r="P487" s="2">
        <f>H487/C487*100000</f>
        <v>1.9919398570886497</v>
      </c>
      <c r="Q487" s="7">
        <f t="shared" si="42"/>
        <v>1.9722318095300784</v>
      </c>
      <c r="R487" s="2" t="s">
        <v>177</v>
      </c>
      <c r="S487" s="2" t="s">
        <v>158</v>
      </c>
      <c r="T487" s="2" t="s">
        <v>159</v>
      </c>
    </row>
    <row r="488" spans="1:20" x14ac:dyDescent="0.3">
      <c r="A488" s="2" t="s">
        <v>172</v>
      </c>
      <c r="B488" s="2" t="s">
        <v>87</v>
      </c>
      <c r="C488" s="2">
        <v>30827751</v>
      </c>
      <c r="D488" s="2">
        <v>2019</v>
      </c>
      <c r="E488" s="2" t="s">
        <v>22</v>
      </c>
      <c r="F488" s="4" t="s">
        <v>29</v>
      </c>
      <c r="G488" s="2">
        <v>9</v>
      </c>
      <c r="H488" s="2" t="s">
        <v>29</v>
      </c>
      <c r="I488" s="2" t="s">
        <v>29</v>
      </c>
      <c r="J488" s="2">
        <v>0.13300000000000001</v>
      </c>
      <c r="K488" s="2">
        <v>8</v>
      </c>
      <c r="L488" s="2" t="s">
        <v>29</v>
      </c>
      <c r="M488" s="2" t="s">
        <v>29</v>
      </c>
      <c r="N488" s="2">
        <v>73.8</v>
      </c>
      <c r="O488" s="2" t="s">
        <v>29</v>
      </c>
      <c r="P488" s="2" t="s">
        <v>29</v>
      </c>
      <c r="Q488" s="7" t="e">
        <f t="shared" si="42"/>
        <v>#VALUE!</v>
      </c>
      <c r="R488" s="2" t="s">
        <v>120</v>
      </c>
      <c r="S488" s="2" t="s">
        <v>28</v>
      </c>
      <c r="T488" s="2" t="s">
        <v>29</v>
      </c>
    </row>
    <row r="489" spans="1:20" x14ac:dyDescent="0.3">
      <c r="A489" s="2" t="s">
        <v>172</v>
      </c>
      <c r="B489" s="2" t="s">
        <v>87</v>
      </c>
      <c r="C489" s="2">
        <v>30827751</v>
      </c>
      <c r="D489" s="2">
        <v>2019</v>
      </c>
      <c r="E489" s="2" t="s">
        <v>26</v>
      </c>
      <c r="F489" s="4">
        <v>1.9999999999999999E-6</v>
      </c>
      <c r="G489" s="2">
        <v>7</v>
      </c>
      <c r="H489" s="2">
        <f>L489+O489+G489*F489</f>
        <v>49.476013999999999</v>
      </c>
      <c r="I489" s="2">
        <v>62</v>
      </c>
      <c r="J489" s="2">
        <v>0.13300000000000001</v>
      </c>
      <c r="K489" s="2">
        <v>6</v>
      </c>
      <c r="L489" s="2">
        <f>I489*J489*K489</f>
        <v>49.475999999999999</v>
      </c>
      <c r="M489" s="2">
        <v>0</v>
      </c>
      <c r="N489" s="2">
        <v>73.8</v>
      </c>
      <c r="O489" s="2">
        <f>M489*N489</f>
        <v>0</v>
      </c>
      <c r="P489" s="2">
        <f>H489/C489*100000</f>
        <v>0.16049180493251031</v>
      </c>
      <c r="Q489" s="7">
        <f t="shared" si="42"/>
        <v>0.16036308570573921</v>
      </c>
      <c r="R489" s="2" t="s">
        <v>173</v>
      </c>
      <c r="S489" s="2" t="s">
        <v>28</v>
      </c>
      <c r="T489" s="2" t="s">
        <v>150</v>
      </c>
    </row>
    <row r="490" spans="1:20" x14ac:dyDescent="0.3">
      <c r="A490" s="2" t="s">
        <v>172</v>
      </c>
      <c r="B490" s="2" t="s">
        <v>87</v>
      </c>
      <c r="C490" s="2">
        <v>30827751</v>
      </c>
      <c r="D490" s="2">
        <v>2019</v>
      </c>
      <c r="E490" s="2" t="s">
        <v>151</v>
      </c>
      <c r="F490" s="4">
        <v>1.9999999999999999E-6</v>
      </c>
      <c r="G490" s="2">
        <v>7</v>
      </c>
      <c r="H490" s="2">
        <f>L490+O490+G490*F490</f>
        <v>2474.5020140000001</v>
      </c>
      <c r="I490" s="2">
        <v>49</v>
      </c>
      <c r="J490" s="2">
        <v>0.13300000000000001</v>
      </c>
      <c r="K490" s="2">
        <v>6</v>
      </c>
      <c r="L490" s="2">
        <f>I490*J490*K490</f>
        <v>39.102000000000004</v>
      </c>
      <c r="M490" s="2">
        <v>33</v>
      </c>
      <c r="N490" s="2">
        <v>73.8</v>
      </c>
      <c r="O490" s="2">
        <f>M490*N490</f>
        <v>2435.4</v>
      </c>
      <c r="P490" s="2">
        <f>H490/C490*100000</f>
        <v>8.0268651903929022</v>
      </c>
      <c r="Q490" s="7">
        <f t="shared" si="42"/>
        <v>7.7131617267923609</v>
      </c>
      <c r="R490" s="2" t="s">
        <v>174</v>
      </c>
      <c r="S490" s="2" t="s">
        <v>28</v>
      </c>
      <c r="T490" s="2" t="s">
        <v>32</v>
      </c>
    </row>
    <row r="491" spans="1:20" x14ac:dyDescent="0.3">
      <c r="A491" s="2" t="s">
        <v>172</v>
      </c>
      <c r="B491" s="2" t="s">
        <v>87</v>
      </c>
      <c r="C491" s="2">
        <v>30827751</v>
      </c>
      <c r="D491" s="2">
        <v>2019</v>
      </c>
      <c r="E491" s="2" t="s">
        <v>33</v>
      </c>
      <c r="F491" s="4" t="s">
        <v>29</v>
      </c>
      <c r="G491" s="2">
        <v>8</v>
      </c>
      <c r="H491" s="2" t="s">
        <v>29</v>
      </c>
      <c r="I491" s="2" t="s">
        <v>29</v>
      </c>
      <c r="J491" s="2">
        <v>0.13300000000000001</v>
      </c>
      <c r="K491" s="2">
        <v>7</v>
      </c>
      <c r="L491" s="2" t="s">
        <v>29</v>
      </c>
      <c r="M491" s="2" t="s">
        <v>29</v>
      </c>
      <c r="N491" s="2">
        <v>73.8</v>
      </c>
      <c r="O491" s="2" t="s">
        <v>29</v>
      </c>
      <c r="P491" s="2" t="s">
        <v>29</v>
      </c>
      <c r="Q491" s="7" t="e">
        <f t="shared" si="42"/>
        <v>#VALUE!</v>
      </c>
      <c r="R491" s="2" t="s">
        <v>175</v>
      </c>
      <c r="S491" s="2" t="s">
        <v>35</v>
      </c>
      <c r="T491" s="2" t="s">
        <v>29</v>
      </c>
    </row>
    <row r="492" spans="1:20" x14ac:dyDescent="0.3">
      <c r="A492" s="2" t="s">
        <v>172</v>
      </c>
      <c r="B492" s="2" t="s">
        <v>87</v>
      </c>
      <c r="C492" s="2">
        <v>30827751</v>
      </c>
      <c r="D492" s="2">
        <v>2019</v>
      </c>
      <c r="E492" s="2" t="s">
        <v>37</v>
      </c>
      <c r="F492" s="4">
        <v>8.0000000000000007E-5</v>
      </c>
      <c r="G492" s="2">
        <v>6</v>
      </c>
      <c r="H492" s="2">
        <f>L492+O492+G492*F492</f>
        <v>1436.16048</v>
      </c>
      <c r="I492" s="2">
        <v>2244</v>
      </c>
      <c r="J492" s="2">
        <v>0.128</v>
      </c>
      <c r="K492" s="2">
        <v>5</v>
      </c>
      <c r="L492" s="2">
        <f>I492*J492*K492</f>
        <v>1436.16</v>
      </c>
      <c r="M492" s="2">
        <v>0</v>
      </c>
      <c r="N492" s="2">
        <v>73.8</v>
      </c>
      <c r="O492" s="2">
        <f>M492*N492</f>
        <v>0</v>
      </c>
      <c r="P492" s="2">
        <f>H492/C492*100000</f>
        <v>4.6586612172908755</v>
      </c>
      <c r="Q492" s="7">
        <f t="shared" si="42"/>
        <v>4.5518112760492224</v>
      </c>
      <c r="R492" s="2" t="s">
        <v>176</v>
      </c>
      <c r="S492" s="2" t="s">
        <v>155</v>
      </c>
      <c r="T492" s="2" t="s">
        <v>156</v>
      </c>
    </row>
    <row r="493" spans="1:20" x14ac:dyDescent="0.3">
      <c r="A493" s="2" t="s">
        <v>172</v>
      </c>
      <c r="B493" s="2" t="s">
        <v>87</v>
      </c>
      <c r="C493" s="2">
        <v>30827751</v>
      </c>
      <c r="D493" s="2">
        <v>2019</v>
      </c>
      <c r="E493" s="2" t="s">
        <v>41</v>
      </c>
      <c r="F493" s="4">
        <v>9.9999999999999995E-7</v>
      </c>
      <c r="G493" s="2">
        <v>6</v>
      </c>
      <c r="H493" s="2">
        <f>L493+O493+G493*F493</f>
        <v>603.360006</v>
      </c>
      <c r="I493" s="2">
        <v>27</v>
      </c>
      <c r="J493" s="2">
        <v>0.12</v>
      </c>
      <c r="K493" s="2">
        <v>4</v>
      </c>
      <c r="L493" s="2">
        <f>I493*J493*K493</f>
        <v>12.959999999999999</v>
      </c>
      <c r="M493" s="2">
        <v>8</v>
      </c>
      <c r="N493" s="2">
        <v>73.8</v>
      </c>
      <c r="O493" s="2">
        <f>M493*N493</f>
        <v>590.4</v>
      </c>
      <c r="P493" s="2">
        <f>H493/C493*100000</f>
        <v>1.9571976106852556</v>
      </c>
      <c r="Q493" s="7">
        <f t="shared" si="42"/>
        <v>1.9381688439845113</v>
      </c>
      <c r="R493" s="2" t="s">
        <v>177</v>
      </c>
      <c r="S493" s="2" t="s">
        <v>158</v>
      </c>
      <c r="T493" s="2" t="s">
        <v>159</v>
      </c>
    </row>
    <row r="494" spans="1:20" x14ac:dyDescent="0.3">
      <c r="A494" s="2" t="s">
        <v>172</v>
      </c>
      <c r="B494" s="2" t="s">
        <v>87</v>
      </c>
      <c r="C494" s="2">
        <v>31475133</v>
      </c>
      <c r="D494" s="2">
        <v>2020</v>
      </c>
      <c r="E494" s="2" t="s">
        <v>22</v>
      </c>
      <c r="F494" s="4" t="s">
        <v>29</v>
      </c>
      <c r="G494" s="2">
        <v>9</v>
      </c>
      <c r="H494" s="2" t="s">
        <v>29</v>
      </c>
      <c r="I494" s="2" t="s">
        <v>29</v>
      </c>
      <c r="J494" s="2">
        <v>0.13300000000000001</v>
      </c>
      <c r="K494" s="2">
        <v>8</v>
      </c>
      <c r="L494" s="2" t="s">
        <v>29</v>
      </c>
      <c r="M494" s="2" t="s">
        <v>29</v>
      </c>
      <c r="N494" s="2">
        <v>73.8</v>
      </c>
      <c r="O494" s="2" t="s">
        <v>29</v>
      </c>
      <c r="P494" s="2" t="s">
        <v>29</v>
      </c>
      <c r="Q494" s="7" t="e">
        <f t="shared" si="42"/>
        <v>#VALUE!</v>
      </c>
      <c r="R494" s="2" t="s">
        <v>120</v>
      </c>
      <c r="S494" s="2" t="s">
        <v>28</v>
      </c>
      <c r="T494" s="2" t="s">
        <v>29</v>
      </c>
    </row>
    <row r="495" spans="1:20" x14ac:dyDescent="0.3">
      <c r="A495" s="2" t="s">
        <v>172</v>
      </c>
      <c r="B495" s="2" t="s">
        <v>87</v>
      </c>
      <c r="C495" s="2">
        <v>31475133</v>
      </c>
      <c r="D495" s="2">
        <v>2020</v>
      </c>
      <c r="E495" s="2" t="s">
        <v>26</v>
      </c>
      <c r="F495" s="4">
        <v>1.9999999999999999E-6</v>
      </c>
      <c r="G495" s="2">
        <v>7</v>
      </c>
      <c r="H495" s="2">
        <f>L495+O495+G495*F495</f>
        <v>53.466014000000008</v>
      </c>
      <c r="I495" s="2">
        <v>67</v>
      </c>
      <c r="J495" s="2">
        <v>0.13300000000000001</v>
      </c>
      <c r="K495" s="2">
        <v>6</v>
      </c>
      <c r="L495" s="2">
        <f>I495*J495*K495</f>
        <v>53.466000000000008</v>
      </c>
      <c r="M495" s="2">
        <v>0</v>
      </c>
      <c r="N495" s="2">
        <v>73.8</v>
      </c>
      <c r="O495" s="2">
        <f>M495*N495</f>
        <v>0</v>
      </c>
      <c r="P495" s="2">
        <f>H495/C495*100000</f>
        <v>0.16986747601670185</v>
      </c>
      <c r="Q495" s="7">
        <f t="shared" si="42"/>
        <v>0.1697232828769657</v>
      </c>
      <c r="R495" s="2" t="s">
        <v>173</v>
      </c>
      <c r="S495" s="2" t="s">
        <v>28</v>
      </c>
      <c r="T495" s="2" t="s">
        <v>150</v>
      </c>
    </row>
    <row r="496" spans="1:20" x14ac:dyDescent="0.3">
      <c r="A496" s="2" t="s">
        <v>172</v>
      </c>
      <c r="B496" s="2" t="s">
        <v>87</v>
      </c>
      <c r="C496" s="2">
        <v>31475133</v>
      </c>
      <c r="D496" s="2">
        <v>2020</v>
      </c>
      <c r="E496" s="2" t="s">
        <v>151</v>
      </c>
      <c r="F496" s="4">
        <v>1.9999999999999999E-6</v>
      </c>
      <c r="G496" s="2">
        <v>7</v>
      </c>
      <c r="H496" s="2">
        <f>L496+O496+G496*F496</f>
        <v>2470.5120140000004</v>
      </c>
      <c r="I496" s="2">
        <v>44</v>
      </c>
      <c r="J496" s="2">
        <v>0.13300000000000001</v>
      </c>
      <c r="K496" s="2">
        <v>6</v>
      </c>
      <c r="L496" s="2">
        <f>I496*J496*K496</f>
        <v>35.112000000000002</v>
      </c>
      <c r="M496" s="2">
        <v>33</v>
      </c>
      <c r="N496" s="2">
        <v>73.8</v>
      </c>
      <c r="O496" s="2">
        <f>M496*N496</f>
        <v>2435.4</v>
      </c>
      <c r="P496" s="2">
        <f>H496/C496*100000</f>
        <v>7.8490915796924527</v>
      </c>
      <c r="Q496" s="7">
        <f t="shared" si="42"/>
        <v>7.5489541665844424</v>
      </c>
      <c r="R496" s="2" t="s">
        <v>174</v>
      </c>
      <c r="S496" s="2" t="s">
        <v>28</v>
      </c>
      <c r="T496" s="2" t="s">
        <v>32</v>
      </c>
    </row>
    <row r="497" spans="1:20" x14ac:dyDescent="0.3">
      <c r="A497" s="2" t="s">
        <v>172</v>
      </c>
      <c r="B497" s="2" t="s">
        <v>87</v>
      </c>
      <c r="C497" s="2">
        <v>31475133</v>
      </c>
      <c r="D497" s="2">
        <v>2020</v>
      </c>
      <c r="E497" s="2" t="s">
        <v>33</v>
      </c>
      <c r="F497" s="4" t="s">
        <v>29</v>
      </c>
      <c r="G497" s="2">
        <v>8</v>
      </c>
      <c r="H497" s="2" t="s">
        <v>29</v>
      </c>
      <c r="I497" s="2" t="s">
        <v>29</v>
      </c>
      <c r="J497" s="2">
        <v>0.13300000000000001</v>
      </c>
      <c r="K497" s="2">
        <v>7</v>
      </c>
      <c r="L497" s="2" t="s">
        <v>29</v>
      </c>
      <c r="M497" s="2" t="s">
        <v>29</v>
      </c>
      <c r="N497" s="2">
        <v>73.8</v>
      </c>
      <c r="O497" s="2" t="s">
        <v>29</v>
      </c>
      <c r="P497" s="2" t="s">
        <v>29</v>
      </c>
      <c r="Q497" s="7" t="e">
        <f t="shared" si="42"/>
        <v>#VALUE!</v>
      </c>
      <c r="R497" s="2" t="s">
        <v>175</v>
      </c>
      <c r="S497" s="2" t="s">
        <v>35</v>
      </c>
      <c r="T497" s="2" t="s">
        <v>29</v>
      </c>
    </row>
    <row r="498" spans="1:20" x14ac:dyDescent="0.3">
      <c r="A498" s="2" t="s">
        <v>172</v>
      </c>
      <c r="B498" s="2" t="s">
        <v>87</v>
      </c>
      <c r="C498" s="2">
        <v>31475133</v>
      </c>
      <c r="D498" s="2">
        <v>2020</v>
      </c>
      <c r="E498" s="2" t="s">
        <v>37</v>
      </c>
      <c r="F498" s="4">
        <v>8.7000000000000001E-5</v>
      </c>
      <c r="G498" s="2">
        <v>6</v>
      </c>
      <c r="H498" s="2">
        <f>L498+O498+G498*F498</f>
        <v>1766.4005220000001</v>
      </c>
      <c r="I498" s="2">
        <v>2760</v>
      </c>
      <c r="J498" s="2">
        <v>0.128</v>
      </c>
      <c r="K498" s="2">
        <v>5</v>
      </c>
      <c r="L498" s="2">
        <f>I498*J498*K498</f>
        <v>1766.4</v>
      </c>
      <c r="M498" s="2">
        <v>0</v>
      </c>
      <c r="N498" s="2">
        <v>73.8</v>
      </c>
      <c r="O498" s="2">
        <f>M498*N498</f>
        <v>0</v>
      </c>
      <c r="P498" s="2">
        <f>H498/C498*100000</f>
        <v>5.6120510181799714</v>
      </c>
      <c r="Q498" s="7">
        <f t="shared" si="42"/>
        <v>5.457480433715201</v>
      </c>
      <c r="R498" s="2" t="s">
        <v>176</v>
      </c>
      <c r="S498" s="2" t="s">
        <v>155</v>
      </c>
      <c r="T498" s="2" t="s">
        <v>156</v>
      </c>
    </row>
    <row r="499" spans="1:20" x14ac:dyDescent="0.3">
      <c r="A499" s="2" t="s">
        <v>172</v>
      </c>
      <c r="B499" s="2" t="s">
        <v>87</v>
      </c>
      <c r="C499" s="2">
        <v>31475133</v>
      </c>
      <c r="D499" s="2">
        <v>2020</v>
      </c>
      <c r="E499" s="2" t="s">
        <v>41</v>
      </c>
      <c r="F499" s="4">
        <v>9.9999999999999995E-7</v>
      </c>
      <c r="G499" s="2">
        <v>6</v>
      </c>
      <c r="H499" s="2">
        <f>L499+O499+G499*F499</f>
        <v>602.88000599999998</v>
      </c>
      <c r="I499" s="2">
        <v>26</v>
      </c>
      <c r="J499" s="2">
        <v>0.12</v>
      </c>
      <c r="K499" s="2">
        <v>4</v>
      </c>
      <c r="L499" s="2">
        <f>I499*J499*K499</f>
        <v>12.48</v>
      </c>
      <c r="M499" s="2">
        <v>8</v>
      </c>
      <c r="N499" s="2">
        <v>73.8</v>
      </c>
      <c r="O499" s="2">
        <f>M499*N499</f>
        <v>590.4</v>
      </c>
      <c r="P499" s="2">
        <f>H499/C499*100000</f>
        <v>1.915416865752402</v>
      </c>
      <c r="Q499" s="7">
        <f t="shared" si="42"/>
        <v>1.8971893202537227</v>
      </c>
      <c r="R499" s="2" t="s">
        <v>177</v>
      </c>
      <c r="S499" s="2" t="s">
        <v>158</v>
      </c>
      <c r="T499" s="2" t="s">
        <v>159</v>
      </c>
    </row>
    <row r="500" spans="1:20" x14ac:dyDescent="0.3">
      <c r="A500" s="2" t="s">
        <v>172</v>
      </c>
      <c r="B500" s="2" t="s">
        <v>87</v>
      </c>
      <c r="C500" s="2">
        <v>32136111</v>
      </c>
      <c r="D500" s="2">
        <v>2021</v>
      </c>
      <c r="E500" s="2" t="s">
        <v>22</v>
      </c>
      <c r="F500" s="4" t="s">
        <v>29</v>
      </c>
      <c r="G500" s="2">
        <v>9</v>
      </c>
      <c r="H500" s="2" t="s">
        <v>29</v>
      </c>
      <c r="I500" s="2" t="s">
        <v>29</v>
      </c>
      <c r="J500" s="2">
        <v>0.13300000000000001</v>
      </c>
      <c r="K500" s="2">
        <v>8</v>
      </c>
      <c r="L500" s="2" t="s">
        <v>29</v>
      </c>
      <c r="M500" s="2" t="s">
        <v>29</v>
      </c>
      <c r="N500" s="2">
        <v>73.8</v>
      </c>
      <c r="O500" s="2" t="s">
        <v>29</v>
      </c>
      <c r="P500" s="2" t="s">
        <v>29</v>
      </c>
      <c r="Q500" s="7" t="e">
        <f t="shared" si="42"/>
        <v>#VALUE!</v>
      </c>
      <c r="R500" s="2" t="s">
        <v>120</v>
      </c>
      <c r="S500" s="2" t="s">
        <v>28</v>
      </c>
      <c r="T500" s="2" t="s">
        <v>29</v>
      </c>
    </row>
    <row r="501" spans="1:20" x14ac:dyDescent="0.3">
      <c r="A501" s="2" t="s">
        <v>172</v>
      </c>
      <c r="B501" s="2" t="s">
        <v>87</v>
      </c>
      <c r="C501" s="2">
        <v>32136111</v>
      </c>
      <c r="D501" s="2">
        <v>2021</v>
      </c>
      <c r="E501" s="2" t="s">
        <v>26</v>
      </c>
      <c r="F501" s="4">
        <v>1.9999999999999999E-6</v>
      </c>
      <c r="G501" s="2">
        <v>7</v>
      </c>
      <c r="H501" s="2">
        <f>L501+O501+G501*F501</f>
        <v>46.284014000000006</v>
      </c>
      <c r="I501" s="2">
        <v>58</v>
      </c>
      <c r="J501" s="2">
        <v>0.13300000000000001</v>
      </c>
      <c r="K501" s="2">
        <v>6</v>
      </c>
      <c r="L501" s="2">
        <f>I501*J501*K501</f>
        <v>46.284000000000006</v>
      </c>
      <c r="M501" s="2">
        <v>0</v>
      </c>
      <c r="N501" s="2">
        <v>73.8</v>
      </c>
      <c r="O501" s="2">
        <f>M501*N501</f>
        <v>0</v>
      </c>
      <c r="P501" s="2">
        <f>H501/C501*100000</f>
        <v>0.14402493817624668</v>
      </c>
      <c r="Q501" s="7">
        <f t="shared" si="42"/>
        <v>0.14392127203649574</v>
      </c>
      <c r="R501" s="2" t="s">
        <v>173</v>
      </c>
      <c r="S501" s="2" t="s">
        <v>28</v>
      </c>
      <c r="T501" s="2" t="s">
        <v>150</v>
      </c>
    </row>
    <row r="502" spans="1:20" x14ac:dyDescent="0.3">
      <c r="A502" s="2" t="s">
        <v>172</v>
      </c>
      <c r="B502" s="2" t="s">
        <v>87</v>
      </c>
      <c r="C502" s="2">
        <v>32136111</v>
      </c>
      <c r="D502" s="2">
        <v>2021</v>
      </c>
      <c r="E502" s="2" t="s">
        <v>151</v>
      </c>
      <c r="F502" s="4">
        <v>6.0000000000000002E-6</v>
      </c>
      <c r="G502" s="2">
        <v>7</v>
      </c>
      <c r="H502" s="2">
        <f>L502+O502+G502*F502</f>
        <v>7271.9160419999989</v>
      </c>
      <c r="I502" s="2">
        <v>142</v>
      </c>
      <c r="J502" s="2">
        <v>0.13300000000000001</v>
      </c>
      <c r="K502" s="2">
        <v>6</v>
      </c>
      <c r="L502" s="2">
        <f>I502*J502*K502</f>
        <v>113.31600000000002</v>
      </c>
      <c r="M502" s="2">
        <v>97</v>
      </c>
      <c r="N502" s="2">
        <v>73.8</v>
      </c>
      <c r="O502" s="2">
        <f>M502*N502</f>
        <v>7158.5999999999995</v>
      </c>
      <c r="P502" s="2">
        <f>H502/C502*100000</f>
        <v>22.628488064408288</v>
      </c>
      <c r="Q502" s="7">
        <f t="shared" si="42"/>
        <v>20.250912041380186</v>
      </c>
      <c r="R502" s="2" t="s">
        <v>178</v>
      </c>
      <c r="S502" s="2" t="s">
        <v>28</v>
      </c>
      <c r="T502" s="2" t="s">
        <v>32</v>
      </c>
    </row>
    <row r="503" spans="1:20" x14ac:dyDescent="0.3">
      <c r="A503" s="2" t="s">
        <v>172</v>
      </c>
      <c r="B503" s="2" t="s">
        <v>87</v>
      </c>
      <c r="C503" s="2">
        <v>32136111</v>
      </c>
      <c r="D503" s="2">
        <v>2021</v>
      </c>
      <c r="E503" s="2" t="s">
        <v>33</v>
      </c>
      <c r="F503" s="4" t="s">
        <v>29</v>
      </c>
      <c r="G503" s="2">
        <v>8</v>
      </c>
      <c r="H503" s="2" t="s">
        <v>29</v>
      </c>
      <c r="I503" s="2" t="s">
        <v>29</v>
      </c>
      <c r="J503" s="2">
        <v>0.13300000000000001</v>
      </c>
      <c r="K503" s="2">
        <v>7</v>
      </c>
      <c r="L503" s="2" t="s">
        <v>29</v>
      </c>
      <c r="M503" s="2" t="s">
        <v>29</v>
      </c>
      <c r="N503" s="2">
        <v>73.8</v>
      </c>
      <c r="O503" s="2" t="s">
        <v>29</v>
      </c>
      <c r="P503" s="2" t="s">
        <v>29</v>
      </c>
      <c r="Q503" s="7" t="e">
        <f t="shared" si="42"/>
        <v>#VALUE!</v>
      </c>
      <c r="R503" s="2" t="s">
        <v>175</v>
      </c>
      <c r="S503" s="2" t="s">
        <v>35</v>
      </c>
      <c r="T503" s="2" t="s">
        <v>29</v>
      </c>
    </row>
    <row r="504" spans="1:20" x14ac:dyDescent="0.3">
      <c r="A504" s="2" t="s">
        <v>172</v>
      </c>
      <c r="B504" s="2" t="s">
        <v>87</v>
      </c>
      <c r="C504" s="2">
        <v>32136111</v>
      </c>
      <c r="D504" s="2">
        <v>2021</v>
      </c>
      <c r="E504" s="2" t="s">
        <v>37</v>
      </c>
      <c r="F504" s="4">
        <v>8.7000000000000001E-5</v>
      </c>
      <c r="G504" s="2">
        <v>6</v>
      </c>
      <c r="H504" s="2">
        <f>L504+O504+G504*F504</f>
        <v>1642.8805220000002</v>
      </c>
      <c r="I504" s="2">
        <v>2567</v>
      </c>
      <c r="J504" s="2">
        <v>0.128</v>
      </c>
      <c r="K504" s="2">
        <v>5</v>
      </c>
      <c r="L504" s="2">
        <f>I504*J504*K504</f>
        <v>1642.88</v>
      </c>
      <c r="M504" s="2">
        <v>0</v>
      </c>
      <c r="N504" s="2">
        <v>73.8</v>
      </c>
      <c r="O504" s="2">
        <f>M504*N504</f>
        <v>0</v>
      </c>
      <c r="P504" s="2">
        <f>H504/C504*100000</f>
        <v>5.1122568066808087</v>
      </c>
      <c r="Q504" s="7">
        <f t="shared" si="42"/>
        <v>4.9837796149455382</v>
      </c>
      <c r="R504" s="2" t="s">
        <v>176</v>
      </c>
      <c r="S504" s="2" t="s">
        <v>155</v>
      </c>
      <c r="T504" s="2" t="s">
        <v>156</v>
      </c>
    </row>
    <row r="505" spans="1:20" x14ac:dyDescent="0.3">
      <c r="A505" s="2" t="s">
        <v>172</v>
      </c>
      <c r="B505" s="2" t="s">
        <v>87</v>
      </c>
      <c r="C505" s="2">
        <v>32136111</v>
      </c>
      <c r="D505" s="2">
        <v>2021</v>
      </c>
      <c r="E505" s="2" t="s">
        <v>41</v>
      </c>
      <c r="F505" s="4">
        <v>0</v>
      </c>
      <c r="G505" s="2">
        <v>6</v>
      </c>
      <c r="H505" s="2">
        <f>L505+O505+G505*F505</f>
        <v>602.4</v>
      </c>
      <c r="I505" s="2">
        <v>25</v>
      </c>
      <c r="J505" s="2">
        <v>0.12</v>
      </c>
      <c r="K505" s="2">
        <v>4</v>
      </c>
      <c r="L505" s="2">
        <f>I505*J505*K505</f>
        <v>12</v>
      </c>
      <c r="M505" s="2">
        <v>8</v>
      </c>
      <c r="N505" s="2">
        <v>73.8</v>
      </c>
      <c r="O505" s="2">
        <f>M505*N505</f>
        <v>590.4</v>
      </c>
      <c r="P505" s="2">
        <f>H505/C505*100000</f>
        <v>1.8745267590095143</v>
      </c>
      <c r="Q505" s="7">
        <f t="shared" si="42"/>
        <v>1.8570667737319857</v>
      </c>
      <c r="R505" s="2" t="s">
        <v>177</v>
      </c>
      <c r="S505" s="2" t="s">
        <v>158</v>
      </c>
      <c r="T505" s="2" t="s">
        <v>159</v>
      </c>
    </row>
    <row r="506" spans="1:20" x14ac:dyDescent="0.3">
      <c r="A506" s="2" t="s">
        <v>172</v>
      </c>
      <c r="B506" s="2" t="s">
        <v>87</v>
      </c>
      <c r="C506" s="2">
        <v>32810970</v>
      </c>
      <c r="D506" s="2">
        <v>2022</v>
      </c>
      <c r="E506" s="2" t="s">
        <v>22</v>
      </c>
      <c r="F506" s="4" t="s">
        <v>29</v>
      </c>
      <c r="G506" s="2">
        <v>9</v>
      </c>
      <c r="H506" s="2" t="s">
        <v>29</v>
      </c>
      <c r="I506" s="2" t="s">
        <v>29</v>
      </c>
      <c r="J506" s="2">
        <v>0.13300000000000001</v>
      </c>
      <c r="K506" s="2">
        <v>8</v>
      </c>
      <c r="L506" s="2" t="s">
        <v>29</v>
      </c>
      <c r="M506" s="2" t="s">
        <v>29</v>
      </c>
      <c r="N506" s="2">
        <v>73.8</v>
      </c>
      <c r="O506" s="2" t="s">
        <v>29</v>
      </c>
      <c r="P506" s="2" t="s">
        <v>29</v>
      </c>
      <c r="Q506" s="7" t="e">
        <f t="shared" si="42"/>
        <v>#VALUE!</v>
      </c>
      <c r="R506" s="2" t="s">
        <v>120</v>
      </c>
      <c r="S506" s="2" t="s">
        <v>28</v>
      </c>
      <c r="T506" s="2" t="s">
        <v>29</v>
      </c>
    </row>
    <row r="507" spans="1:20" x14ac:dyDescent="0.3">
      <c r="A507" s="2" t="s">
        <v>172</v>
      </c>
      <c r="B507" s="2" t="s">
        <v>87</v>
      </c>
      <c r="C507" s="2">
        <v>32810970</v>
      </c>
      <c r="D507" s="2">
        <v>2022</v>
      </c>
      <c r="E507" s="2" t="s">
        <v>26</v>
      </c>
      <c r="F507" s="4">
        <v>1.9999999999999999E-6</v>
      </c>
      <c r="G507" s="2">
        <v>7</v>
      </c>
      <c r="H507" s="2">
        <f>L507+O507+G507*F507</f>
        <v>42.294014000000004</v>
      </c>
      <c r="I507" s="2">
        <v>53</v>
      </c>
      <c r="J507" s="2">
        <v>0.13300000000000001</v>
      </c>
      <c r="K507" s="2">
        <v>6</v>
      </c>
      <c r="L507" s="2">
        <f>I507*J507*K507</f>
        <v>42.294000000000004</v>
      </c>
      <c r="M507" s="2">
        <v>0</v>
      </c>
      <c r="N507" s="2">
        <v>73.8</v>
      </c>
      <c r="O507" s="2">
        <f>M507*N507</f>
        <v>0</v>
      </c>
      <c r="P507" s="2">
        <f>H507/C507*100000</f>
        <v>0.12890205318526091</v>
      </c>
      <c r="Q507" s="7">
        <f t="shared" si="42"/>
        <v>0.1288190101738973</v>
      </c>
      <c r="R507" s="2" t="s">
        <v>173</v>
      </c>
      <c r="S507" s="2" t="s">
        <v>28</v>
      </c>
      <c r="T507" s="2" t="s">
        <v>150</v>
      </c>
    </row>
    <row r="508" spans="1:20" x14ac:dyDescent="0.3">
      <c r="A508" s="2" t="s">
        <v>172</v>
      </c>
      <c r="B508" s="2" t="s">
        <v>87</v>
      </c>
      <c r="C508" s="2">
        <v>32810970</v>
      </c>
      <c r="D508" s="2">
        <v>2022</v>
      </c>
      <c r="E508" s="2" t="s">
        <v>151</v>
      </c>
      <c r="F508" s="4">
        <v>5.0000000000000004E-6</v>
      </c>
      <c r="G508" s="2">
        <v>7</v>
      </c>
      <c r="H508" s="2">
        <f>L508+O508+G508*F508</f>
        <v>6446.5500350000002</v>
      </c>
      <c r="I508" s="2">
        <v>125</v>
      </c>
      <c r="J508" s="2">
        <v>0.13300000000000001</v>
      </c>
      <c r="K508" s="2">
        <v>6</v>
      </c>
      <c r="L508" s="2">
        <f>I508*J508*K508</f>
        <v>99.75</v>
      </c>
      <c r="M508" s="2">
        <v>86</v>
      </c>
      <c r="N508" s="2">
        <v>73.8</v>
      </c>
      <c r="O508" s="2">
        <f>M508*N508</f>
        <v>6346.8</v>
      </c>
      <c r="P508" s="2">
        <f>H508/C508*100000</f>
        <v>19.647544815042043</v>
      </c>
      <c r="Q508" s="7">
        <f t="shared" si="42"/>
        <v>17.837849662481609</v>
      </c>
      <c r="R508" s="2" t="s">
        <v>178</v>
      </c>
      <c r="S508" s="2" t="s">
        <v>28</v>
      </c>
      <c r="T508" s="2" t="s">
        <v>32</v>
      </c>
    </row>
    <row r="509" spans="1:20" x14ac:dyDescent="0.3">
      <c r="A509" s="2" t="s">
        <v>172</v>
      </c>
      <c r="B509" s="2" t="s">
        <v>87</v>
      </c>
      <c r="C509" s="2">
        <v>32810970</v>
      </c>
      <c r="D509" s="2">
        <v>2022</v>
      </c>
      <c r="E509" s="2" t="s">
        <v>33</v>
      </c>
      <c r="F509" s="4" t="s">
        <v>29</v>
      </c>
      <c r="G509" s="2">
        <v>8</v>
      </c>
      <c r="H509" s="2" t="s">
        <v>29</v>
      </c>
      <c r="I509" s="2" t="s">
        <v>29</v>
      </c>
      <c r="J509" s="2">
        <v>0.13300000000000001</v>
      </c>
      <c r="K509" s="2">
        <v>7</v>
      </c>
      <c r="L509" s="2" t="s">
        <v>29</v>
      </c>
      <c r="M509" s="2" t="s">
        <v>29</v>
      </c>
      <c r="N509" s="2">
        <v>73.8</v>
      </c>
      <c r="O509" s="2" t="s">
        <v>29</v>
      </c>
      <c r="P509" s="2" t="s">
        <v>29</v>
      </c>
      <c r="Q509" s="7" t="e">
        <f t="shared" si="42"/>
        <v>#VALUE!</v>
      </c>
      <c r="R509" s="2" t="s">
        <v>175</v>
      </c>
      <c r="S509" s="2" t="s">
        <v>35</v>
      </c>
      <c r="T509" s="2" t="s">
        <v>29</v>
      </c>
    </row>
    <row r="510" spans="1:20" x14ac:dyDescent="0.3">
      <c r="A510" s="2" t="s">
        <v>172</v>
      </c>
      <c r="B510" s="2" t="s">
        <v>87</v>
      </c>
      <c r="C510" s="2">
        <v>32810970</v>
      </c>
      <c r="D510" s="2">
        <v>2022</v>
      </c>
      <c r="E510" s="2" t="s">
        <v>37</v>
      </c>
      <c r="F510" s="4">
        <v>6.9999999999999994E-5</v>
      </c>
      <c r="G510" s="2">
        <v>6</v>
      </c>
      <c r="H510" s="2">
        <f>L510+O510+G510*F510</f>
        <v>1768.32042</v>
      </c>
      <c r="I510" s="2">
        <v>2763</v>
      </c>
      <c r="J510" s="2">
        <v>0.128</v>
      </c>
      <c r="K510" s="2">
        <v>5</v>
      </c>
      <c r="L510" s="2">
        <f>I510*J510*K510</f>
        <v>1768.32</v>
      </c>
      <c r="M510" s="2">
        <v>0</v>
      </c>
      <c r="N510" s="2">
        <v>73.8</v>
      </c>
      <c r="O510" s="2">
        <f>M510*N510</f>
        <v>0</v>
      </c>
      <c r="P510" s="2">
        <f>H510/C510*100000</f>
        <v>5.3894182951616489</v>
      </c>
      <c r="Q510" s="7">
        <f t="shared" si="42"/>
        <v>5.2467633724644802</v>
      </c>
      <c r="R510" s="2" t="s">
        <v>176</v>
      </c>
      <c r="S510" s="2" t="s">
        <v>155</v>
      </c>
      <c r="T510" s="2" t="s">
        <v>156</v>
      </c>
    </row>
    <row r="511" spans="1:20" x14ac:dyDescent="0.3">
      <c r="A511" s="2" t="s">
        <v>172</v>
      </c>
      <c r="B511" s="2" t="s">
        <v>87</v>
      </c>
      <c r="C511" s="2">
        <v>32810970</v>
      </c>
      <c r="D511" s="2">
        <v>2022</v>
      </c>
      <c r="E511" s="2" t="s">
        <v>41</v>
      </c>
      <c r="F511" s="4">
        <v>0</v>
      </c>
      <c r="G511" s="2">
        <v>6</v>
      </c>
      <c r="H511" s="2">
        <f>L511+O511+G511*F511</f>
        <v>600.95999999999992</v>
      </c>
      <c r="I511" s="2">
        <v>22</v>
      </c>
      <c r="J511" s="2">
        <v>0.12</v>
      </c>
      <c r="K511" s="2">
        <v>4</v>
      </c>
      <c r="L511" s="2">
        <f>I511*J511*K511</f>
        <v>10.559999999999999</v>
      </c>
      <c r="M511" s="2">
        <v>8</v>
      </c>
      <c r="N511" s="2">
        <v>73.8</v>
      </c>
      <c r="O511" s="2">
        <f>M511*N511</f>
        <v>590.4</v>
      </c>
      <c r="P511" s="2">
        <f>H511/C511*100000</f>
        <v>1.8315825469347597</v>
      </c>
      <c r="Q511" s="7">
        <f t="shared" si="42"/>
        <v>1.8149110132691937</v>
      </c>
      <c r="R511" s="2" t="s">
        <v>177</v>
      </c>
      <c r="S511" s="2" t="s">
        <v>158</v>
      </c>
      <c r="T511" s="2" t="s">
        <v>159</v>
      </c>
    </row>
    <row r="512" spans="1:20" x14ac:dyDescent="0.3">
      <c r="A512" s="2" t="s">
        <v>172</v>
      </c>
      <c r="B512" s="2" t="s">
        <v>87</v>
      </c>
      <c r="C512" s="2">
        <v>33500000</v>
      </c>
      <c r="D512" s="2">
        <v>2023</v>
      </c>
      <c r="E512" s="2" t="s">
        <v>22</v>
      </c>
      <c r="F512" s="4" t="s">
        <v>29</v>
      </c>
      <c r="G512" s="2">
        <v>9</v>
      </c>
      <c r="H512" s="2" t="s">
        <v>29</v>
      </c>
      <c r="I512" s="2" t="s">
        <v>29</v>
      </c>
      <c r="J512" s="2">
        <v>0.13300000000000001</v>
      </c>
      <c r="K512" s="2">
        <v>8</v>
      </c>
      <c r="L512" s="2" t="s">
        <v>29</v>
      </c>
      <c r="M512" s="2" t="s">
        <v>29</v>
      </c>
      <c r="N512" s="2">
        <v>73.8</v>
      </c>
      <c r="O512" s="2" t="s">
        <v>29</v>
      </c>
      <c r="P512" s="2" t="s">
        <v>29</v>
      </c>
      <c r="Q512" s="7" t="e">
        <f t="shared" si="42"/>
        <v>#VALUE!</v>
      </c>
      <c r="R512" s="2" t="s">
        <v>120</v>
      </c>
      <c r="S512" s="2" t="s">
        <v>28</v>
      </c>
      <c r="T512" s="2" t="s">
        <v>29</v>
      </c>
    </row>
    <row r="513" spans="1:20" x14ac:dyDescent="0.3">
      <c r="A513" s="2" t="s">
        <v>172</v>
      </c>
      <c r="B513" s="2" t="s">
        <v>87</v>
      </c>
      <c r="C513" s="2">
        <v>33500000</v>
      </c>
      <c r="D513" s="2">
        <v>2023</v>
      </c>
      <c r="E513" s="2" t="s">
        <v>26</v>
      </c>
      <c r="F513" s="4">
        <v>1.9999999999999999E-6</v>
      </c>
      <c r="G513" s="2">
        <v>7</v>
      </c>
      <c r="H513" s="2">
        <f>L513+O513+G513*F513</f>
        <v>43.092013999999999</v>
      </c>
      <c r="I513" s="2">
        <v>54</v>
      </c>
      <c r="J513" s="2">
        <v>0.13300000000000001</v>
      </c>
      <c r="K513" s="2">
        <v>6</v>
      </c>
      <c r="L513" s="2">
        <f>I513*J513*K513</f>
        <v>43.091999999999999</v>
      </c>
      <c r="M513" s="2">
        <v>0</v>
      </c>
      <c r="N513" s="2">
        <v>73.8</v>
      </c>
      <c r="O513" s="2">
        <f>M513*N513</f>
        <v>0</v>
      </c>
      <c r="P513" s="2">
        <f>H513/C513*100000</f>
        <v>0.12863287761194028</v>
      </c>
      <c r="Q513" s="7">
        <f t="shared" si="42"/>
        <v>0.12855018098807403</v>
      </c>
      <c r="R513" s="2" t="s">
        <v>173</v>
      </c>
      <c r="S513" s="2" t="s">
        <v>28</v>
      </c>
      <c r="T513" s="2" t="s">
        <v>150</v>
      </c>
    </row>
    <row r="514" spans="1:20" x14ac:dyDescent="0.3">
      <c r="A514" s="2" t="s">
        <v>172</v>
      </c>
      <c r="B514" s="2" t="s">
        <v>87</v>
      </c>
      <c r="C514" s="2">
        <v>33500000</v>
      </c>
      <c r="D514" s="2">
        <v>2023</v>
      </c>
      <c r="E514" s="2" t="s">
        <v>151</v>
      </c>
      <c r="F514" s="4">
        <v>5.0000000000000004E-6</v>
      </c>
      <c r="G514" s="2">
        <v>7</v>
      </c>
      <c r="H514" s="2">
        <f>L514+O514+G514*F514</f>
        <v>6370.3560349999998</v>
      </c>
      <c r="I514" s="2">
        <v>122</v>
      </c>
      <c r="J514" s="2">
        <v>0.13300000000000001</v>
      </c>
      <c r="K514" s="2">
        <v>6</v>
      </c>
      <c r="L514" s="2">
        <f>I514*J514*K514</f>
        <v>97.355999999999995</v>
      </c>
      <c r="M514" s="2">
        <v>85</v>
      </c>
      <c r="N514" s="2">
        <v>73.8</v>
      </c>
      <c r="O514" s="2">
        <f>M514*N514</f>
        <v>6273</v>
      </c>
      <c r="P514" s="2">
        <f>H514/C514*100000</f>
        <v>19.015988164179102</v>
      </c>
      <c r="Q514" s="7">
        <f t="shared" ref="Q514:Q577" si="46">100*(1-EXP(-P514/100))</f>
        <v>17.317307107180756</v>
      </c>
      <c r="R514" s="2" t="s">
        <v>178</v>
      </c>
      <c r="S514" s="2" t="s">
        <v>28</v>
      </c>
      <c r="T514" s="2" t="s">
        <v>32</v>
      </c>
    </row>
    <row r="515" spans="1:20" x14ac:dyDescent="0.3">
      <c r="A515" s="2" t="s">
        <v>172</v>
      </c>
      <c r="B515" s="2" t="s">
        <v>87</v>
      </c>
      <c r="C515" s="2">
        <v>33500000</v>
      </c>
      <c r="D515" s="2">
        <v>2023</v>
      </c>
      <c r="E515" s="2" t="s">
        <v>33</v>
      </c>
      <c r="F515" s="4" t="s">
        <v>29</v>
      </c>
      <c r="G515" s="2">
        <v>8</v>
      </c>
      <c r="H515" s="2" t="s">
        <v>29</v>
      </c>
      <c r="I515" s="2" t="s">
        <v>29</v>
      </c>
      <c r="J515" s="2">
        <v>0.13300000000000001</v>
      </c>
      <c r="K515" s="2">
        <v>7</v>
      </c>
      <c r="L515" s="2" t="s">
        <v>29</v>
      </c>
      <c r="M515" s="2" t="s">
        <v>29</v>
      </c>
      <c r="N515" s="2">
        <v>73.8</v>
      </c>
      <c r="O515" s="2" t="s">
        <v>29</v>
      </c>
      <c r="P515" s="2" t="s">
        <v>29</v>
      </c>
      <c r="Q515" s="7" t="e">
        <f t="shared" si="46"/>
        <v>#VALUE!</v>
      </c>
      <c r="R515" s="2" t="s">
        <v>175</v>
      </c>
      <c r="S515" s="2" t="s">
        <v>35</v>
      </c>
      <c r="T515" s="2" t="s">
        <v>29</v>
      </c>
    </row>
    <row r="516" spans="1:20" x14ac:dyDescent="0.3">
      <c r="A516" s="2" t="s">
        <v>172</v>
      </c>
      <c r="B516" s="2" t="s">
        <v>87</v>
      </c>
      <c r="C516" s="2">
        <v>33500000</v>
      </c>
      <c r="D516" s="2">
        <v>2023</v>
      </c>
      <c r="E516" s="2" t="s">
        <v>37</v>
      </c>
      <c r="F516" s="4">
        <v>6.8999999999999997E-5</v>
      </c>
      <c r="G516" s="2">
        <v>6</v>
      </c>
      <c r="H516" s="2">
        <f>L516+O516+G516*F516</f>
        <v>1683.8404140000002</v>
      </c>
      <c r="I516" s="2">
        <v>2631</v>
      </c>
      <c r="J516" s="2">
        <v>0.128</v>
      </c>
      <c r="K516" s="2">
        <v>5</v>
      </c>
      <c r="L516" s="2">
        <f>I516*J516*K516</f>
        <v>1683.8400000000001</v>
      </c>
      <c r="M516" s="2">
        <v>0</v>
      </c>
      <c r="N516" s="2">
        <v>73.8</v>
      </c>
      <c r="O516" s="2">
        <f>M516*N516</f>
        <v>0</v>
      </c>
      <c r="P516" s="2">
        <f>H516/C516*100000</f>
        <v>5.0263892955223888</v>
      </c>
      <c r="Q516" s="7">
        <f t="shared" si="46"/>
        <v>4.9021565124559903</v>
      </c>
      <c r="R516" s="2" t="s">
        <v>176</v>
      </c>
      <c r="S516" s="2" t="s">
        <v>155</v>
      </c>
      <c r="T516" s="2" t="s">
        <v>156</v>
      </c>
    </row>
    <row r="517" spans="1:20" x14ac:dyDescent="0.3">
      <c r="A517" s="2" t="s">
        <v>172</v>
      </c>
      <c r="B517" s="2" t="s">
        <v>87</v>
      </c>
      <c r="C517" s="2">
        <v>33500000</v>
      </c>
      <c r="D517" s="2">
        <v>2023</v>
      </c>
      <c r="E517" s="2" t="s">
        <v>41</v>
      </c>
      <c r="F517" s="4">
        <v>1.9999999999999999E-6</v>
      </c>
      <c r="G517" s="2">
        <v>6</v>
      </c>
      <c r="H517" s="2">
        <f>L517+O517+G517*F517</f>
        <v>1957.6800119999998</v>
      </c>
      <c r="I517" s="2">
        <v>81</v>
      </c>
      <c r="J517" s="2">
        <v>0.12</v>
      </c>
      <c r="K517" s="2">
        <v>4</v>
      </c>
      <c r="L517" s="2">
        <f>I517*J517*K517</f>
        <v>38.879999999999995</v>
      </c>
      <c r="M517" s="2">
        <v>26</v>
      </c>
      <c r="N517" s="2">
        <v>73.8</v>
      </c>
      <c r="O517" s="2">
        <f>M517*N517</f>
        <v>1918.8</v>
      </c>
      <c r="P517" s="2">
        <f>H517/C517*100000</f>
        <v>5.8438209313432834</v>
      </c>
      <c r="Q517" s="7">
        <f t="shared" si="46"/>
        <v>5.6763478168697539</v>
      </c>
      <c r="R517" s="2" t="s">
        <v>179</v>
      </c>
      <c r="S517" s="2" t="s">
        <v>158</v>
      </c>
      <c r="T517" s="2" t="s">
        <v>159</v>
      </c>
    </row>
    <row r="518" spans="1:20" x14ac:dyDescent="0.3">
      <c r="A518" s="2" t="s">
        <v>172</v>
      </c>
      <c r="B518" s="2" t="s">
        <v>87</v>
      </c>
      <c r="C518" s="2">
        <v>34203500</v>
      </c>
      <c r="D518" s="2">
        <v>2024</v>
      </c>
      <c r="E518" s="2" t="s">
        <v>22</v>
      </c>
      <c r="F518" s="4" t="s">
        <v>29</v>
      </c>
      <c r="G518" s="2">
        <v>9</v>
      </c>
      <c r="H518" s="2" t="s">
        <v>29</v>
      </c>
      <c r="I518" s="2" t="s">
        <v>29</v>
      </c>
      <c r="J518" s="2">
        <v>0.13300000000000001</v>
      </c>
      <c r="K518" s="2">
        <v>8</v>
      </c>
      <c r="L518" s="2" t="s">
        <v>29</v>
      </c>
      <c r="M518" s="2" t="s">
        <v>29</v>
      </c>
      <c r="N518" s="2">
        <v>73.8</v>
      </c>
      <c r="O518" s="2" t="s">
        <v>29</v>
      </c>
      <c r="P518" s="2" t="s">
        <v>29</v>
      </c>
      <c r="Q518" s="7" t="e">
        <f t="shared" si="46"/>
        <v>#VALUE!</v>
      </c>
      <c r="R518" s="2" t="s">
        <v>120</v>
      </c>
      <c r="S518" s="2" t="s">
        <v>28</v>
      </c>
      <c r="T518" s="2" t="s">
        <v>29</v>
      </c>
    </row>
    <row r="519" spans="1:20" x14ac:dyDescent="0.3">
      <c r="A519" s="2" t="s">
        <v>172</v>
      </c>
      <c r="B519" s="2" t="s">
        <v>87</v>
      </c>
      <c r="C519" s="2">
        <v>34203500</v>
      </c>
      <c r="D519" s="2">
        <v>2024</v>
      </c>
      <c r="E519" s="2" t="s">
        <v>26</v>
      </c>
      <c r="F519" s="4">
        <v>1.9999999999999999E-6</v>
      </c>
      <c r="G519" s="2">
        <v>7</v>
      </c>
      <c r="H519" s="2">
        <f>L519+O519+G519*F519</f>
        <v>45.486014000000004</v>
      </c>
      <c r="I519" s="2">
        <v>57</v>
      </c>
      <c r="J519" s="2">
        <v>0.13300000000000001</v>
      </c>
      <c r="K519" s="2">
        <v>6</v>
      </c>
      <c r="L519" s="2">
        <f>I519*J519*K519</f>
        <v>45.486000000000004</v>
      </c>
      <c r="M519" s="2">
        <v>0</v>
      </c>
      <c r="N519" s="2">
        <v>73.8</v>
      </c>
      <c r="O519" s="2">
        <f>M519*N519</f>
        <v>0</v>
      </c>
      <c r="P519" s="2">
        <f>H519/C519*100000</f>
        <v>0.13298643121317996</v>
      </c>
      <c r="Q519" s="7">
        <f t="shared" si="46"/>
        <v>0.13289804344432943</v>
      </c>
      <c r="R519" s="2" t="s">
        <v>173</v>
      </c>
      <c r="S519" s="2" t="s">
        <v>28</v>
      </c>
      <c r="T519" s="2" t="s">
        <v>150</v>
      </c>
    </row>
    <row r="520" spans="1:20" x14ac:dyDescent="0.3">
      <c r="A520" s="2" t="s">
        <v>172</v>
      </c>
      <c r="B520" s="2" t="s">
        <v>87</v>
      </c>
      <c r="C520" s="2">
        <v>34203500</v>
      </c>
      <c r="D520" s="2">
        <v>2024</v>
      </c>
      <c r="E520" s="2" t="s">
        <v>151</v>
      </c>
      <c r="F520" s="4">
        <v>6.0000000000000002E-6</v>
      </c>
      <c r="G520" s="2">
        <v>7</v>
      </c>
      <c r="H520" s="2">
        <f>L520+O520+G520*F520</f>
        <v>7425.9000419999993</v>
      </c>
      <c r="I520" s="2">
        <v>150</v>
      </c>
      <c r="J520" s="2">
        <v>0.13300000000000001</v>
      </c>
      <c r="K520" s="2">
        <v>6</v>
      </c>
      <c r="L520" s="2">
        <f>I520*J520*K520</f>
        <v>119.70000000000002</v>
      </c>
      <c r="M520" s="2">
        <v>99</v>
      </c>
      <c r="N520" s="2">
        <v>73.8</v>
      </c>
      <c r="O520" s="2">
        <f>M520*N520</f>
        <v>7306.2</v>
      </c>
      <c r="P520" s="2">
        <f>H520/C520*100000</f>
        <v>21.710936138114519</v>
      </c>
      <c r="Q520" s="7">
        <f t="shared" si="46"/>
        <v>19.515805413489673</v>
      </c>
      <c r="R520" s="2" t="s">
        <v>178</v>
      </c>
      <c r="S520" s="2" t="s">
        <v>28</v>
      </c>
      <c r="T520" s="2" t="s">
        <v>32</v>
      </c>
    </row>
    <row r="521" spans="1:20" x14ac:dyDescent="0.3">
      <c r="A521" s="2" t="s">
        <v>172</v>
      </c>
      <c r="B521" s="2" t="s">
        <v>87</v>
      </c>
      <c r="C521" s="2">
        <v>34203500</v>
      </c>
      <c r="D521" s="2">
        <v>2024</v>
      </c>
      <c r="E521" s="2" t="s">
        <v>33</v>
      </c>
      <c r="F521" s="4" t="s">
        <v>29</v>
      </c>
      <c r="G521" s="2">
        <v>8</v>
      </c>
      <c r="H521" s="2" t="s">
        <v>29</v>
      </c>
      <c r="I521" s="2" t="s">
        <v>29</v>
      </c>
      <c r="J521" s="2">
        <v>0.13300000000000001</v>
      </c>
      <c r="K521" s="2">
        <v>7</v>
      </c>
      <c r="L521" s="2" t="s">
        <v>29</v>
      </c>
      <c r="M521" s="2" t="s">
        <v>29</v>
      </c>
      <c r="N521" s="2">
        <v>73.8</v>
      </c>
      <c r="O521" s="2" t="s">
        <v>29</v>
      </c>
      <c r="P521" s="2" t="s">
        <v>29</v>
      </c>
      <c r="Q521" s="7" t="e">
        <f t="shared" si="46"/>
        <v>#VALUE!</v>
      </c>
      <c r="R521" s="2" t="s">
        <v>175</v>
      </c>
      <c r="S521" s="2" t="s">
        <v>35</v>
      </c>
      <c r="T521" s="2" t="s">
        <v>29</v>
      </c>
    </row>
    <row r="522" spans="1:20" x14ac:dyDescent="0.3">
      <c r="A522" s="2" t="s">
        <v>172</v>
      </c>
      <c r="B522" s="2" t="s">
        <v>87</v>
      </c>
      <c r="C522" s="2">
        <v>34203500</v>
      </c>
      <c r="D522" s="2">
        <v>2024</v>
      </c>
      <c r="E522" s="2" t="s">
        <v>37</v>
      </c>
      <c r="F522" s="4">
        <v>7.2000000000000002E-5</v>
      </c>
      <c r="G522" s="2">
        <v>6</v>
      </c>
      <c r="H522" s="2">
        <f>L522+O522+G522*F522</f>
        <v>1443.2004319999999</v>
      </c>
      <c r="I522" s="2">
        <v>2255</v>
      </c>
      <c r="J522" s="2">
        <v>0.128</v>
      </c>
      <c r="K522" s="2">
        <v>5</v>
      </c>
      <c r="L522" s="2">
        <f>I522*J522*K522</f>
        <v>1443.1999999999998</v>
      </c>
      <c r="M522" s="2">
        <v>0</v>
      </c>
      <c r="N522" s="2">
        <v>73.8</v>
      </c>
      <c r="O522" s="2">
        <f>M522*N522</f>
        <v>0</v>
      </c>
      <c r="P522" s="2">
        <f>H522/C522*100000</f>
        <v>4.2194524887803881</v>
      </c>
      <c r="Q522" s="7">
        <f t="shared" si="46"/>
        <v>4.1316725323392482</v>
      </c>
      <c r="R522" s="2" t="s">
        <v>176</v>
      </c>
      <c r="S522" s="2" t="s">
        <v>155</v>
      </c>
      <c r="T522" s="2" t="s">
        <v>156</v>
      </c>
    </row>
    <row r="523" spans="1:20" x14ac:dyDescent="0.3">
      <c r="A523" s="2" t="s">
        <v>172</v>
      </c>
      <c r="B523" s="2" t="s">
        <v>87</v>
      </c>
      <c r="C523" s="2">
        <v>34203500</v>
      </c>
      <c r="D523" s="2">
        <v>2024</v>
      </c>
      <c r="E523" s="2" t="s">
        <v>41</v>
      </c>
      <c r="F523" s="4">
        <v>0</v>
      </c>
      <c r="G523" s="2">
        <v>6</v>
      </c>
      <c r="H523" s="2">
        <f>L523+O523+G523*F523</f>
        <v>601.43999999999994</v>
      </c>
      <c r="I523" s="2">
        <v>23</v>
      </c>
      <c r="J523" s="2">
        <v>0.12</v>
      </c>
      <c r="K523" s="2">
        <v>4</v>
      </c>
      <c r="L523" s="2">
        <f>I523*J523*K523</f>
        <v>11.04</v>
      </c>
      <c r="M523" s="2">
        <v>8</v>
      </c>
      <c r="N523" s="2">
        <v>73.8</v>
      </c>
      <c r="O523" s="2">
        <f>M523*N523</f>
        <v>590.4</v>
      </c>
      <c r="P523" s="2">
        <f>H523/C523*100000</f>
        <v>1.7584165363193824</v>
      </c>
      <c r="Q523" s="7">
        <f t="shared" si="46"/>
        <v>1.743046613687238</v>
      </c>
      <c r="R523" s="2" t="s">
        <v>177</v>
      </c>
      <c r="S523" s="2" t="s">
        <v>158</v>
      </c>
      <c r="T523" s="2" t="s">
        <v>159</v>
      </c>
    </row>
    <row r="524" spans="1:20" x14ac:dyDescent="0.3">
      <c r="A524" s="2" t="s">
        <v>172</v>
      </c>
      <c r="B524" s="2" t="s">
        <v>87</v>
      </c>
      <c r="C524" s="2">
        <v>34921773</v>
      </c>
      <c r="D524" s="2">
        <v>2025</v>
      </c>
      <c r="E524" s="2" t="s">
        <v>22</v>
      </c>
      <c r="F524" s="4" t="s">
        <v>29</v>
      </c>
      <c r="G524" s="2">
        <v>9</v>
      </c>
      <c r="H524" s="2" t="s">
        <v>29</v>
      </c>
      <c r="I524" s="2" t="s">
        <v>29</v>
      </c>
      <c r="J524" s="2">
        <v>0.13300000000000001</v>
      </c>
      <c r="K524" s="2">
        <v>8</v>
      </c>
      <c r="L524" s="2" t="s">
        <v>29</v>
      </c>
      <c r="M524" s="2" t="s">
        <v>29</v>
      </c>
      <c r="N524" s="2">
        <v>73.8</v>
      </c>
      <c r="O524" s="2" t="s">
        <v>29</v>
      </c>
      <c r="P524" s="2" t="s">
        <v>29</v>
      </c>
      <c r="Q524" s="7" t="e">
        <f t="shared" si="46"/>
        <v>#VALUE!</v>
      </c>
      <c r="R524" s="2" t="s">
        <v>120</v>
      </c>
      <c r="S524" s="2" t="s">
        <v>28</v>
      </c>
      <c r="T524" s="2" t="s">
        <v>29</v>
      </c>
    </row>
    <row r="525" spans="1:20" x14ac:dyDescent="0.3">
      <c r="A525" s="2" t="s">
        <v>172</v>
      </c>
      <c r="B525" s="2" t="s">
        <v>87</v>
      </c>
      <c r="C525" s="2">
        <v>34921773</v>
      </c>
      <c r="D525" s="2">
        <v>2025</v>
      </c>
      <c r="E525" s="2" t="s">
        <v>26</v>
      </c>
      <c r="F525" s="4">
        <v>1.9999999999999999E-6</v>
      </c>
      <c r="G525" s="2">
        <v>7</v>
      </c>
      <c r="H525" s="2">
        <f>L525+O525+G525*F525</f>
        <v>42.294014000000004</v>
      </c>
      <c r="I525" s="2">
        <v>53</v>
      </c>
      <c r="J525" s="2">
        <v>0.13300000000000001</v>
      </c>
      <c r="K525" s="2">
        <v>6</v>
      </c>
      <c r="L525" s="2">
        <f>I525*J525*K525</f>
        <v>42.294000000000004</v>
      </c>
      <c r="M525" s="2">
        <v>0</v>
      </c>
      <c r="N525" s="2">
        <v>73.8</v>
      </c>
      <c r="O525" s="2">
        <f>M525*N525</f>
        <v>0</v>
      </c>
      <c r="P525" s="2">
        <f>H525/C525*100000</f>
        <v>0.12111072940082397</v>
      </c>
      <c r="Q525" s="7">
        <f t="shared" si="46"/>
        <v>0.12103741995512785</v>
      </c>
      <c r="R525" s="2" t="s">
        <v>173</v>
      </c>
      <c r="S525" s="2" t="s">
        <v>28</v>
      </c>
      <c r="T525" s="2" t="s">
        <v>150</v>
      </c>
    </row>
    <row r="526" spans="1:20" x14ac:dyDescent="0.3">
      <c r="A526" s="2" t="s">
        <v>172</v>
      </c>
      <c r="B526" s="2" t="s">
        <v>87</v>
      </c>
      <c r="C526" s="2">
        <v>34921773</v>
      </c>
      <c r="D526" s="2">
        <v>2025</v>
      </c>
      <c r="E526" s="2" t="s">
        <v>151</v>
      </c>
      <c r="F526" s="4">
        <v>5.0000000000000004E-6</v>
      </c>
      <c r="G526" s="2">
        <v>7</v>
      </c>
      <c r="H526" s="2">
        <f>L526+O526+G526*F526</f>
        <v>6961.5540350000001</v>
      </c>
      <c r="I526" s="2">
        <v>123</v>
      </c>
      <c r="J526" s="2">
        <v>0.13300000000000001</v>
      </c>
      <c r="K526" s="2">
        <v>6</v>
      </c>
      <c r="L526" s="2">
        <f>I526*J526*K526</f>
        <v>98.154000000000011</v>
      </c>
      <c r="M526" s="2">
        <v>93</v>
      </c>
      <c r="N526" s="2">
        <v>73.8</v>
      </c>
      <c r="O526" s="2">
        <f>M526*N526</f>
        <v>6863.4</v>
      </c>
      <c r="P526" s="2">
        <f>H526/C526*100000</f>
        <v>19.934709600798332</v>
      </c>
      <c r="Q526" s="7">
        <f t="shared" si="46"/>
        <v>18.073451980120623</v>
      </c>
      <c r="R526" s="2" t="s">
        <v>178</v>
      </c>
      <c r="S526" s="2" t="s">
        <v>28</v>
      </c>
      <c r="T526" s="2" t="s">
        <v>32</v>
      </c>
    </row>
    <row r="527" spans="1:20" x14ac:dyDescent="0.3">
      <c r="A527" s="2" t="s">
        <v>172</v>
      </c>
      <c r="B527" s="2" t="s">
        <v>87</v>
      </c>
      <c r="C527" s="2">
        <v>34921773</v>
      </c>
      <c r="D527" s="2">
        <v>2025</v>
      </c>
      <c r="E527" s="2" t="s">
        <v>33</v>
      </c>
      <c r="F527" s="4" t="s">
        <v>29</v>
      </c>
      <c r="G527" s="2">
        <v>8</v>
      </c>
      <c r="H527" s="2" t="s">
        <v>29</v>
      </c>
      <c r="I527" s="2" t="s">
        <v>29</v>
      </c>
      <c r="J527" s="2">
        <v>0.13300000000000001</v>
      </c>
      <c r="K527" s="2">
        <v>7</v>
      </c>
      <c r="L527" s="2" t="s">
        <v>29</v>
      </c>
      <c r="M527" s="2" t="s">
        <v>29</v>
      </c>
      <c r="N527" s="2">
        <v>73.8</v>
      </c>
      <c r="O527" s="2" t="s">
        <v>29</v>
      </c>
      <c r="P527" s="2" t="s">
        <v>29</v>
      </c>
      <c r="Q527" s="7" t="e">
        <f t="shared" si="46"/>
        <v>#VALUE!</v>
      </c>
      <c r="R527" s="2" t="s">
        <v>175</v>
      </c>
      <c r="S527" s="2" t="s">
        <v>35</v>
      </c>
      <c r="T527" s="2" t="s">
        <v>29</v>
      </c>
    </row>
    <row r="528" spans="1:20" x14ac:dyDescent="0.3">
      <c r="A528" s="2" t="s">
        <v>172</v>
      </c>
      <c r="B528" s="2" t="s">
        <v>87</v>
      </c>
      <c r="C528" s="2">
        <v>34921773</v>
      </c>
      <c r="D528" s="2">
        <v>2025</v>
      </c>
      <c r="E528" s="2" t="s">
        <v>37</v>
      </c>
      <c r="F528" s="4">
        <v>7.2000000000000002E-5</v>
      </c>
      <c r="G528" s="2">
        <v>6</v>
      </c>
      <c r="H528" s="2">
        <f t="shared" ref="H528:H559" si="47">L528+O528+G528*F528</f>
        <v>1692.800432</v>
      </c>
      <c r="I528" s="2">
        <v>2645</v>
      </c>
      <c r="J528" s="2">
        <v>0.128</v>
      </c>
      <c r="K528" s="2">
        <v>5</v>
      </c>
      <c r="L528" s="2">
        <f t="shared" ref="L528:L559" si="48">I528*J528*K528</f>
        <v>1692.8</v>
      </c>
      <c r="M528" s="2">
        <v>0</v>
      </c>
      <c r="N528" s="2">
        <v>73.8</v>
      </c>
      <c r="O528" s="2">
        <f t="shared" ref="O528:O559" si="49">M528*N528</f>
        <v>0</v>
      </c>
      <c r="P528" s="2">
        <f t="shared" ref="P528:P559" si="50">H528/C528*100000</f>
        <v>4.8474068942604944</v>
      </c>
      <c r="Q528" s="7">
        <f t="shared" si="46"/>
        <v>4.7317956961726138</v>
      </c>
      <c r="R528" s="2" t="s">
        <v>176</v>
      </c>
      <c r="S528" s="2" t="s">
        <v>155</v>
      </c>
      <c r="T528" s="2" t="s">
        <v>156</v>
      </c>
    </row>
    <row r="529" spans="1:20" x14ac:dyDescent="0.3">
      <c r="A529" s="2" t="s">
        <v>172</v>
      </c>
      <c r="B529" s="2" t="s">
        <v>87</v>
      </c>
      <c r="C529" s="2">
        <v>34921773</v>
      </c>
      <c r="D529" s="2">
        <v>2025</v>
      </c>
      <c r="E529" s="2" t="s">
        <v>41</v>
      </c>
      <c r="F529" s="4">
        <v>0</v>
      </c>
      <c r="G529" s="2">
        <v>6</v>
      </c>
      <c r="H529" s="2">
        <f t="shared" si="47"/>
        <v>601.91999999999996</v>
      </c>
      <c r="I529" s="2">
        <v>24</v>
      </c>
      <c r="J529" s="2">
        <v>0.12</v>
      </c>
      <c r="K529" s="2">
        <v>4</v>
      </c>
      <c r="L529" s="2">
        <f t="shared" si="48"/>
        <v>11.52</v>
      </c>
      <c r="M529" s="2">
        <v>8</v>
      </c>
      <c r="N529" s="2">
        <v>73.8</v>
      </c>
      <c r="O529" s="2">
        <f t="shared" si="49"/>
        <v>590.4</v>
      </c>
      <c r="P529" s="2">
        <f t="shared" si="50"/>
        <v>1.7236238263160351</v>
      </c>
      <c r="Q529" s="7">
        <f t="shared" si="46"/>
        <v>1.7088544089850277</v>
      </c>
      <c r="R529" s="2" t="s">
        <v>177</v>
      </c>
      <c r="S529" s="2" t="s">
        <v>158</v>
      </c>
      <c r="T529" s="2" t="s">
        <v>159</v>
      </c>
    </row>
    <row r="530" spans="1:20" x14ac:dyDescent="0.3">
      <c r="A530" s="2" t="s">
        <v>180</v>
      </c>
      <c r="B530" s="2" t="s">
        <v>181</v>
      </c>
      <c r="C530" s="2">
        <v>255804853</v>
      </c>
      <c r="D530" s="2">
        <v>2015</v>
      </c>
      <c r="E530" s="2" t="s">
        <v>22</v>
      </c>
      <c r="F530" s="4">
        <v>2.9999999999999999E-7</v>
      </c>
      <c r="G530" s="2">
        <v>9</v>
      </c>
      <c r="H530" s="2">
        <f t="shared" si="47"/>
        <v>2058.5680026999999</v>
      </c>
      <c r="I530" s="2">
        <v>62</v>
      </c>
      <c r="J530" s="2">
        <v>0.13300000000000001</v>
      </c>
      <c r="K530" s="2">
        <v>8</v>
      </c>
      <c r="L530" s="2">
        <f t="shared" si="48"/>
        <v>65.968000000000004</v>
      </c>
      <c r="M530" s="2">
        <v>27</v>
      </c>
      <c r="N530" s="2">
        <v>73.8</v>
      </c>
      <c r="O530" s="2">
        <f t="shared" si="49"/>
        <v>1992.6</v>
      </c>
      <c r="P530" s="2">
        <f t="shared" si="50"/>
        <v>0.80474157489889375</v>
      </c>
      <c r="Q530" s="7">
        <f t="shared" si="46"/>
        <v>0.80151219840504107</v>
      </c>
      <c r="R530" s="2" t="s">
        <v>182</v>
      </c>
      <c r="S530" s="2" t="s">
        <v>28</v>
      </c>
      <c r="T530" s="2" t="s">
        <v>163</v>
      </c>
    </row>
    <row r="531" spans="1:20" x14ac:dyDescent="0.3">
      <c r="A531" s="2" t="s">
        <v>180</v>
      </c>
      <c r="B531" s="2" t="s">
        <v>181</v>
      </c>
      <c r="C531" s="2">
        <v>255804853</v>
      </c>
      <c r="D531" s="2">
        <v>2015</v>
      </c>
      <c r="E531" s="2" t="s">
        <v>26</v>
      </c>
      <c r="F531" s="4">
        <v>5.9999999999999997E-7</v>
      </c>
      <c r="G531" s="2">
        <v>7</v>
      </c>
      <c r="H531" s="2">
        <f t="shared" si="47"/>
        <v>353.07000419999997</v>
      </c>
      <c r="I531" s="2">
        <v>165</v>
      </c>
      <c r="J531" s="2">
        <v>0.13300000000000001</v>
      </c>
      <c r="K531" s="2">
        <v>6</v>
      </c>
      <c r="L531" s="2">
        <f t="shared" si="48"/>
        <v>131.67000000000002</v>
      </c>
      <c r="M531" s="2">
        <v>3</v>
      </c>
      <c r="N531" s="2">
        <v>73.8</v>
      </c>
      <c r="O531" s="2">
        <f t="shared" si="49"/>
        <v>221.39999999999998</v>
      </c>
      <c r="P531" s="2">
        <f t="shared" si="50"/>
        <v>0.138023184493689</v>
      </c>
      <c r="Q531" s="7">
        <f t="shared" si="46"/>
        <v>0.13792797630456377</v>
      </c>
      <c r="R531" s="2" t="s">
        <v>183</v>
      </c>
      <c r="S531" s="2" t="s">
        <v>28</v>
      </c>
      <c r="T531" s="2" t="s">
        <v>150</v>
      </c>
    </row>
    <row r="532" spans="1:20" x14ac:dyDescent="0.3">
      <c r="A532" s="2" t="s">
        <v>180</v>
      </c>
      <c r="B532" s="2" t="s">
        <v>181</v>
      </c>
      <c r="C532" s="2">
        <v>255804853</v>
      </c>
      <c r="D532" s="2">
        <v>2015</v>
      </c>
      <c r="E532" s="2" t="s">
        <v>151</v>
      </c>
      <c r="F532" s="4">
        <v>1.3999999999999999E-6</v>
      </c>
      <c r="G532" s="2">
        <v>7</v>
      </c>
      <c r="H532" s="2">
        <f t="shared" si="47"/>
        <v>4384.5840097999999</v>
      </c>
      <c r="I532" s="2">
        <v>408</v>
      </c>
      <c r="J532" s="2">
        <v>0.13300000000000001</v>
      </c>
      <c r="K532" s="2">
        <v>6</v>
      </c>
      <c r="L532" s="2">
        <f t="shared" si="48"/>
        <v>325.584</v>
      </c>
      <c r="M532" s="2">
        <v>55</v>
      </c>
      <c r="N532" s="2">
        <v>73.8</v>
      </c>
      <c r="O532" s="2">
        <f t="shared" si="49"/>
        <v>4059</v>
      </c>
      <c r="P532" s="2">
        <f t="shared" si="50"/>
        <v>1.7140347254475268</v>
      </c>
      <c r="Q532" s="7">
        <f t="shared" si="46"/>
        <v>1.6994287199773028</v>
      </c>
      <c r="R532" s="2" t="s">
        <v>184</v>
      </c>
      <c r="S532" s="2" t="s">
        <v>28</v>
      </c>
      <c r="T532" s="2" t="s">
        <v>32</v>
      </c>
    </row>
    <row r="533" spans="1:20" x14ac:dyDescent="0.3">
      <c r="A533" s="2" t="s">
        <v>180</v>
      </c>
      <c r="B533" s="2" t="s">
        <v>181</v>
      </c>
      <c r="C533" s="2">
        <v>255804853</v>
      </c>
      <c r="D533" s="2">
        <v>2015</v>
      </c>
      <c r="E533" s="2" t="s">
        <v>33</v>
      </c>
      <c r="F533" s="4">
        <v>0</v>
      </c>
      <c r="G533" s="2">
        <v>8</v>
      </c>
      <c r="H533" s="2">
        <f t="shared" si="47"/>
        <v>454.90299999999996</v>
      </c>
      <c r="I533" s="2">
        <v>13</v>
      </c>
      <c r="J533" s="2">
        <v>0.13300000000000001</v>
      </c>
      <c r="K533" s="2">
        <v>7</v>
      </c>
      <c r="L533" s="2">
        <f t="shared" si="48"/>
        <v>12.103000000000002</v>
      </c>
      <c r="M533" s="2">
        <v>6</v>
      </c>
      <c r="N533" s="2">
        <v>73.8</v>
      </c>
      <c r="O533" s="2">
        <f t="shared" si="49"/>
        <v>442.79999999999995</v>
      </c>
      <c r="P533" s="2">
        <f t="shared" si="50"/>
        <v>0.17783204449213477</v>
      </c>
      <c r="Q533" s="7">
        <f t="shared" si="46"/>
        <v>0.1776740170002844</v>
      </c>
      <c r="R533" s="2" t="s">
        <v>185</v>
      </c>
      <c r="S533" s="2" t="s">
        <v>35</v>
      </c>
      <c r="T533" s="2" t="s">
        <v>28</v>
      </c>
    </row>
    <row r="534" spans="1:20" x14ac:dyDescent="0.3">
      <c r="A534" s="2" t="s">
        <v>180</v>
      </c>
      <c r="B534" s="2" t="s">
        <v>181</v>
      </c>
      <c r="C534" s="2">
        <v>255804853</v>
      </c>
      <c r="D534" s="2">
        <v>2015</v>
      </c>
      <c r="E534" s="2" t="s">
        <v>37</v>
      </c>
      <c r="F534" s="4">
        <v>6.3700000000000003E-5</v>
      </c>
      <c r="G534" s="2">
        <v>6</v>
      </c>
      <c r="H534" s="2">
        <f t="shared" si="47"/>
        <v>10282.2403822</v>
      </c>
      <c r="I534" s="2">
        <v>16066</v>
      </c>
      <c r="J534" s="2">
        <v>0.128</v>
      </c>
      <c r="K534" s="2">
        <v>5</v>
      </c>
      <c r="L534" s="2">
        <f t="shared" si="48"/>
        <v>10282.24</v>
      </c>
      <c r="M534" s="2">
        <v>0</v>
      </c>
      <c r="N534" s="2">
        <v>73.8</v>
      </c>
      <c r="O534" s="2">
        <f t="shared" si="49"/>
        <v>0</v>
      </c>
      <c r="P534" s="2">
        <f t="shared" si="50"/>
        <v>4.0195642348505407</v>
      </c>
      <c r="Q534" s="7">
        <f t="shared" si="46"/>
        <v>3.9398513563616899</v>
      </c>
      <c r="R534" s="2" t="s">
        <v>186</v>
      </c>
      <c r="S534" s="2" t="s">
        <v>155</v>
      </c>
      <c r="T534" s="2" t="s">
        <v>156</v>
      </c>
    </row>
    <row r="535" spans="1:20" x14ac:dyDescent="0.3">
      <c r="A535" s="2" t="s">
        <v>180</v>
      </c>
      <c r="B535" s="2" t="s">
        <v>181</v>
      </c>
      <c r="C535" s="2">
        <v>255804853</v>
      </c>
      <c r="D535" s="2">
        <v>2015</v>
      </c>
      <c r="E535" s="2" t="s">
        <v>41</v>
      </c>
      <c r="F535" s="4">
        <v>1.9999999999999999E-6</v>
      </c>
      <c r="G535" s="2">
        <v>6</v>
      </c>
      <c r="H535" s="2">
        <f t="shared" si="47"/>
        <v>9108.480012</v>
      </c>
      <c r="I535" s="2">
        <v>526</v>
      </c>
      <c r="J535" s="2">
        <v>0.12</v>
      </c>
      <c r="K535" s="2">
        <v>4</v>
      </c>
      <c r="L535" s="2">
        <f t="shared" si="48"/>
        <v>252.48</v>
      </c>
      <c r="M535" s="2">
        <v>120</v>
      </c>
      <c r="N535" s="2">
        <v>73.8</v>
      </c>
      <c r="O535" s="2">
        <f t="shared" si="49"/>
        <v>8856</v>
      </c>
      <c r="P535" s="2">
        <f t="shared" si="50"/>
        <v>3.5607143121713958</v>
      </c>
      <c r="Q535" s="7">
        <f t="shared" si="46"/>
        <v>3.4980666493145018</v>
      </c>
      <c r="R535" s="2" t="s">
        <v>187</v>
      </c>
      <c r="S535" s="2" t="s">
        <v>158</v>
      </c>
      <c r="T535" s="2" t="s">
        <v>159</v>
      </c>
    </row>
    <row r="536" spans="1:20" x14ac:dyDescent="0.3">
      <c r="A536" s="2" t="s">
        <v>180</v>
      </c>
      <c r="B536" s="2" t="s">
        <v>181</v>
      </c>
      <c r="C536" s="2">
        <v>258362901</v>
      </c>
      <c r="D536" s="2">
        <v>2016</v>
      </c>
      <c r="E536" s="2" t="s">
        <v>22</v>
      </c>
      <c r="F536" s="4">
        <v>1.9999999999999999E-7</v>
      </c>
      <c r="G536" s="2">
        <v>9</v>
      </c>
      <c r="H536" s="2">
        <f t="shared" si="47"/>
        <v>2135.5600018</v>
      </c>
      <c r="I536" s="2">
        <v>65</v>
      </c>
      <c r="J536" s="2">
        <v>0.13300000000000001</v>
      </c>
      <c r="K536" s="2">
        <v>8</v>
      </c>
      <c r="L536" s="2">
        <f t="shared" si="48"/>
        <v>69.16</v>
      </c>
      <c r="M536" s="2">
        <v>28</v>
      </c>
      <c r="N536" s="2">
        <v>73.8</v>
      </c>
      <c r="O536" s="2">
        <f t="shared" si="49"/>
        <v>2066.4</v>
      </c>
      <c r="P536" s="2">
        <f t="shared" si="50"/>
        <v>0.82657378189138697</v>
      </c>
      <c r="Q536" s="7">
        <f t="shared" si="46"/>
        <v>0.82316705364289255</v>
      </c>
      <c r="R536" s="2" t="s">
        <v>182</v>
      </c>
      <c r="S536" s="2" t="s">
        <v>28</v>
      </c>
      <c r="T536" s="2" t="s">
        <v>163</v>
      </c>
    </row>
    <row r="537" spans="1:20" x14ac:dyDescent="0.3">
      <c r="A537" s="2" t="s">
        <v>180</v>
      </c>
      <c r="B537" s="2" t="s">
        <v>181</v>
      </c>
      <c r="C537" s="2">
        <v>258362901</v>
      </c>
      <c r="D537" s="2">
        <v>2016</v>
      </c>
      <c r="E537" s="2" t="s">
        <v>26</v>
      </c>
      <c r="F537" s="4">
        <v>5.9999999999999997E-7</v>
      </c>
      <c r="G537" s="2">
        <v>7</v>
      </c>
      <c r="H537" s="2">
        <f t="shared" si="47"/>
        <v>349.08000419999996</v>
      </c>
      <c r="I537" s="2">
        <v>160</v>
      </c>
      <c r="J537" s="2">
        <v>0.13300000000000001</v>
      </c>
      <c r="K537" s="2">
        <v>6</v>
      </c>
      <c r="L537" s="2">
        <f t="shared" si="48"/>
        <v>127.68</v>
      </c>
      <c r="M537" s="2">
        <v>3</v>
      </c>
      <c r="N537" s="2">
        <v>73.8</v>
      </c>
      <c r="O537" s="2">
        <f t="shared" si="49"/>
        <v>221.39999999999998</v>
      </c>
      <c r="P537" s="2">
        <f t="shared" si="50"/>
        <v>0.13511227921999527</v>
      </c>
      <c r="Q537" s="7">
        <f t="shared" si="46"/>
        <v>0.13502104367478784</v>
      </c>
      <c r="R537" s="2" t="s">
        <v>183</v>
      </c>
      <c r="S537" s="2" t="s">
        <v>28</v>
      </c>
      <c r="T537" s="2" t="s">
        <v>150</v>
      </c>
    </row>
    <row r="538" spans="1:20" x14ac:dyDescent="0.3">
      <c r="A538" s="2" t="s">
        <v>180</v>
      </c>
      <c r="B538" s="2" t="s">
        <v>181</v>
      </c>
      <c r="C538" s="2">
        <v>258362901</v>
      </c>
      <c r="D538" s="2">
        <v>2016</v>
      </c>
      <c r="E538" s="2" t="s">
        <v>151</v>
      </c>
      <c r="F538" s="4">
        <v>1.7E-6</v>
      </c>
      <c r="G538" s="2">
        <v>7</v>
      </c>
      <c r="H538" s="2">
        <f t="shared" si="47"/>
        <v>4387.7760118999995</v>
      </c>
      <c r="I538" s="2">
        <v>412</v>
      </c>
      <c r="J538" s="2">
        <v>0.13300000000000001</v>
      </c>
      <c r="K538" s="2">
        <v>6</v>
      </c>
      <c r="L538" s="2">
        <f t="shared" si="48"/>
        <v>328.77600000000007</v>
      </c>
      <c r="M538" s="2">
        <v>55</v>
      </c>
      <c r="N538" s="2">
        <v>73.8</v>
      </c>
      <c r="O538" s="2">
        <f t="shared" si="49"/>
        <v>4059</v>
      </c>
      <c r="P538" s="2">
        <f t="shared" si="50"/>
        <v>1.6982995603923798</v>
      </c>
      <c r="Q538" s="7">
        <f t="shared" si="46"/>
        <v>1.6839597458338518</v>
      </c>
      <c r="R538" s="2" t="s">
        <v>184</v>
      </c>
      <c r="S538" s="2" t="s">
        <v>28</v>
      </c>
      <c r="T538" s="2" t="s">
        <v>32</v>
      </c>
    </row>
    <row r="539" spans="1:20" x14ac:dyDescent="0.3">
      <c r="A539" s="2" t="s">
        <v>180</v>
      </c>
      <c r="B539" s="2" t="s">
        <v>181</v>
      </c>
      <c r="C539" s="2">
        <v>258362901</v>
      </c>
      <c r="D539" s="2">
        <v>2016</v>
      </c>
      <c r="E539" s="2" t="s">
        <v>33</v>
      </c>
      <c r="F539" s="4">
        <v>0</v>
      </c>
      <c r="G539" s="2">
        <v>8</v>
      </c>
      <c r="H539" s="2">
        <f t="shared" si="47"/>
        <v>531.49599999999998</v>
      </c>
      <c r="I539" s="2">
        <v>16</v>
      </c>
      <c r="J539" s="2">
        <v>0.13300000000000001</v>
      </c>
      <c r="K539" s="2">
        <v>7</v>
      </c>
      <c r="L539" s="2">
        <f t="shared" si="48"/>
        <v>14.896000000000001</v>
      </c>
      <c r="M539" s="2">
        <v>7</v>
      </c>
      <c r="N539" s="2">
        <v>73.8</v>
      </c>
      <c r="O539" s="2">
        <f t="shared" si="49"/>
        <v>516.6</v>
      </c>
      <c r="P539" s="2">
        <f t="shared" si="50"/>
        <v>0.20571684167611973</v>
      </c>
      <c r="Q539" s="7">
        <f t="shared" si="46"/>
        <v>0.20550538960373288</v>
      </c>
      <c r="R539" s="2" t="s">
        <v>185</v>
      </c>
      <c r="S539" s="2" t="s">
        <v>35</v>
      </c>
      <c r="T539" s="2" t="s">
        <v>28</v>
      </c>
    </row>
    <row r="540" spans="1:20" x14ac:dyDescent="0.3">
      <c r="A540" s="2" t="s">
        <v>180</v>
      </c>
      <c r="B540" s="2" t="s">
        <v>181</v>
      </c>
      <c r="C540" s="2">
        <v>258362901</v>
      </c>
      <c r="D540" s="2">
        <v>2016</v>
      </c>
      <c r="E540" s="2" t="s">
        <v>37</v>
      </c>
      <c r="F540" s="4">
        <v>6.3399999999999996E-5</v>
      </c>
      <c r="G540" s="2">
        <v>6</v>
      </c>
      <c r="H540" s="2">
        <f t="shared" si="47"/>
        <v>10316.160380400001</v>
      </c>
      <c r="I540" s="2">
        <v>16119</v>
      </c>
      <c r="J540" s="2">
        <v>0.128</v>
      </c>
      <c r="K540" s="2">
        <v>5</v>
      </c>
      <c r="L540" s="2">
        <f t="shared" si="48"/>
        <v>10316.16</v>
      </c>
      <c r="M540" s="2">
        <v>0</v>
      </c>
      <c r="N540" s="2">
        <v>73.8</v>
      </c>
      <c r="O540" s="2">
        <f t="shared" si="49"/>
        <v>0</v>
      </c>
      <c r="P540" s="2">
        <f t="shared" si="50"/>
        <v>3.992895396541472</v>
      </c>
      <c r="Q540" s="7">
        <f t="shared" si="46"/>
        <v>3.9142298143085119</v>
      </c>
      <c r="R540" s="2" t="s">
        <v>186</v>
      </c>
      <c r="S540" s="2" t="s">
        <v>155</v>
      </c>
      <c r="T540" s="2" t="s">
        <v>156</v>
      </c>
    </row>
    <row r="541" spans="1:20" x14ac:dyDescent="0.3">
      <c r="A541" s="2" t="s">
        <v>180</v>
      </c>
      <c r="B541" s="2" t="s">
        <v>181</v>
      </c>
      <c r="C541" s="2">
        <v>258362901</v>
      </c>
      <c r="D541" s="2">
        <v>2016</v>
      </c>
      <c r="E541" s="2" t="s">
        <v>41</v>
      </c>
      <c r="F541" s="4">
        <v>1.9999999999999999E-6</v>
      </c>
      <c r="G541" s="2">
        <v>6</v>
      </c>
      <c r="H541" s="2">
        <f t="shared" si="47"/>
        <v>9060.0000120000004</v>
      </c>
      <c r="I541" s="2">
        <v>425</v>
      </c>
      <c r="J541" s="2">
        <v>0.12</v>
      </c>
      <c r="K541" s="2">
        <v>4</v>
      </c>
      <c r="L541" s="2">
        <f t="shared" si="48"/>
        <v>204</v>
      </c>
      <c r="M541" s="2">
        <v>120</v>
      </c>
      <c r="N541" s="2">
        <v>73.8</v>
      </c>
      <c r="O541" s="2">
        <f t="shared" si="49"/>
        <v>8856</v>
      </c>
      <c r="P541" s="2">
        <f t="shared" si="50"/>
        <v>3.5066954183178183</v>
      </c>
      <c r="Q541" s="7">
        <f t="shared" si="46"/>
        <v>3.4459232900061587</v>
      </c>
      <c r="R541" s="2" t="s">
        <v>187</v>
      </c>
      <c r="S541" s="2" t="s">
        <v>158</v>
      </c>
      <c r="T541" s="2" t="s">
        <v>159</v>
      </c>
    </row>
    <row r="542" spans="1:20" x14ac:dyDescent="0.3">
      <c r="A542" s="2" t="s">
        <v>180</v>
      </c>
      <c r="B542" s="2" t="s">
        <v>181</v>
      </c>
      <c r="C542" s="2">
        <v>260946530</v>
      </c>
      <c r="D542" s="2">
        <v>2017</v>
      </c>
      <c r="E542" s="2" t="s">
        <v>22</v>
      </c>
      <c r="F542" s="4">
        <v>2.9999999999999999E-7</v>
      </c>
      <c r="G542" s="2">
        <v>9</v>
      </c>
      <c r="H542" s="2">
        <f t="shared" si="47"/>
        <v>2218.9360026999998</v>
      </c>
      <c r="I542" s="2">
        <v>74</v>
      </c>
      <c r="J542" s="2">
        <v>0.13300000000000001</v>
      </c>
      <c r="K542" s="2">
        <v>8</v>
      </c>
      <c r="L542" s="2">
        <f t="shared" si="48"/>
        <v>78.736000000000004</v>
      </c>
      <c r="M542" s="2">
        <v>29</v>
      </c>
      <c r="N542" s="2">
        <v>73.8</v>
      </c>
      <c r="O542" s="2">
        <f t="shared" si="49"/>
        <v>2140.1999999999998</v>
      </c>
      <c r="P542" s="2">
        <f t="shared" si="50"/>
        <v>0.85034125677011296</v>
      </c>
      <c r="Q542" s="7">
        <f t="shared" si="46"/>
        <v>0.84673608150659385</v>
      </c>
      <c r="R542" s="2" t="s">
        <v>182</v>
      </c>
      <c r="S542" s="2" t="s">
        <v>28</v>
      </c>
      <c r="T542" s="2" t="s">
        <v>163</v>
      </c>
    </row>
    <row r="543" spans="1:20" x14ac:dyDescent="0.3">
      <c r="A543" s="2" t="s">
        <v>180</v>
      </c>
      <c r="B543" s="2" t="s">
        <v>181</v>
      </c>
      <c r="C543" s="2">
        <v>260946530</v>
      </c>
      <c r="D543" s="2">
        <v>2017</v>
      </c>
      <c r="E543" s="2" t="s">
        <v>26</v>
      </c>
      <c r="F543" s="4">
        <v>5.9999999999999997E-7</v>
      </c>
      <c r="G543" s="2">
        <v>7</v>
      </c>
      <c r="H543" s="2">
        <f t="shared" si="47"/>
        <v>349.87800419999996</v>
      </c>
      <c r="I543" s="2">
        <v>161</v>
      </c>
      <c r="J543" s="2">
        <v>0.13300000000000001</v>
      </c>
      <c r="K543" s="2">
        <v>6</v>
      </c>
      <c r="L543" s="2">
        <f t="shared" si="48"/>
        <v>128.47800000000001</v>
      </c>
      <c r="M543" s="2">
        <v>3</v>
      </c>
      <c r="N543" s="2">
        <v>73.8</v>
      </c>
      <c r="O543" s="2">
        <f t="shared" si="49"/>
        <v>221.39999999999998</v>
      </c>
      <c r="P543" s="2">
        <f t="shared" si="50"/>
        <v>0.13408034366274194</v>
      </c>
      <c r="Q543" s="7">
        <f t="shared" si="46"/>
        <v>0.13399049613040948</v>
      </c>
      <c r="R543" s="2" t="s">
        <v>183</v>
      </c>
      <c r="S543" s="2" t="s">
        <v>28</v>
      </c>
      <c r="T543" s="2" t="s">
        <v>150</v>
      </c>
    </row>
    <row r="544" spans="1:20" x14ac:dyDescent="0.3">
      <c r="A544" s="2" t="s">
        <v>180</v>
      </c>
      <c r="B544" s="2" t="s">
        <v>181</v>
      </c>
      <c r="C544" s="2">
        <v>260946530</v>
      </c>
      <c r="D544" s="2">
        <v>2017</v>
      </c>
      <c r="E544" s="2" t="s">
        <v>151</v>
      </c>
      <c r="F544" s="4">
        <v>1.3999999999999999E-6</v>
      </c>
      <c r="G544" s="2">
        <v>7</v>
      </c>
      <c r="H544" s="2">
        <f t="shared" si="47"/>
        <v>5024.8440098000001</v>
      </c>
      <c r="I544" s="2">
        <v>378</v>
      </c>
      <c r="J544" s="2">
        <v>0.13300000000000001</v>
      </c>
      <c r="K544" s="2">
        <v>6</v>
      </c>
      <c r="L544" s="2">
        <f t="shared" si="48"/>
        <v>301.64400000000001</v>
      </c>
      <c r="M544" s="2">
        <v>64</v>
      </c>
      <c r="N544" s="2">
        <v>73.8</v>
      </c>
      <c r="O544" s="2">
        <f t="shared" si="49"/>
        <v>4723.2</v>
      </c>
      <c r="P544" s="2">
        <f t="shared" si="50"/>
        <v>1.9256220842637763</v>
      </c>
      <c r="Q544" s="7">
        <f t="shared" si="46"/>
        <v>1.9072004156136191</v>
      </c>
      <c r="R544" s="2" t="s">
        <v>184</v>
      </c>
      <c r="S544" s="2" t="s">
        <v>28</v>
      </c>
      <c r="T544" s="2" t="s">
        <v>32</v>
      </c>
    </row>
    <row r="545" spans="1:20" x14ac:dyDescent="0.3">
      <c r="A545" s="2" t="s">
        <v>180</v>
      </c>
      <c r="B545" s="2" t="s">
        <v>181</v>
      </c>
      <c r="C545" s="2">
        <v>260946530</v>
      </c>
      <c r="D545" s="2">
        <v>2017</v>
      </c>
      <c r="E545" s="2" t="s">
        <v>33</v>
      </c>
      <c r="F545" s="4">
        <v>0</v>
      </c>
      <c r="G545" s="2">
        <v>8</v>
      </c>
      <c r="H545" s="2">
        <f t="shared" si="47"/>
        <v>530.56500000000005</v>
      </c>
      <c r="I545" s="2">
        <v>15</v>
      </c>
      <c r="J545" s="2">
        <v>0.13300000000000001</v>
      </c>
      <c r="K545" s="2">
        <v>7</v>
      </c>
      <c r="L545" s="2">
        <f t="shared" si="48"/>
        <v>13.965</v>
      </c>
      <c r="M545" s="2">
        <v>7</v>
      </c>
      <c r="N545" s="2">
        <v>73.8</v>
      </c>
      <c r="O545" s="2">
        <f t="shared" si="49"/>
        <v>516.6</v>
      </c>
      <c r="P545" s="2">
        <f t="shared" si="50"/>
        <v>0.20332326319878638</v>
      </c>
      <c r="Q545" s="7">
        <f t="shared" si="46"/>
        <v>0.20311670147172833</v>
      </c>
      <c r="R545" s="2" t="s">
        <v>185</v>
      </c>
      <c r="S545" s="2" t="s">
        <v>35</v>
      </c>
      <c r="T545" s="2" t="s">
        <v>28</v>
      </c>
    </row>
    <row r="546" spans="1:20" x14ac:dyDescent="0.3">
      <c r="A546" s="2" t="s">
        <v>180</v>
      </c>
      <c r="B546" s="2" t="s">
        <v>181</v>
      </c>
      <c r="C546" s="2">
        <v>260946530</v>
      </c>
      <c r="D546" s="2">
        <v>2017</v>
      </c>
      <c r="E546" s="2" t="s">
        <v>37</v>
      </c>
      <c r="F546" s="4">
        <v>6.19E-5</v>
      </c>
      <c r="G546" s="2">
        <v>6</v>
      </c>
      <c r="H546" s="2">
        <f t="shared" si="47"/>
        <v>8960.6403713999989</v>
      </c>
      <c r="I546" s="2">
        <v>14001</v>
      </c>
      <c r="J546" s="2">
        <v>0.128</v>
      </c>
      <c r="K546" s="2">
        <v>5</v>
      </c>
      <c r="L546" s="2">
        <f t="shared" si="48"/>
        <v>8960.64</v>
      </c>
      <c r="M546" s="2">
        <v>0</v>
      </c>
      <c r="N546" s="2">
        <v>73.8</v>
      </c>
      <c r="O546" s="2">
        <f t="shared" si="49"/>
        <v>0</v>
      </c>
      <c r="P546" s="2">
        <f t="shared" si="50"/>
        <v>3.4338990334150061</v>
      </c>
      <c r="Q546" s="7">
        <f t="shared" si="46"/>
        <v>3.375609822959047</v>
      </c>
      <c r="R546" s="2" t="s">
        <v>186</v>
      </c>
      <c r="S546" s="2" t="s">
        <v>155</v>
      </c>
      <c r="T546" s="2" t="s">
        <v>156</v>
      </c>
    </row>
    <row r="547" spans="1:20" x14ac:dyDescent="0.3">
      <c r="A547" s="2" t="s">
        <v>180</v>
      </c>
      <c r="B547" s="2" t="s">
        <v>181</v>
      </c>
      <c r="C547" s="2">
        <v>260946530</v>
      </c>
      <c r="D547" s="2">
        <v>2017</v>
      </c>
      <c r="E547" s="2" t="s">
        <v>41</v>
      </c>
      <c r="F547" s="4">
        <v>1.9999999999999999E-6</v>
      </c>
      <c r="G547" s="2">
        <v>6</v>
      </c>
      <c r="H547" s="2">
        <f t="shared" si="47"/>
        <v>9084.0000120000004</v>
      </c>
      <c r="I547" s="2">
        <v>475</v>
      </c>
      <c r="J547" s="2">
        <v>0.12</v>
      </c>
      <c r="K547" s="2">
        <v>4</v>
      </c>
      <c r="L547" s="2">
        <f t="shared" si="48"/>
        <v>228</v>
      </c>
      <c r="M547" s="2">
        <v>120</v>
      </c>
      <c r="N547" s="2">
        <v>73.8</v>
      </c>
      <c r="O547" s="2">
        <f t="shared" si="49"/>
        <v>8856</v>
      </c>
      <c r="P547" s="2">
        <f t="shared" si="50"/>
        <v>3.4811729483430951</v>
      </c>
      <c r="Q547" s="7">
        <f t="shared" si="46"/>
        <v>3.4212771597516678</v>
      </c>
      <c r="R547" s="2" t="s">
        <v>187</v>
      </c>
      <c r="S547" s="2" t="s">
        <v>158</v>
      </c>
      <c r="T547" s="2" t="s">
        <v>159</v>
      </c>
    </row>
    <row r="548" spans="1:20" x14ac:dyDescent="0.3">
      <c r="A548" s="2" t="s">
        <v>180</v>
      </c>
      <c r="B548" s="2" t="s">
        <v>181</v>
      </c>
      <c r="C548" s="2">
        <v>263555995</v>
      </c>
      <c r="D548" s="2">
        <v>2018</v>
      </c>
      <c r="E548" s="2" t="s">
        <v>22</v>
      </c>
      <c r="F548" s="4">
        <v>1.9999999999999999E-7</v>
      </c>
      <c r="G548" s="2">
        <v>9</v>
      </c>
      <c r="H548" s="2">
        <f t="shared" si="47"/>
        <v>2432.8880018</v>
      </c>
      <c r="I548" s="2">
        <v>67</v>
      </c>
      <c r="J548" s="2">
        <v>0.13300000000000001</v>
      </c>
      <c r="K548" s="2">
        <v>8</v>
      </c>
      <c r="L548" s="2">
        <f t="shared" si="48"/>
        <v>71.288000000000011</v>
      </c>
      <c r="M548" s="2">
        <v>32</v>
      </c>
      <c r="N548" s="2">
        <v>73.8</v>
      </c>
      <c r="O548" s="2">
        <f t="shared" si="49"/>
        <v>2361.6</v>
      </c>
      <c r="P548" s="2">
        <f t="shared" si="50"/>
        <v>0.92310099104366805</v>
      </c>
      <c r="Q548" s="7">
        <f t="shared" si="46"/>
        <v>0.91885349345702805</v>
      </c>
      <c r="R548" s="2" t="s">
        <v>182</v>
      </c>
      <c r="S548" s="2" t="s">
        <v>28</v>
      </c>
      <c r="T548" s="2" t="s">
        <v>163</v>
      </c>
    </row>
    <row r="549" spans="1:20" x14ac:dyDescent="0.3">
      <c r="A549" s="2" t="s">
        <v>180</v>
      </c>
      <c r="B549" s="2" t="s">
        <v>181</v>
      </c>
      <c r="C549" s="2">
        <v>263555995</v>
      </c>
      <c r="D549" s="2">
        <v>2018</v>
      </c>
      <c r="E549" s="2" t="s">
        <v>26</v>
      </c>
      <c r="F549" s="4">
        <v>4.9999999999999998E-7</v>
      </c>
      <c r="G549" s="2">
        <v>7</v>
      </c>
      <c r="H549" s="2">
        <f t="shared" si="47"/>
        <v>327.53400349999998</v>
      </c>
      <c r="I549" s="2">
        <v>133</v>
      </c>
      <c r="J549" s="2">
        <v>0.13300000000000001</v>
      </c>
      <c r="K549" s="2">
        <v>6</v>
      </c>
      <c r="L549" s="2">
        <f t="shared" si="48"/>
        <v>106.134</v>
      </c>
      <c r="M549" s="2">
        <v>3</v>
      </c>
      <c r="N549" s="2">
        <v>73.8</v>
      </c>
      <c r="O549" s="2">
        <f t="shared" si="49"/>
        <v>221.39999999999998</v>
      </c>
      <c r="P549" s="2">
        <f t="shared" si="50"/>
        <v>0.12427492059135289</v>
      </c>
      <c r="Q549" s="7">
        <f t="shared" si="46"/>
        <v>0.12419773129087597</v>
      </c>
      <c r="R549" s="2" t="s">
        <v>183</v>
      </c>
      <c r="S549" s="2" t="s">
        <v>28</v>
      </c>
      <c r="T549" s="2" t="s">
        <v>150</v>
      </c>
    </row>
    <row r="550" spans="1:20" x14ac:dyDescent="0.3">
      <c r="A550" s="2" t="s">
        <v>180</v>
      </c>
      <c r="B550" s="2" t="s">
        <v>181</v>
      </c>
      <c r="C550" s="2">
        <v>263555995</v>
      </c>
      <c r="D550" s="2">
        <v>2018</v>
      </c>
      <c r="E550" s="2" t="s">
        <v>151</v>
      </c>
      <c r="F550" s="4">
        <v>1.3999999999999999E-6</v>
      </c>
      <c r="G550" s="2">
        <v>7</v>
      </c>
      <c r="H550" s="2">
        <f t="shared" si="47"/>
        <v>5291.7300097999996</v>
      </c>
      <c r="I550" s="2">
        <v>435</v>
      </c>
      <c r="J550" s="2">
        <v>0.13300000000000001</v>
      </c>
      <c r="K550" s="2">
        <v>6</v>
      </c>
      <c r="L550" s="2">
        <f t="shared" si="48"/>
        <v>347.13</v>
      </c>
      <c r="M550" s="2">
        <v>67</v>
      </c>
      <c r="N550" s="2">
        <v>73.8</v>
      </c>
      <c r="O550" s="2">
        <f t="shared" si="49"/>
        <v>4944.5999999999995</v>
      </c>
      <c r="P550" s="2">
        <f t="shared" si="50"/>
        <v>2.0078200117587914</v>
      </c>
      <c r="Q550" s="7">
        <f t="shared" si="46"/>
        <v>1.987797534775082</v>
      </c>
      <c r="R550" s="2" t="s">
        <v>184</v>
      </c>
      <c r="S550" s="2" t="s">
        <v>28</v>
      </c>
      <c r="T550" s="2" t="s">
        <v>32</v>
      </c>
    </row>
    <row r="551" spans="1:20" x14ac:dyDescent="0.3">
      <c r="A551" s="2" t="s">
        <v>180</v>
      </c>
      <c r="B551" s="2" t="s">
        <v>181</v>
      </c>
      <c r="C551" s="2">
        <v>263555995</v>
      </c>
      <c r="D551" s="2">
        <v>2018</v>
      </c>
      <c r="E551" s="2" t="s">
        <v>33</v>
      </c>
      <c r="F551" s="4">
        <v>0</v>
      </c>
      <c r="G551" s="2">
        <v>8</v>
      </c>
      <c r="H551" s="2">
        <f t="shared" si="47"/>
        <v>984.53700000000003</v>
      </c>
      <c r="I551" s="2">
        <v>27</v>
      </c>
      <c r="J551" s="2">
        <v>0.13300000000000001</v>
      </c>
      <c r="K551" s="2">
        <v>7</v>
      </c>
      <c r="L551" s="2">
        <f t="shared" si="48"/>
        <v>25.137</v>
      </c>
      <c r="M551" s="2">
        <v>13</v>
      </c>
      <c r="N551" s="2">
        <v>73.8</v>
      </c>
      <c r="O551" s="2">
        <f t="shared" si="49"/>
        <v>959.4</v>
      </c>
      <c r="P551" s="2">
        <f t="shared" si="50"/>
        <v>0.37355894712241322</v>
      </c>
      <c r="Q551" s="7">
        <f t="shared" si="46"/>
        <v>0.3728620836894958</v>
      </c>
      <c r="R551" s="2" t="s">
        <v>188</v>
      </c>
      <c r="S551" s="2" t="s">
        <v>35</v>
      </c>
      <c r="T551" s="2" t="s">
        <v>28</v>
      </c>
    </row>
    <row r="552" spans="1:20" x14ac:dyDescent="0.3">
      <c r="A552" s="2" t="s">
        <v>180</v>
      </c>
      <c r="B552" s="2" t="s">
        <v>181</v>
      </c>
      <c r="C552" s="2">
        <v>263555995</v>
      </c>
      <c r="D552" s="2">
        <v>2018</v>
      </c>
      <c r="E552" s="2" t="s">
        <v>37</v>
      </c>
      <c r="F552" s="4">
        <v>6.3499999999999999E-5</v>
      </c>
      <c r="G552" s="2">
        <v>6</v>
      </c>
      <c r="H552" s="2">
        <f t="shared" si="47"/>
        <v>9368.9603810000008</v>
      </c>
      <c r="I552" s="2">
        <v>14639</v>
      </c>
      <c r="J552" s="2">
        <v>0.128</v>
      </c>
      <c r="K552" s="2">
        <v>5</v>
      </c>
      <c r="L552" s="2">
        <f t="shared" si="48"/>
        <v>9368.9600000000009</v>
      </c>
      <c r="M552" s="2">
        <v>0</v>
      </c>
      <c r="N552" s="2">
        <v>73.8</v>
      </c>
      <c r="O552" s="2">
        <f t="shared" si="49"/>
        <v>0</v>
      </c>
      <c r="P552" s="2">
        <f t="shared" si="50"/>
        <v>3.554827269628225</v>
      </c>
      <c r="Q552" s="7">
        <f t="shared" si="46"/>
        <v>3.492385372215201</v>
      </c>
      <c r="R552" s="2" t="s">
        <v>186</v>
      </c>
      <c r="S552" s="2" t="s">
        <v>155</v>
      </c>
      <c r="T552" s="2" t="s">
        <v>156</v>
      </c>
    </row>
    <row r="553" spans="1:20" x14ac:dyDescent="0.3">
      <c r="A553" s="2" t="s">
        <v>180</v>
      </c>
      <c r="B553" s="2" t="s">
        <v>181</v>
      </c>
      <c r="C553" s="2">
        <v>263555995</v>
      </c>
      <c r="D553" s="2">
        <v>2018</v>
      </c>
      <c r="E553" s="2" t="s">
        <v>41</v>
      </c>
      <c r="F553" s="4">
        <v>8.2000000000000001E-5</v>
      </c>
      <c r="G553" s="2">
        <v>6</v>
      </c>
      <c r="H553" s="2">
        <f t="shared" si="47"/>
        <v>328697.28049200005</v>
      </c>
      <c r="I553" s="2">
        <v>17511</v>
      </c>
      <c r="J553" s="2">
        <v>0.12</v>
      </c>
      <c r="K553" s="2">
        <v>4</v>
      </c>
      <c r="L553" s="2">
        <f t="shared" si="48"/>
        <v>8405.2799999999988</v>
      </c>
      <c r="M553" s="2">
        <v>4340</v>
      </c>
      <c r="N553" s="2">
        <v>73.8</v>
      </c>
      <c r="O553" s="2">
        <f t="shared" si="49"/>
        <v>320292</v>
      </c>
      <c r="P553" s="2">
        <f t="shared" si="50"/>
        <v>124.71629814074237</v>
      </c>
      <c r="Q553" s="7">
        <f t="shared" si="46"/>
        <v>71.268122962120273</v>
      </c>
      <c r="R553" s="2" t="s">
        <v>189</v>
      </c>
      <c r="S553" s="2" t="s">
        <v>158</v>
      </c>
      <c r="T553" s="2" t="s">
        <v>159</v>
      </c>
    </row>
    <row r="554" spans="1:20" x14ac:dyDescent="0.3">
      <c r="A554" s="2" t="s">
        <v>180</v>
      </c>
      <c r="B554" s="2" t="s">
        <v>181</v>
      </c>
      <c r="C554" s="2">
        <v>266191555</v>
      </c>
      <c r="D554" s="2">
        <v>2019</v>
      </c>
      <c r="E554" s="2" t="s">
        <v>22</v>
      </c>
      <c r="F554" s="4">
        <v>2.9999999999999999E-7</v>
      </c>
      <c r="G554" s="2">
        <v>9</v>
      </c>
      <c r="H554" s="2">
        <f t="shared" si="47"/>
        <v>2074.5280026999999</v>
      </c>
      <c r="I554" s="2">
        <v>77</v>
      </c>
      <c r="J554" s="2">
        <v>0.13300000000000001</v>
      </c>
      <c r="K554" s="2">
        <v>8</v>
      </c>
      <c r="L554" s="2">
        <f t="shared" si="48"/>
        <v>81.927999999999997</v>
      </c>
      <c r="M554" s="2">
        <v>27</v>
      </c>
      <c r="N554" s="2">
        <v>73.8</v>
      </c>
      <c r="O554" s="2">
        <f t="shared" si="49"/>
        <v>1992.6</v>
      </c>
      <c r="P554" s="2">
        <f t="shared" si="50"/>
        <v>0.77933652053687419</v>
      </c>
      <c r="Q554" s="7">
        <f t="shared" si="46"/>
        <v>0.77630756716317029</v>
      </c>
      <c r="R554" s="2" t="s">
        <v>182</v>
      </c>
      <c r="S554" s="2" t="s">
        <v>28</v>
      </c>
      <c r="T554" s="2" t="s">
        <v>163</v>
      </c>
    </row>
    <row r="555" spans="1:20" x14ac:dyDescent="0.3">
      <c r="A555" s="2" t="s">
        <v>180</v>
      </c>
      <c r="B555" s="2" t="s">
        <v>181</v>
      </c>
      <c r="C555" s="2">
        <v>266191555</v>
      </c>
      <c r="D555" s="2">
        <v>2019</v>
      </c>
      <c r="E555" s="2" t="s">
        <v>26</v>
      </c>
      <c r="F555" s="4">
        <v>4.9999999999999998E-7</v>
      </c>
      <c r="G555" s="2">
        <v>7</v>
      </c>
      <c r="H555" s="2">
        <f t="shared" si="47"/>
        <v>331.52400349999999</v>
      </c>
      <c r="I555" s="2">
        <v>138</v>
      </c>
      <c r="J555" s="2">
        <v>0.13300000000000001</v>
      </c>
      <c r="K555" s="2">
        <v>6</v>
      </c>
      <c r="L555" s="2">
        <f t="shared" si="48"/>
        <v>110.124</v>
      </c>
      <c r="M555" s="2">
        <v>3</v>
      </c>
      <c r="N555" s="2">
        <v>73.8</v>
      </c>
      <c r="O555" s="2">
        <f t="shared" si="49"/>
        <v>221.39999999999998</v>
      </c>
      <c r="P555" s="2">
        <f t="shared" si="50"/>
        <v>0.12454339638986668</v>
      </c>
      <c r="Q555" s="7">
        <f t="shared" si="46"/>
        <v>0.12446587328858172</v>
      </c>
      <c r="R555" s="2" t="s">
        <v>183</v>
      </c>
      <c r="S555" s="2" t="s">
        <v>28</v>
      </c>
      <c r="T555" s="2" t="s">
        <v>150</v>
      </c>
    </row>
    <row r="556" spans="1:20" x14ac:dyDescent="0.3">
      <c r="A556" s="2" t="s">
        <v>180</v>
      </c>
      <c r="B556" s="2" t="s">
        <v>181</v>
      </c>
      <c r="C556" s="2">
        <v>266191555</v>
      </c>
      <c r="D556" s="2">
        <v>2019</v>
      </c>
      <c r="E556" s="2" t="s">
        <v>151</v>
      </c>
      <c r="F556" s="4">
        <v>1.5999999999999999E-6</v>
      </c>
      <c r="G556" s="2">
        <v>7</v>
      </c>
      <c r="H556" s="2">
        <f t="shared" si="47"/>
        <v>4643.0760111999998</v>
      </c>
      <c r="I556" s="2">
        <v>362</v>
      </c>
      <c r="J556" s="2">
        <v>0.13300000000000001</v>
      </c>
      <c r="K556" s="2">
        <v>6</v>
      </c>
      <c r="L556" s="2">
        <f t="shared" si="48"/>
        <v>288.87599999999998</v>
      </c>
      <c r="M556" s="2">
        <v>59</v>
      </c>
      <c r="N556" s="2">
        <v>73.8</v>
      </c>
      <c r="O556" s="2">
        <f t="shared" si="49"/>
        <v>4354.2</v>
      </c>
      <c r="P556" s="2">
        <f t="shared" si="50"/>
        <v>1.7442611998716488</v>
      </c>
      <c r="Q556" s="7">
        <f t="shared" si="46"/>
        <v>1.7291370269009398</v>
      </c>
      <c r="R556" s="2" t="s">
        <v>184</v>
      </c>
      <c r="S556" s="2" t="s">
        <v>28</v>
      </c>
      <c r="T556" s="2" t="s">
        <v>32</v>
      </c>
    </row>
    <row r="557" spans="1:20" x14ac:dyDescent="0.3">
      <c r="A557" s="2" t="s">
        <v>180</v>
      </c>
      <c r="B557" s="2" t="s">
        <v>181</v>
      </c>
      <c r="C557" s="2">
        <v>266191555</v>
      </c>
      <c r="D557" s="2">
        <v>2019</v>
      </c>
      <c r="E557" s="2" t="s">
        <v>33</v>
      </c>
      <c r="F557" s="4">
        <v>0</v>
      </c>
      <c r="G557" s="2">
        <v>8</v>
      </c>
      <c r="H557" s="2">
        <f t="shared" si="47"/>
        <v>453.97199999999998</v>
      </c>
      <c r="I557" s="2">
        <v>12</v>
      </c>
      <c r="J557" s="2">
        <v>0.13300000000000001</v>
      </c>
      <c r="K557" s="2">
        <v>7</v>
      </c>
      <c r="L557" s="2">
        <f t="shared" si="48"/>
        <v>11.172000000000001</v>
      </c>
      <c r="M557" s="2">
        <v>6</v>
      </c>
      <c r="N557" s="2">
        <v>73.8</v>
      </c>
      <c r="O557" s="2">
        <f t="shared" si="49"/>
        <v>442.79999999999995</v>
      </c>
      <c r="P557" s="2">
        <f t="shared" si="50"/>
        <v>0.17054335176035165</v>
      </c>
      <c r="Q557" s="7">
        <f t="shared" si="46"/>
        <v>0.17039800922196147</v>
      </c>
      <c r="R557" s="2" t="s">
        <v>185</v>
      </c>
      <c r="S557" s="2" t="s">
        <v>35</v>
      </c>
      <c r="T557" s="2" t="s">
        <v>28</v>
      </c>
    </row>
    <row r="558" spans="1:20" x14ac:dyDescent="0.3">
      <c r="A558" s="2" t="s">
        <v>180</v>
      </c>
      <c r="B558" s="2" t="s">
        <v>181</v>
      </c>
      <c r="C558" s="2">
        <v>266191555</v>
      </c>
      <c r="D558" s="2">
        <v>2019</v>
      </c>
      <c r="E558" s="2" t="s">
        <v>37</v>
      </c>
      <c r="F558" s="4">
        <v>5.4799999999999997E-5</v>
      </c>
      <c r="G558" s="2">
        <v>6</v>
      </c>
      <c r="H558" s="2">
        <f t="shared" si="47"/>
        <v>9626.2403288000005</v>
      </c>
      <c r="I558" s="2">
        <v>15041</v>
      </c>
      <c r="J558" s="2">
        <v>0.128</v>
      </c>
      <c r="K558" s="2">
        <v>5</v>
      </c>
      <c r="L558" s="2">
        <f t="shared" si="48"/>
        <v>9626.24</v>
      </c>
      <c r="M558" s="2">
        <v>0</v>
      </c>
      <c r="N558" s="2">
        <v>73.8</v>
      </c>
      <c r="O558" s="2">
        <f t="shared" si="49"/>
        <v>0</v>
      </c>
      <c r="P558" s="2">
        <f t="shared" si="50"/>
        <v>3.6162831419651913</v>
      </c>
      <c r="Q558" s="7">
        <f t="shared" si="46"/>
        <v>3.5516767477741573</v>
      </c>
      <c r="R558" s="2" t="s">
        <v>186</v>
      </c>
      <c r="S558" s="2" t="s">
        <v>155</v>
      </c>
      <c r="T558" s="2" t="s">
        <v>156</v>
      </c>
    </row>
    <row r="559" spans="1:20" x14ac:dyDescent="0.3">
      <c r="A559" s="2" t="s">
        <v>180</v>
      </c>
      <c r="B559" s="2" t="s">
        <v>181</v>
      </c>
      <c r="C559" s="2">
        <v>266191555</v>
      </c>
      <c r="D559" s="2">
        <v>2019</v>
      </c>
      <c r="E559" s="2" t="s">
        <v>41</v>
      </c>
      <c r="F559" s="4">
        <v>1.9999999999999999E-6</v>
      </c>
      <c r="G559" s="2">
        <v>6</v>
      </c>
      <c r="H559" s="2">
        <f t="shared" si="47"/>
        <v>9090.7200119999998</v>
      </c>
      <c r="I559" s="2">
        <v>489</v>
      </c>
      <c r="J559" s="2">
        <v>0.12</v>
      </c>
      <c r="K559" s="2">
        <v>4</v>
      </c>
      <c r="L559" s="2">
        <f t="shared" si="48"/>
        <v>234.72</v>
      </c>
      <c r="M559" s="2">
        <v>120</v>
      </c>
      <c r="N559" s="2">
        <v>73.8</v>
      </c>
      <c r="O559" s="2">
        <f t="shared" si="49"/>
        <v>8856</v>
      </c>
      <c r="P559" s="2">
        <f t="shared" si="50"/>
        <v>3.4151045896253165</v>
      </c>
      <c r="Q559" s="7">
        <f t="shared" si="46"/>
        <v>3.3574480996161116</v>
      </c>
      <c r="R559" s="2" t="s">
        <v>187</v>
      </c>
      <c r="S559" s="2" t="s">
        <v>158</v>
      </c>
      <c r="T559" s="2" t="s">
        <v>159</v>
      </c>
    </row>
    <row r="560" spans="1:20" x14ac:dyDescent="0.3">
      <c r="A560" s="2" t="s">
        <v>180</v>
      </c>
      <c r="B560" s="2" t="s">
        <v>181</v>
      </c>
      <c r="C560" s="2">
        <v>268853471</v>
      </c>
      <c r="D560" s="2">
        <v>2020</v>
      </c>
      <c r="E560" s="2" t="s">
        <v>22</v>
      </c>
      <c r="F560" s="4">
        <v>1.9999999999999999E-7</v>
      </c>
      <c r="G560" s="2">
        <v>9</v>
      </c>
      <c r="H560" s="2">
        <f t="shared" ref="H560:H591" si="51">L560+O560+G560*F560</f>
        <v>2431.8240018000001</v>
      </c>
      <c r="I560" s="2">
        <v>66</v>
      </c>
      <c r="J560" s="2">
        <v>0.13300000000000001</v>
      </c>
      <c r="K560" s="2">
        <v>8</v>
      </c>
      <c r="L560" s="2">
        <f t="shared" ref="L560:L591" si="52">I560*J560*K560</f>
        <v>70.224000000000004</v>
      </c>
      <c r="M560" s="2">
        <v>32</v>
      </c>
      <c r="N560" s="2">
        <v>73.8</v>
      </c>
      <c r="O560" s="2">
        <f t="shared" ref="O560:O591" si="53">M560*N560</f>
        <v>2361.6</v>
      </c>
      <c r="P560" s="2">
        <f t="shared" ref="P560:P595" si="54">H560/C560*100000</f>
        <v>0.90451649843122162</v>
      </c>
      <c r="Q560" s="7">
        <f t="shared" si="46"/>
        <v>0.90043805394919296</v>
      </c>
      <c r="R560" s="2" t="s">
        <v>182</v>
      </c>
      <c r="S560" s="2" t="s">
        <v>28</v>
      </c>
      <c r="T560" s="2" t="s">
        <v>163</v>
      </c>
    </row>
    <row r="561" spans="1:20" x14ac:dyDescent="0.3">
      <c r="A561" s="2" t="s">
        <v>180</v>
      </c>
      <c r="B561" s="2" t="s">
        <v>181</v>
      </c>
      <c r="C561" s="2">
        <v>268853471</v>
      </c>
      <c r="D561" s="2">
        <v>2020</v>
      </c>
      <c r="E561" s="2" t="s">
        <v>26</v>
      </c>
      <c r="F561" s="4">
        <v>5.9999999999999997E-7</v>
      </c>
      <c r="G561" s="2">
        <v>7</v>
      </c>
      <c r="H561" s="2">
        <f t="shared" si="51"/>
        <v>353.07000419999997</v>
      </c>
      <c r="I561" s="2">
        <v>165</v>
      </c>
      <c r="J561" s="2">
        <v>0.13300000000000001</v>
      </c>
      <c r="K561" s="2">
        <v>6</v>
      </c>
      <c r="L561" s="2">
        <f t="shared" si="52"/>
        <v>131.67000000000002</v>
      </c>
      <c r="M561" s="2">
        <v>3</v>
      </c>
      <c r="N561" s="2">
        <v>73.8</v>
      </c>
      <c r="O561" s="2">
        <f t="shared" si="53"/>
        <v>221.39999999999998</v>
      </c>
      <c r="P561" s="2">
        <f t="shared" si="54"/>
        <v>0.1313243243193985</v>
      </c>
      <c r="Q561" s="7">
        <f t="shared" si="46"/>
        <v>0.13123813166338039</v>
      </c>
      <c r="R561" s="2" t="s">
        <v>183</v>
      </c>
      <c r="S561" s="2" t="s">
        <v>28</v>
      </c>
      <c r="T561" s="2" t="s">
        <v>150</v>
      </c>
    </row>
    <row r="562" spans="1:20" x14ac:dyDescent="0.3">
      <c r="A562" s="2" t="s">
        <v>180</v>
      </c>
      <c r="B562" s="2" t="s">
        <v>181</v>
      </c>
      <c r="C562" s="2">
        <v>268853471</v>
      </c>
      <c r="D562" s="2">
        <v>2020</v>
      </c>
      <c r="E562" s="2" t="s">
        <v>151</v>
      </c>
      <c r="F562" s="4">
        <v>1.3999999999999999E-6</v>
      </c>
      <c r="G562" s="2">
        <v>7</v>
      </c>
      <c r="H562" s="2">
        <f t="shared" si="51"/>
        <v>4913.1540097999996</v>
      </c>
      <c r="I562" s="2">
        <v>423</v>
      </c>
      <c r="J562" s="2">
        <v>0.13300000000000001</v>
      </c>
      <c r="K562" s="2">
        <v>6</v>
      </c>
      <c r="L562" s="2">
        <f t="shared" si="52"/>
        <v>337.55399999999997</v>
      </c>
      <c r="M562" s="2">
        <v>62</v>
      </c>
      <c r="N562" s="2">
        <v>73.8</v>
      </c>
      <c r="O562" s="2">
        <f t="shared" si="53"/>
        <v>4575.5999999999995</v>
      </c>
      <c r="P562" s="2">
        <f t="shared" si="54"/>
        <v>1.8274467469307842</v>
      </c>
      <c r="Q562" s="7">
        <f t="shared" si="46"/>
        <v>1.8108501903817964</v>
      </c>
      <c r="R562" s="2" t="s">
        <v>184</v>
      </c>
      <c r="S562" s="2" t="s">
        <v>28</v>
      </c>
      <c r="T562" s="2" t="s">
        <v>32</v>
      </c>
    </row>
    <row r="563" spans="1:20" x14ac:dyDescent="0.3">
      <c r="A563" s="2" t="s">
        <v>180</v>
      </c>
      <c r="B563" s="2" t="s">
        <v>181</v>
      </c>
      <c r="C563" s="2">
        <v>268853471</v>
      </c>
      <c r="D563" s="2">
        <v>2020</v>
      </c>
      <c r="E563" s="2" t="s">
        <v>33</v>
      </c>
      <c r="F563" s="4">
        <v>0</v>
      </c>
      <c r="G563" s="2">
        <v>8</v>
      </c>
      <c r="H563" s="2">
        <f t="shared" si="51"/>
        <v>378.31</v>
      </c>
      <c r="I563" s="2">
        <v>10</v>
      </c>
      <c r="J563" s="2">
        <v>0.13300000000000001</v>
      </c>
      <c r="K563" s="2">
        <v>7</v>
      </c>
      <c r="L563" s="2">
        <f t="shared" si="52"/>
        <v>9.31</v>
      </c>
      <c r="M563" s="2">
        <v>5</v>
      </c>
      <c r="N563" s="2">
        <v>73.8</v>
      </c>
      <c r="O563" s="2">
        <f t="shared" si="53"/>
        <v>369</v>
      </c>
      <c r="P563" s="2">
        <f t="shared" si="54"/>
        <v>0.14071233620041304</v>
      </c>
      <c r="Q563" s="7">
        <f t="shared" si="46"/>
        <v>0.14061338281127211</v>
      </c>
      <c r="R563" s="2" t="s">
        <v>185</v>
      </c>
      <c r="S563" s="2" t="s">
        <v>35</v>
      </c>
      <c r="T563" s="2" t="s">
        <v>28</v>
      </c>
    </row>
    <row r="564" spans="1:20" x14ac:dyDescent="0.3">
      <c r="A564" s="2" t="s">
        <v>180</v>
      </c>
      <c r="B564" s="2" t="s">
        <v>181</v>
      </c>
      <c r="C564" s="2">
        <v>268853471</v>
      </c>
      <c r="D564" s="2">
        <v>2020</v>
      </c>
      <c r="E564" s="2" t="s">
        <v>37</v>
      </c>
      <c r="F564" s="4">
        <v>5.3300000000000001E-5</v>
      </c>
      <c r="G564" s="2">
        <v>6</v>
      </c>
      <c r="H564" s="2">
        <f t="shared" si="51"/>
        <v>9208.9603198000004</v>
      </c>
      <c r="I564" s="2">
        <v>14389</v>
      </c>
      <c r="J564" s="2">
        <v>0.128</v>
      </c>
      <c r="K564" s="2">
        <v>5</v>
      </c>
      <c r="L564" s="2">
        <f t="shared" si="52"/>
        <v>9208.9600000000009</v>
      </c>
      <c r="M564" s="2">
        <v>0</v>
      </c>
      <c r="N564" s="2">
        <v>73.8</v>
      </c>
      <c r="O564" s="2">
        <f t="shared" si="53"/>
        <v>0</v>
      </c>
      <c r="P564" s="2">
        <f t="shared" si="54"/>
        <v>3.4252711283760959</v>
      </c>
      <c r="Q564" s="7">
        <f t="shared" si="46"/>
        <v>3.3672728026802212</v>
      </c>
      <c r="R564" s="2" t="s">
        <v>186</v>
      </c>
      <c r="S564" s="2" t="s">
        <v>155</v>
      </c>
      <c r="T564" s="2" t="s">
        <v>156</v>
      </c>
    </row>
    <row r="565" spans="1:20" x14ac:dyDescent="0.3">
      <c r="A565" s="2" t="s">
        <v>180</v>
      </c>
      <c r="B565" s="2" t="s">
        <v>181</v>
      </c>
      <c r="C565" s="2">
        <v>268853471</v>
      </c>
      <c r="D565" s="2">
        <v>2020</v>
      </c>
      <c r="E565" s="2" t="s">
        <v>41</v>
      </c>
      <c r="F565" s="4">
        <v>1.9999999999999999E-6</v>
      </c>
      <c r="G565" s="2">
        <v>6</v>
      </c>
      <c r="H565" s="2">
        <f t="shared" si="51"/>
        <v>9105.6000120000008</v>
      </c>
      <c r="I565" s="2">
        <v>520</v>
      </c>
      <c r="J565" s="2">
        <v>0.12</v>
      </c>
      <c r="K565" s="2">
        <v>4</v>
      </c>
      <c r="L565" s="2">
        <f t="shared" si="52"/>
        <v>249.6</v>
      </c>
      <c r="M565" s="2">
        <v>120</v>
      </c>
      <c r="N565" s="2">
        <v>73.8</v>
      </c>
      <c r="O565" s="2">
        <f t="shared" si="53"/>
        <v>8856</v>
      </c>
      <c r="P565" s="2">
        <f t="shared" si="54"/>
        <v>3.3868262805504195</v>
      </c>
      <c r="Q565" s="7">
        <f t="shared" si="46"/>
        <v>3.3301153556550833</v>
      </c>
      <c r="R565" s="2" t="s">
        <v>187</v>
      </c>
      <c r="S565" s="2" t="s">
        <v>158</v>
      </c>
      <c r="T565" s="2" t="s">
        <v>159</v>
      </c>
    </row>
    <row r="566" spans="1:20" x14ac:dyDescent="0.3">
      <c r="A566" s="2" t="s">
        <v>180</v>
      </c>
      <c r="B566" s="2" t="s">
        <v>181</v>
      </c>
      <c r="C566" s="2">
        <v>271542006</v>
      </c>
      <c r="D566" s="2">
        <v>2021</v>
      </c>
      <c r="E566" s="2" t="s">
        <v>22</v>
      </c>
      <c r="F566" s="4">
        <v>1.9999999999999999E-7</v>
      </c>
      <c r="G566" s="2">
        <v>9</v>
      </c>
      <c r="H566" s="2">
        <f t="shared" si="51"/>
        <v>2218.9360017999998</v>
      </c>
      <c r="I566" s="2">
        <v>74</v>
      </c>
      <c r="J566" s="2">
        <v>0.13300000000000001</v>
      </c>
      <c r="K566" s="2">
        <v>8</v>
      </c>
      <c r="L566" s="2">
        <f t="shared" si="52"/>
        <v>78.736000000000004</v>
      </c>
      <c r="M566" s="2">
        <v>29</v>
      </c>
      <c r="N566" s="2">
        <v>73.8</v>
      </c>
      <c r="O566" s="2">
        <f t="shared" si="53"/>
        <v>2140.1999999999998</v>
      </c>
      <c r="P566" s="2">
        <f t="shared" si="54"/>
        <v>0.81716123206366809</v>
      </c>
      <c r="Q566" s="7">
        <f t="shared" si="46"/>
        <v>0.81383154547647329</v>
      </c>
      <c r="R566" s="2" t="s">
        <v>182</v>
      </c>
      <c r="S566" s="2" t="s">
        <v>28</v>
      </c>
      <c r="T566" s="2" t="s">
        <v>163</v>
      </c>
    </row>
    <row r="567" spans="1:20" x14ac:dyDescent="0.3">
      <c r="A567" s="2" t="s">
        <v>180</v>
      </c>
      <c r="B567" s="2" t="s">
        <v>181</v>
      </c>
      <c r="C567" s="2">
        <v>271542006</v>
      </c>
      <c r="D567" s="2">
        <v>2021</v>
      </c>
      <c r="E567" s="2" t="s">
        <v>26</v>
      </c>
      <c r="F567" s="4">
        <v>4.9999999999999998E-7</v>
      </c>
      <c r="G567" s="2">
        <v>7</v>
      </c>
      <c r="H567" s="2">
        <f t="shared" si="51"/>
        <v>338.70600350000001</v>
      </c>
      <c r="I567" s="2">
        <v>147</v>
      </c>
      <c r="J567" s="2">
        <v>0.13300000000000001</v>
      </c>
      <c r="K567" s="2">
        <v>6</v>
      </c>
      <c r="L567" s="2">
        <f t="shared" si="52"/>
        <v>117.30600000000001</v>
      </c>
      <c r="M567" s="2">
        <v>3</v>
      </c>
      <c r="N567" s="2">
        <v>73.8</v>
      </c>
      <c r="O567" s="2">
        <f t="shared" si="53"/>
        <v>221.39999999999998</v>
      </c>
      <c r="P567" s="2">
        <f t="shared" si="54"/>
        <v>0.12473429377994652</v>
      </c>
      <c r="Q567" s="7">
        <f t="shared" si="46"/>
        <v>0.12465653289458478</v>
      </c>
      <c r="R567" s="2" t="s">
        <v>183</v>
      </c>
      <c r="S567" s="2" t="s">
        <v>28</v>
      </c>
      <c r="T567" s="2" t="s">
        <v>150</v>
      </c>
    </row>
    <row r="568" spans="1:20" x14ac:dyDescent="0.3">
      <c r="A568" s="2" t="s">
        <v>180</v>
      </c>
      <c r="B568" s="2" t="s">
        <v>181</v>
      </c>
      <c r="C568" s="2">
        <v>271542006</v>
      </c>
      <c r="D568" s="2">
        <v>2021</v>
      </c>
      <c r="E568" s="2" t="s">
        <v>151</v>
      </c>
      <c r="F568" s="4">
        <v>1.5999999999999999E-6</v>
      </c>
      <c r="G568" s="2">
        <v>7</v>
      </c>
      <c r="H568" s="2">
        <f t="shared" si="51"/>
        <v>4644.6720111999994</v>
      </c>
      <c r="I568" s="2">
        <v>364</v>
      </c>
      <c r="J568" s="2">
        <v>0.13300000000000001</v>
      </c>
      <c r="K568" s="2">
        <v>6</v>
      </c>
      <c r="L568" s="2">
        <f t="shared" si="52"/>
        <v>290.47200000000004</v>
      </c>
      <c r="M568" s="2">
        <v>59</v>
      </c>
      <c r="N568" s="2">
        <v>73.8</v>
      </c>
      <c r="O568" s="2">
        <f t="shared" si="53"/>
        <v>4354.2</v>
      </c>
      <c r="P568" s="2">
        <f t="shared" si="54"/>
        <v>1.7104801130474081</v>
      </c>
      <c r="Q568" s="7">
        <f t="shared" si="46"/>
        <v>1.6959344535777521</v>
      </c>
      <c r="R568" s="2" t="s">
        <v>184</v>
      </c>
      <c r="S568" s="2" t="s">
        <v>28</v>
      </c>
      <c r="T568" s="2" t="s">
        <v>32</v>
      </c>
    </row>
    <row r="569" spans="1:20" x14ac:dyDescent="0.3">
      <c r="A569" s="2" t="s">
        <v>180</v>
      </c>
      <c r="B569" s="2" t="s">
        <v>181</v>
      </c>
      <c r="C569" s="2">
        <v>271542006</v>
      </c>
      <c r="D569" s="2">
        <v>2021</v>
      </c>
      <c r="E569" s="2" t="s">
        <v>33</v>
      </c>
      <c r="F569" s="4">
        <v>0</v>
      </c>
      <c r="G569" s="2">
        <v>8</v>
      </c>
      <c r="H569" s="2">
        <f t="shared" si="51"/>
        <v>454.90299999999996</v>
      </c>
      <c r="I569" s="2">
        <v>13</v>
      </c>
      <c r="J569" s="2">
        <v>0.13300000000000001</v>
      </c>
      <c r="K569" s="2">
        <v>7</v>
      </c>
      <c r="L569" s="2">
        <f t="shared" si="52"/>
        <v>12.103000000000002</v>
      </c>
      <c r="M569" s="2">
        <v>6</v>
      </c>
      <c r="N569" s="2">
        <v>73.8</v>
      </c>
      <c r="O569" s="2">
        <f t="shared" si="53"/>
        <v>442.79999999999995</v>
      </c>
      <c r="P569" s="2">
        <f t="shared" si="54"/>
        <v>0.16752583023931847</v>
      </c>
      <c r="Q569" s="7">
        <f t="shared" si="46"/>
        <v>0.16738558404746362</v>
      </c>
      <c r="R569" s="2" t="s">
        <v>185</v>
      </c>
      <c r="S569" s="2" t="s">
        <v>35</v>
      </c>
      <c r="T569" s="2" t="s">
        <v>28</v>
      </c>
    </row>
    <row r="570" spans="1:20" x14ac:dyDescent="0.3">
      <c r="A570" s="2" t="s">
        <v>180</v>
      </c>
      <c r="B570" s="2" t="s">
        <v>181</v>
      </c>
      <c r="C570" s="2">
        <v>271542006</v>
      </c>
      <c r="D570" s="2">
        <v>2021</v>
      </c>
      <c r="E570" s="2" t="s">
        <v>37</v>
      </c>
      <c r="F570" s="4">
        <v>5.2599999999999998E-5</v>
      </c>
      <c r="G570" s="2">
        <v>6</v>
      </c>
      <c r="H570" s="2">
        <f t="shared" si="51"/>
        <v>9866.2403156</v>
      </c>
      <c r="I570" s="2">
        <v>15416</v>
      </c>
      <c r="J570" s="2">
        <v>0.128</v>
      </c>
      <c r="K570" s="2">
        <v>5</v>
      </c>
      <c r="L570" s="2">
        <f t="shared" si="52"/>
        <v>9866.24</v>
      </c>
      <c r="M570" s="2">
        <v>0</v>
      </c>
      <c r="N570" s="2">
        <v>73.8</v>
      </c>
      <c r="O570" s="2">
        <f t="shared" si="53"/>
        <v>0</v>
      </c>
      <c r="P570" s="2">
        <f t="shared" si="54"/>
        <v>3.6334121784457905</v>
      </c>
      <c r="Q570" s="7">
        <f t="shared" si="46"/>
        <v>3.5681960014140812</v>
      </c>
      <c r="R570" s="2" t="s">
        <v>186</v>
      </c>
      <c r="S570" s="2" t="s">
        <v>155</v>
      </c>
      <c r="T570" s="2" t="s">
        <v>156</v>
      </c>
    </row>
    <row r="571" spans="1:20" x14ac:dyDescent="0.3">
      <c r="A571" s="2" t="s">
        <v>180</v>
      </c>
      <c r="B571" s="2" t="s">
        <v>181</v>
      </c>
      <c r="C571" s="2">
        <v>271542006</v>
      </c>
      <c r="D571" s="2">
        <v>2021</v>
      </c>
      <c r="E571" s="2" t="s">
        <v>41</v>
      </c>
      <c r="F571" s="4">
        <v>3.9999999999999998E-6</v>
      </c>
      <c r="G571" s="2">
        <v>6</v>
      </c>
      <c r="H571" s="2">
        <f t="shared" si="51"/>
        <v>15148.320024000001</v>
      </c>
      <c r="I571" s="2">
        <v>809</v>
      </c>
      <c r="J571" s="2">
        <v>0.12</v>
      </c>
      <c r="K571" s="2">
        <v>4</v>
      </c>
      <c r="L571" s="2">
        <f t="shared" si="52"/>
        <v>388.32</v>
      </c>
      <c r="M571" s="2">
        <v>200</v>
      </c>
      <c r="N571" s="2">
        <v>73.8</v>
      </c>
      <c r="O571" s="2">
        <f t="shared" si="53"/>
        <v>14760</v>
      </c>
      <c r="P571" s="2">
        <f t="shared" si="54"/>
        <v>5.5786286059918115</v>
      </c>
      <c r="Q571" s="7">
        <f t="shared" si="46"/>
        <v>5.4258767620721677</v>
      </c>
      <c r="R571" s="2" t="s">
        <v>190</v>
      </c>
      <c r="S571" s="2" t="s">
        <v>158</v>
      </c>
      <c r="T571" s="2" t="s">
        <v>159</v>
      </c>
    </row>
    <row r="572" spans="1:20" x14ac:dyDescent="0.3">
      <c r="A572" s="2" t="s">
        <v>180</v>
      </c>
      <c r="B572" s="2" t="s">
        <v>181</v>
      </c>
      <c r="C572" s="2">
        <v>274257426</v>
      </c>
      <c r="D572" s="2">
        <v>2022</v>
      </c>
      <c r="E572" s="2" t="s">
        <v>22</v>
      </c>
      <c r="F572" s="4">
        <v>2.9999999999999999E-7</v>
      </c>
      <c r="G572" s="2">
        <v>9</v>
      </c>
      <c r="H572" s="2">
        <f t="shared" si="51"/>
        <v>2132.3680027</v>
      </c>
      <c r="I572" s="2">
        <v>62</v>
      </c>
      <c r="J572" s="2">
        <v>0.13300000000000001</v>
      </c>
      <c r="K572" s="2">
        <v>8</v>
      </c>
      <c r="L572" s="2">
        <f t="shared" si="52"/>
        <v>65.968000000000004</v>
      </c>
      <c r="M572" s="2">
        <v>28</v>
      </c>
      <c r="N572" s="2">
        <v>73.8</v>
      </c>
      <c r="O572" s="2">
        <f t="shared" si="53"/>
        <v>2066.4</v>
      </c>
      <c r="P572" s="2">
        <f t="shared" si="54"/>
        <v>0.77750602191533735</v>
      </c>
      <c r="Q572" s="7">
        <f t="shared" si="46"/>
        <v>0.7744912622172917</v>
      </c>
      <c r="R572" s="2" t="s">
        <v>182</v>
      </c>
      <c r="S572" s="2" t="s">
        <v>28</v>
      </c>
      <c r="T572" s="2" t="s">
        <v>163</v>
      </c>
    </row>
    <row r="573" spans="1:20" x14ac:dyDescent="0.3">
      <c r="A573" s="2" t="s">
        <v>180</v>
      </c>
      <c r="B573" s="2" t="s">
        <v>181</v>
      </c>
      <c r="C573" s="2">
        <v>274257426</v>
      </c>
      <c r="D573" s="2">
        <v>2022</v>
      </c>
      <c r="E573" s="2" t="s">
        <v>26</v>
      </c>
      <c r="F573" s="4">
        <v>4.9999999999999998E-7</v>
      </c>
      <c r="G573" s="2">
        <v>7</v>
      </c>
      <c r="H573" s="2">
        <f t="shared" si="51"/>
        <v>343.49400349999996</v>
      </c>
      <c r="I573" s="2">
        <v>153</v>
      </c>
      <c r="J573" s="2">
        <v>0.13300000000000001</v>
      </c>
      <c r="K573" s="2">
        <v>6</v>
      </c>
      <c r="L573" s="2">
        <f t="shared" si="52"/>
        <v>122.09399999999999</v>
      </c>
      <c r="M573" s="2">
        <v>3</v>
      </c>
      <c r="N573" s="2">
        <v>73.8</v>
      </c>
      <c r="O573" s="2">
        <f t="shared" si="53"/>
        <v>221.39999999999998</v>
      </c>
      <c r="P573" s="2">
        <f t="shared" si="54"/>
        <v>0.12524510585175549</v>
      </c>
      <c r="Q573" s="7">
        <f t="shared" si="46"/>
        <v>0.12516670690275733</v>
      </c>
      <c r="R573" s="2" t="s">
        <v>183</v>
      </c>
      <c r="S573" s="2" t="s">
        <v>28</v>
      </c>
      <c r="T573" s="2" t="s">
        <v>150</v>
      </c>
    </row>
    <row r="574" spans="1:20" x14ac:dyDescent="0.3">
      <c r="A574" s="2" t="s">
        <v>180</v>
      </c>
      <c r="B574" s="2" t="s">
        <v>181</v>
      </c>
      <c r="C574" s="2">
        <v>274257426</v>
      </c>
      <c r="D574" s="2">
        <v>2022</v>
      </c>
      <c r="E574" s="2" t="s">
        <v>151</v>
      </c>
      <c r="F574" s="4">
        <v>1.3999999999999999E-6</v>
      </c>
      <c r="G574" s="2">
        <v>7</v>
      </c>
      <c r="H574" s="2">
        <f t="shared" si="51"/>
        <v>4447.2120098000005</v>
      </c>
      <c r="I574" s="2">
        <v>394</v>
      </c>
      <c r="J574" s="2">
        <v>0.13300000000000001</v>
      </c>
      <c r="K574" s="2">
        <v>6</v>
      </c>
      <c r="L574" s="2">
        <f t="shared" si="52"/>
        <v>314.41200000000003</v>
      </c>
      <c r="M574" s="2">
        <v>56</v>
      </c>
      <c r="N574" s="2">
        <v>73.8</v>
      </c>
      <c r="O574" s="2">
        <f t="shared" si="53"/>
        <v>4132.8</v>
      </c>
      <c r="P574" s="2">
        <f t="shared" si="54"/>
        <v>1.6215466157696676</v>
      </c>
      <c r="Q574" s="7">
        <f t="shared" si="46"/>
        <v>1.6084703234309439</v>
      </c>
      <c r="R574" s="2" t="s">
        <v>184</v>
      </c>
      <c r="S574" s="2" t="s">
        <v>28</v>
      </c>
      <c r="T574" s="2" t="s">
        <v>32</v>
      </c>
    </row>
    <row r="575" spans="1:20" x14ac:dyDescent="0.3">
      <c r="A575" s="2" t="s">
        <v>180</v>
      </c>
      <c r="B575" s="2" t="s">
        <v>181</v>
      </c>
      <c r="C575" s="2">
        <v>274257426</v>
      </c>
      <c r="D575" s="2">
        <v>2022</v>
      </c>
      <c r="E575" s="2" t="s">
        <v>33</v>
      </c>
      <c r="F575" s="4">
        <v>0</v>
      </c>
      <c r="G575" s="2">
        <v>8</v>
      </c>
      <c r="H575" s="2">
        <f t="shared" si="51"/>
        <v>530.56500000000005</v>
      </c>
      <c r="I575" s="2">
        <v>15</v>
      </c>
      <c r="J575" s="2">
        <v>0.13300000000000001</v>
      </c>
      <c r="K575" s="2">
        <v>7</v>
      </c>
      <c r="L575" s="2">
        <f t="shared" si="52"/>
        <v>13.965</v>
      </c>
      <c r="M575" s="2">
        <v>7</v>
      </c>
      <c r="N575" s="2">
        <v>73.8</v>
      </c>
      <c r="O575" s="2">
        <f t="shared" si="53"/>
        <v>516.6</v>
      </c>
      <c r="P575" s="2">
        <f t="shared" si="54"/>
        <v>0.19345510812166672</v>
      </c>
      <c r="Q575" s="7">
        <f t="shared" si="46"/>
        <v>0.19326810433627495</v>
      </c>
      <c r="R575" s="2" t="s">
        <v>185</v>
      </c>
      <c r="S575" s="2" t="s">
        <v>35</v>
      </c>
      <c r="T575" s="2" t="s">
        <v>28</v>
      </c>
    </row>
    <row r="576" spans="1:20" x14ac:dyDescent="0.3">
      <c r="A576" s="2" t="s">
        <v>180</v>
      </c>
      <c r="B576" s="2" t="s">
        <v>181</v>
      </c>
      <c r="C576" s="2">
        <v>274257426</v>
      </c>
      <c r="D576" s="2">
        <v>2022</v>
      </c>
      <c r="E576" s="2" t="s">
        <v>37</v>
      </c>
      <c r="F576" s="4">
        <v>4.9200000000000003E-5</v>
      </c>
      <c r="G576" s="2">
        <v>6</v>
      </c>
      <c r="H576" s="2">
        <f t="shared" si="51"/>
        <v>8839.0402952000004</v>
      </c>
      <c r="I576" s="2">
        <v>13811</v>
      </c>
      <c r="J576" s="2">
        <v>0.128</v>
      </c>
      <c r="K576" s="2">
        <v>5</v>
      </c>
      <c r="L576" s="2">
        <f t="shared" si="52"/>
        <v>8839.0400000000009</v>
      </c>
      <c r="M576" s="2">
        <v>0</v>
      </c>
      <c r="N576" s="2">
        <v>73.8</v>
      </c>
      <c r="O576" s="2">
        <f t="shared" si="53"/>
        <v>0</v>
      </c>
      <c r="P576" s="2">
        <f t="shared" si="54"/>
        <v>3.2228991659828385</v>
      </c>
      <c r="Q576" s="7">
        <f t="shared" si="46"/>
        <v>3.17151724596485</v>
      </c>
      <c r="R576" s="2" t="s">
        <v>186</v>
      </c>
      <c r="S576" s="2" t="s">
        <v>155</v>
      </c>
      <c r="T576" s="2" t="s">
        <v>156</v>
      </c>
    </row>
    <row r="577" spans="1:20" x14ac:dyDescent="0.3">
      <c r="A577" s="2" t="s">
        <v>180</v>
      </c>
      <c r="B577" s="2" t="s">
        <v>181</v>
      </c>
      <c r="C577" s="2">
        <v>274257426</v>
      </c>
      <c r="D577" s="2">
        <v>2022</v>
      </c>
      <c r="E577" s="2" t="s">
        <v>41</v>
      </c>
      <c r="F577" s="4">
        <v>6.0000000000000002E-6</v>
      </c>
      <c r="G577" s="2">
        <v>6</v>
      </c>
      <c r="H577" s="2">
        <f t="shared" si="51"/>
        <v>25368.600036</v>
      </c>
      <c r="I577" s="2">
        <v>1345</v>
      </c>
      <c r="J577" s="2">
        <v>0.12</v>
      </c>
      <c r="K577" s="2">
        <v>4</v>
      </c>
      <c r="L577" s="2">
        <f t="shared" si="52"/>
        <v>645.6</v>
      </c>
      <c r="M577" s="2">
        <v>335</v>
      </c>
      <c r="N577" s="2">
        <v>73.8</v>
      </c>
      <c r="O577" s="2">
        <f t="shared" si="53"/>
        <v>24723</v>
      </c>
      <c r="P577" s="2">
        <f t="shared" si="54"/>
        <v>9.2499227481264263</v>
      </c>
      <c r="Q577" s="7">
        <f t="shared" si="46"/>
        <v>8.8350084769170394</v>
      </c>
      <c r="R577" s="2" t="s">
        <v>191</v>
      </c>
      <c r="S577" s="2" t="s">
        <v>158</v>
      </c>
      <c r="T577" s="2" t="s">
        <v>159</v>
      </c>
    </row>
    <row r="578" spans="1:20" x14ac:dyDescent="0.3">
      <c r="A578" s="2" t="s">
        <v>180</v>
      </c>
      <c r="B578" s="2" t="s">
        <v>181</v>
      </c>
      <c r="C578" s="2">
        <v>277000000</v>
      </c>
      <c r="D578" s="2">
        <v>2023</v>
      </c>
      <c r="E578" s="2" t="s">
        <v>22</v>
      </c>
      <c r="F578" s="4">
        <v>2.9999999999999999E-7</v>
      </c>
      <c r="G578" s="2">
        <v>9</v>
      </c>
      <c r="H578" s="2">
        <f t="shared" si="51"/>
        <v>2216.8080027000001</v>
      </c>
      <c r="I578" s="2">
        <v>72</v>
      </c>
      <c r="J578" s="2">
        <v>0.13300000000000001</v>
      </c>
      <c r="K578" s="2">
        <v>8</v>
      </c>
      <c r="L578" s="2">
        <f t="shared" si="52"/>
        <v>76.608000000000004</v>
      </c>
      <c r="M578" s="2">
        <v>29</v>
      </c>
      <c r="N578" s="2">
        <v>73.8</v>
      </c>
      <c r="O578" s="2">
        <f t="shared" si="53"/>
        <v>2140.1999999999998</v>
      </c>
      <c r="P578" s="2">
        <f t="shared" si="54"/>
        <v>0.80029169772563169</v>
      </c>
      <c r="Q578" s="7">
        <f t="shared" ref="Q578:Q641" si="55">100*(1-EXP(-P578/100))</f>
        <v>0.79709788932520453</v>
      </c>
      <c r="R578" s="2" t="s">
        <v>182</v>
      </c>
      <c r="S578" s="2" t="s">
        <v>28</v>
      </c>
      <c r="T578" s="2" t="s">
        <v>163</v>
      </c>
    </row>
    <row r="579" spans="1:20" x14ac:dyDescent="0.3">
      <c r="A579" s="2" t="s">
        <v>180</v>
      </c>
      <c r="B579" s="2" t="s">
        <v>181</v>
      </c>
      <c r="C579" s="2">
        <v>277000000</v>
      </c>
      <c r="D579" s="2">
        <v>2023</v>
      </c>
      <c r="E579" s="2" t="s">
        <v>26</v>
      </c>
      <c r="F579" s="4">
        <v>4.9999999999999998E-7</v>
      </c>
      <c r="G579" s="2">
        <v>7</v>
      </c>
      <c r="H579" s="2">
        <f t="shared" si="51"/>
        <v>348.28200349999997</v>
      </c>
      <c r="I579" s="2">
        <v>159</v>
      </c>
      <c r="J579" s="2">
        <v>0.13300000000000001</v>
      </c>
      <c r="K579" s="2">
        <v>6</v>
      </c>
      <c r="L579" s="2">
        <f t="shared" si="52"/>
        <v>126.88200000000001</v>
      </c>
      <c r="M579" s="2">
        <v>3</v>
      </c>
      <c r="N579" s="2">
        <v>73.8</v>
      </c>
      <c r="O579" s="2">
        <f t="shared" si="53"/>
        <v>221.39999999999998</v>
      </c>
      <c r="P579" s="2">
        <f t="shared" si="54"/>
        <v>0.12573357527075812</v>
      </c>
      <c r="Q579" s="7">
        <f t="shared" si="55"/>
        <v>0.12565456372914952</v>
      </c>
      <c r="R579" s="2" t="s">
        <v>183</v>
      </c>
      <c r="S579" s="2" t="s">
        <v>28</v>
      </c>
      <c r="T579" s="2" t="s">
        <v>150</v>
      </c>
    </row>
    <row r="580" spans="1:20" x14ac:dyDescent="0.3">
      <c r="A580" s="2" t="s">
        <v>180</v>
      </c>
      <c r="B580" s="2" t="s">
        <v>181</v>
      </c>
      <c r="C580" s="2">
        <v>277000000</v>
      </c>
      <c r="D580" s="2">
        <v>2023</v>
      </c>
      <c r="E580" s="2" t="s">
        <v>151</v>
      </c>
      <c r="F580" s="4">
        <v>1.3999999999999999E-6</v>
      </c>
      <c r="G580" s="2">
        <v>7</v>
      </c>
      <c r="H580" s="2">
        <f t="shared" si="51"/>
        <v>4207.4580097999997</v>
      </c>
      <c r="I580" s="2">
        <v>371</v>
      </c>
      <c r="J580" s="2">
        <v>0.13300000000000001</v>
      </c>
      <c r="K580" s="2">
        <v>6</v>
      </c>
      <c r="L580" s="2">
        <f t="shared" si="52"/>
        <v>296.05799999999999</v>
      </c>
      <c r="M580" s="2">
        <v>53</v>
      </c>
      <c r="N580" s="2">
        <v>73.8</v>
      </c>
      <c r="O580" s="2">
        <f t="shared" si="53"/>
        <v>3911.3999999999996</v>
      </c>
      <c r="P580" s="2">
        <f t="shared" si="54"/>
        <v>1.5189379096750901</v>
      </c>
      <c r="Q580" s="7">
        <f t="shared" si="55"/>
        <v>1.5074602342127874</v>
      </c>
      <c r="R580" s="2" t="s">
        <v>184</v>
      </c>
      <c r="S580" s="2" t="s">
        <v>28</v>
      </c>
      <c r="T580" s="2" t="s">
        <v>32</v>
      </c>
    </row>
    <row r="581" spans="1:20" x14ac:dyDescent="0.3">
      <c r="A581" s="2" t="s">
        <v>180</v>
      </c>
      <c r="B581" s="2" t="s">
        <v>181</v>
      </c>
      <c r="C581" s="2">
        <v>277000000</v>
      </c>
      <c r="D581" s="2">
        <v>2023</v>
      </c>
      <c r="E581" s="2" t="s">
        <v>33</v>
      </c>
      <c r="F581" s="4">
        <v>0</v>
      </c>
      <c r="G581" s="2">
        <v>8</v>
      </c>
      <c r="H581" s="2">
        <f t="shared" si="51"/>
        <v>454.90299999999996</v>
      </c>
      <c r="I581" s="2">
        <v>13</v>
      </c>
      <c r="J581" s="2">
        <v>0.13300000000000001</v>
      </c>
      <c r="K581" s="2">
        <v>7</v>
      </c>
      <c r="L581" s="2">
        <f t="shared" si="52"/>
        <v>12.103000000000002</v>
      </c>
      <c r="M581" s="2">
        <v>6</v>
      </c>
      <c r="N581" s="2">
        <v>73.8</v>
      </c>
      <c r="O581" s="2">
        <f t="shared" si="53"/>
        <v>442.79999999999995</v>
      </c>
      <c r="P581" s="2">
        <f t="shared" si="54"/>
        <v>0.16422490974729242</v>
      </c>
      <c r="Q581" s="7">
        <f t="shared" si="55"/>
        <v>0.16409013443069442</v>
      </c>
      <c r="R581" s="2" t="s">
        <v>185</v>
      </c>
      <c r="S581" s="2" t="s">
        <v>35</v>
      </c>
      <c r="T581" s="2" t="s">
        <v>28</v>
      </c>
    </row>
    <row r="582" spans="1:20" x14ac:dyDescent="0.3">
      <c r="A582" s="2" t="s">
        <v>180</v>
      </c>
      <c r="B582" s="2" t="s">
        <v>181</v>
      </c>
      <c r="C582" s="2">
        <v>277000000</v>
      </c>
      <c r="D582" s="2">
        <v>2023</v>
      </c>
      <c r="E582" s="2" t="s">
        <v>37</v>
      </c>
      <c r="F582" s="4">
        <v>5.3000000000000001E-5</v>
      </c>
      <c r="G582" s="2">
        <v>6</v>
      </c>
      <c r="H582" s="2">
        <f t="shared" si="51"/>
        <v>8615.6803180000006</v>
      </c>
      <c r="I582" s="2">
        <v>13462</v>
      </c>
      <c r="J582" s="2">
        <v>0.128</v>
      </c>
      <c r="K582" s="2">
        <v>5</v>
      </c>
      <c r="L582" s="2">
        <f t="shared" si="52"/>
        <v>8615.68</v>
      </c>
      <c r="M582" s="2">
        <v>0</v>
      </c>
      <c r="N582" s="2">
        <v>73.8</v>
      </c>
      <c r="O582" s="2">
        <f t="shared" si="53"/>
        <v>0</v>
      </c>
      <c r="P582" s="2">
        <f t="shared" si="54"/>
        <v>3.1103539054151628</v>
      </c>
      <c r="Q582" s="7">
        <f t="shared" si="55"/>
        <v>3.0624800311460976</v>
      </c>
      <c r="R582" s="2" t="s">
        <v>186</v>
      </c>
      <c r="S582" s="2" t="s">
        <v>155</v>
      </c>
      <c r="T582" s="2" t="s">
        <v>156</v>
      </c>
    </row>
    <row r="583" spans="1:20" x14ac:dyDescent="0.3">
      <c r="A583" s="2" t="s">
        <v>180</v>
      </c>
      <c r="B583" s="2" t="s">
        <v>181</v>
      </c>
      <c r="C583" s="2">
        <v>277000000</v>
      </c>
      <c r="D583" s="2">
        <v>2023</v>
      </c>
      <c r="E583" s="2" t="s">
        <v>41</v>
      </c>
      <c r="F583" s="4">
        <v>1.9999999999999999E-6</v>
      </c>
      <c r="G583" s="2">
        <v>6</v>
      </c>
      <c r="H583" s="2">
        <f t="shared" si="51"/>
        <v>9093.6000120000008</v>
      </c>
      <c r="I583" s="2">
        <v>495</v>
      </c>
      <c r="J583" s="2">
        <v>0.12</v>
      </c>
      <c r="K583" s="2">
        <v>4</v>
      </c>
      <c r="L583" s="2">
        <f t="shared" si="52"/>
        <v>237.6</v>
      </c>
      <c r="M583" s="2">
        <v>120</v>
      </c>
      <c r="N583" s="2">
        <v>73.8</v>
      </c>
      <c r="O583" s="2">
        <f t="shared" si="53"/>
        <v>8856</v>
      </c>
      <c r="P583" s="2">
        <f t="shared" si="54"/>
        <v>3.2828880909747293</v>
      </c>
      <c r="Q583" s="7">
        <f t="shared" si="55"/>
        <v>3.2295861926450953</v>
      </c>
      <c r="R583" s="2" t="s">
        <v>187</v>
      </c>
      <c r="S583" s="2" t="s">
        <v>158</v>
      </c>
      <c r="T583" s="2" t="s">
        <v>159</v>
      </c>
    </row>
    <row r="584" spans="1:20" x14ac:dyDescent="0.3">
      <c r="A584" s="2" t="s">
        <v>180</v>
      </c>
      <c r="B584" s="2" t="s">
        <v>181</v>
      </c>
      <c r="C584" s="2">
        <v>279770000</v>
      </c>
      <c r="D584" s="2">
        <v>2024</v>
      </c>
      <c r="E584" s="2" t="s">
        <v>22</v>
      </c>
      <c r="F584" s="4">
        <v>2.9999999999999999E-7</v>
      </c>
      <c r="G584" s="2">
        <v>9</v>
      </c>
      <c r="H584" s="2">
        <f t="shared" si="51"/>
        <v>2356.9600026999997</v>
      </c>
      <c r="I584" s="2">
        <v>65</v>
      </c>
      <c r="J584" s="2">
        <v>0.13300000000000001</v>
      </c>
      <c r="K584" s="2">
        <v>8</v>
      </c>
      <c r="L584" s="2">
        <f t="shared" si="52"/>
        <v>69.16</v>
      </c>
      <c r="M584" s="2">
        <v>31</v>
      </c>
      <c r="N584" s="2">
        <v>73.8</v>
      </c>
      <c r="O584" s="2">
        <f t="shared" si="53"/>
        <v>2287.7999999999997</v>
      </c>
      <c r="P584" s="2">
        <f t="shared" si="54"/>
        <v>0.84246345308646375</v>
      </c>
      <c r="Q584" s="7">
        <f t="shared" si="55"/>
        <v>0.83892467434953932</v>
      </c>
      <c r="R584" s="2" t="s">
        <v>182</v>
      </c>
      <c r="S584" s="2" t="s">
        <v>28</v>
      </c>
      <c r="T584" s="2" t="s">
        <v>163</v>
      </c>
    </row>
    <row r="585" spans="1:20" x14ac:dyDescent="0.3">
      <c r="A585" s="2" t="s">
        <v>180</v>
      </c>
      <c r="B585" s="2" t="s">
        <v>181</v>
      </c>
      <c r="C585" s="2">
        <v>279770000</v>
      </c>
      <c r="D585" s="2">
        <v>2024</v>
      </c>
      <c r="E585" s="2" t="s">
        <v>26</v>
      </c>
      <c r="F585" s="4">
        <v>4.9999999999999998E-7</v>
      </c>
      <c r="G585" s="2">
        <v>7</v>
      </c>
      <c r="H585" s="2">
        <f t="shared" si="51"/>
        <v>333.9180035</v>
      </c>
      <c r="I585" s="2">
        <v>141</v>
      </c>
      <c r="J585" s="2">
        <v>0.13300000000000001</v>
      </c>
      <c r="K585" s="2">
        <v>6</v>
      </c>
      <c r="L585" s="2">
        <f t="shared" si="52"/>
        <v>112.518</v>
      </c>
      <c r="M585" s="2">
        <v>3</v>
      </c>
      <c r="N585" s="2">
        <v>73.8</v>
      </c>
      <c r="O585" s="2">
        <f t="shared" si="53"/>
        <v>221.39999999999998</v>
      </c>
      <c r="P585" s="2">
        <f t="shared" si="54"/>
        <v>0.11935447099403082</v>
      </c>
      <c r="Q585" s="7">
        <f t="shared" si="55"/>
        <v>0.11928327187455956</v>
      </c>
      <c r="R585" s="2" t="s">
        <v>183</v>
      </c>
      <c r="S585" s="2" t="s">
        <v>28</v>
      </c>
      <c r="T585" s="2" t="s">
        <v>150</v>
      </c>
    </row>
    <row r="586" spans="1:20" x14ac:dyDescent="0.3">
      <c r="A586" s="2" t="s">
        <v>180</v>
      </c>
      <c r="B586" s="2" t="s">
        <v>181</v>
      </c>
      <c r="C586" s="2">
        <v>279770000</v>
      </c>
      <c r="D586" s="2">
        <v>2024</v>
      </c>
      <c r="E586" s="2" t="s">
        <v>151</v>
      </c>
      <c r="F586" s="4">
        <v>1.3E-6</v>
      </c>
      <c r="G586" s="2">
        <v>7</v>
      </c>
      <c r="H586" s="2">
        <f t="shared" si="51"/>
        <v>5061.5520090999999</v>
      </c>
      <c r="I586" s="2">
        <v>424</v>
      </c>
      <c r="J586" s="2">
        <v>0.13300000000000001</v>
      </c>
      <c r="K586" s="2">
        <v>6</v>
      </c>
      <c r="L586" s="2">
        <f t="shared" si="52"/>
        <v>338.35200000000003</v>
      </c>
      <c r="M586" s="2">
        <v>64</v>
      </c>
      <c r="N586" s="2">
        <v>73.8</v>
      </c>
      <c r="O586" s="2">
        <f t="shared" si="53"/>
        <v>4723.2</v>
      </c>
      <c r="P586" s="2">
        <f t="shared" si="54"/>
        <v>1.8091832609286198</v>
      </c>
      <c r="Q586" s="7">
        <f t="shared" si="55"/>
        <v>1.7929157910772764</v>
      </c>
      <c r="R586" s="2" t="s">
        <v>184</v>
      </c>
      <c r="S586" s="2" t="s">
        <v>28</v>
      </c>
      <c r="T586" s="2" t="s">
        <v>32</v>
      </c>
    </row>
    <row r="587" spans="1:20" x14ac:dyDescent="0.3">
      <c r="A587" s="2" t="s">
        <v>180</v>
      </c>
      <c r="B587" s="2" t="s">
        <v>181</v>
      </c>
      <c r="C587" s="2">
        <v>279770000</v>
      </c>
      <c r="D587" s="2">
        <v>2024</v>
      </c>
      <c r="E587" s="2" t="s">
        <v>33</v>
      </c>
      <c r="F587" s="4">
        <v>0</v>
      </c>
      <c r="G587" s="2">
        <v>8</v>
      </c>
      <c r="H587" s="2">
        <f t="shared" si="51"/>
        <v>453.04099999999994</v>
      </c>
      <c r="I587" s="2">
        <v>11</v>
      </c>
      <c r="J587" s="2">
        <v>0.13300000000000001</v>
      </c>
      <c r="K587" s="2">
        <v>7</v>
      </c>
      <c r="L587" s="2">
        <f t="shared" si="52"/>
        <v>10.241</v>
      </c>
      <c r="M587" s="2">
        <v>6</v>
      </c>
      <c r="N587" s="2">
        <v>73.8</v>
      </c>
      <c r="O587" s="2">
        <f t="shared" si="53"/>
        <v>442.79999999999995</v>
      </c>
      <c r="P587" s="2">
        <f t="shared" si="54"/>
        <v>0.16193337384279943</v>
      </c>
      <c r="Q587" s="7">
        <f t="shared" si="55"/>
        <v>0.16180233249775133</v>
      </c>
      <c r="R587" s="2" t="s">
        <v>185</v>
      </c>
      <c r="S587" s="2" t="s">
        <v>35</v>
      </c>
      <c r="T587" s="2" t="s">
        <v>28</v>
      </c>
    </row>
    <row r="588" spans="1:20" x14ac:dyDescent="0.3">
      <c r="A588" s="2" t="s">
        <v>180</v>
      </c>
      <c r="B588" s="2" t="s">
        <v>181</v>
      </c>
      <c r="C588" s="2">
        <v>279770000</v>
      </c>
      <c r="D588" s="2">
        <v>2024</v>
      </c>
      <c r="E588" s="2" t="s">
        <v>37</v>
      </c>
      <c r="F588" s="4">
        <v>5.38E-5</v>
      </c>
      <c r="G588" s="2">
        <v>6</v>
      </c>
      <c r="H588" s="2">
        <f t="shared" si="51"/>
        <v>10655.360322800001</v>
      </c>
      <c r="I588" s="2">
        <v>16649</v>
      </c>
      <c r="J588" s="2">
        <v>0.128</v>
      </c>
      <c r="K588" s="2">
        <v>5</v>
      </c>
      <c r="L588" s="2">
        <f t="shared" si="52"/>
        <v>10655.36</v>
      </c>
      <c r="M588" s="2">
        <v>0</v>
      </c>
      <c r="N588" s="2">
        <v>73.8</v>
      </c>
      <c r="O588" s="2">
        <f t="shared" si="53"/>
        <v>0</v>
      </c>
      <c r="P588" s="2">
        <f t="shared" si="54"/>
        <v>3.8086143342030963</v>
      </c>
      <c r="Q588" s="7">
        <f t="shared" si="55"/>
        <v>3.7369986847057723</v>
      </c>
      <c r="R588" s="2" t="s">
        <v>186</v>
      </c>
      <c r="S588" s="2" t="s">
        <v>155</v>
      </c>
      <c r="T588" s="2" t="s">
        <v>156</v>
      </c>
    </row>
    <row r="589" spans="1:20" x14ac:dyDescent="0.3">
      <c r="A589" s="2" t="s">
        <v>180</v>
      </c>
      <c r="B589" s="2" t="s">
        <v>181</v>
      </c>
      <c r="C589" s="2">
        <v>279770000</v>
      </c>
      <c r="D589" s="2">
        <v>2024</v>
      </c>
      <c r="E589" s="2" t="s">
        <v>41</v>
      </c>
      <c r="F589" s="4">
        <v>1.9999999999999999E-6</v>
      </c>
      <c r="G589" s="2">
        <v>6</v>
      </c>
      <c r="H589" s="2">
        <f t="shared" si="51"/>
        <v>9061.4400120000009</v>
      </c>
      <c r="I589" s="2">
        <v>428</v>
      </c>
      <c r="J589" s="2">
        <v>0.12</v>
      </c>
      <c r="K589" s="2">
        <v>4</v>
      </c>
      <c r="L589" s="2">
        <f t="shared" si="52"/>
        <v>205.44</v>
      </c>
      <c r="M589" s="2">
        <v>120</v>
      </c>
      <c r="N589" s="2">
        <v>73.8</v>
      </c>
      <c r="O589" s="2">
        <f t="shared" si="53"/>
        <v>8856</v>
      </c>
      <c r="P589" s="2">
        <f t="shared" si="54"/>
        <v>3.2388890917539412</v>
      </c>
      <c r="Q589" s="7">
        <f t="shared" si="55"/>
        <v>3.1869988107041558</v>
      </c>
      <c r="R589" s="2" t="s">
        <v>187</v>
      </c>
      <c r="S589" s="2" t="s">
        <v>158</v>
      </c>
      <c r="T589" s="2" t="s">
        <v>159</v>
      </c>
    </row>
    <row r="590" spans="1:20" x14ac:dyDescent="0.3">
      <c r="A590" s="2" t="s">
        <v>180</v>
      </c>
      <c r="B590" s="2" t="s">
        <v>181</v>
      </c>
      <c r="C590" s="2">
        <v>282567700</v>
      </c>
      <c r="D590" s="2">
        <v>2025</v>
      </c>
      <c r="E590" s="2" t="s">
        <v>22</v>
      </c>
      <c r="F590" s="4">
        <v>1.9999999999999999E-7</v>
      </c>
      <c r="G590" s="2">
        <v>9</v>
      </c>
      <c r="H590" s="2">
        <f t="shared" si="51"/>
        <v>2505.6240018000003</v>
      </c>
      <c r="I590" s="2">
        <v>66</v>
      </c>
      <c r="J590" s="2">
        <v>0.13300000000000001</v>
      </c>
      <c r="K590" s="2">
        <v>8</v>
      </c>
      <c r="L590" s="2">
        <f t="shared" si="52"/>
        <v>70.224000000000004</v>
      </c>
      <c r="M590" s="2">
        <v>33</v>
      </c>
      <c r="N590" s="2">
        <v>73.8</v>
      </c>
      <c r="O590" s="2">
        <f t="shared" si="53"/>
        <v>2435.4</v>
      </c>
      <c r="P590" s="2">
        <f t="shared" si="54"/>
        <v>0.88673404702660652</v>
      </c>
      <c r="Q590" s="7">
        <f t="shared" si="55"/>
        <v>0.88281415556981102</v>
      </c>
      <c r="R590" s="2" t="s">
        <v>182</v>
      </c>
      <c r="S590" s="2" t="s">
        <v>28</v>
      </c>
      <c r="T590" s="2" t="s">
        <v>163</v>
      </c>
    </row>
    <row r="591" spans="1:20" x14ac:dyDescent="0.3">
      <c r="A591" s="2" t="s">
        <v>180</v>
      </c>
      <c r="B591" s="2" t="s">
        <v>181</v>
      </c>
      <c r="C591" s="2">
        <v>282567700</v>
      </c>
      <c r="D591" s="2">
        <v>2025</v>
      </c>
      <c r="E591" s="2" t="s">
        <v>26</v>
      </c>
      <c r="F591" s="4">
        <v>5.9999999999999997E-7</v>
      </c>
      <c r="G591" s="2">
        <v>7</v>
      </c>
      <c r="H591" s="2">
        <f t="shared" si="51"/>
        <v>349.87800419999996</v>
      </c>
      <c r="I591" s="2">
        <v>161</v>
      </c>
      <c r="J591" s="2">
        <v>0.13300000000000001</v>
      </c>
      <c r="K591" s="2">
        <v>6</v>
      </c>
      <c r="L591" s="2">
        <f t="shared" si="52"/>
        <v>128.47800000000001</v>
      </c>
      <c r="M591" s="2">
        <v>3</v>
      </c>
      <c r="N591" s="2">
        <v>73.8</v>
      </c>
      <c r="O591" s="2">
        <f t="shared" si="53"/>
        <v>221.39999999999998</v>
      </c>
      <c r="P591" s="2">
        <f t="shared" si="54"/>
        <v>0.12382094775871411</v>
      </c>
      <c r="Q591" s="7">
        <f t="shared" si="55"/>
        <v>0.12374432125301649</v>
      </c>
      <c r="R591" s="2" t="s">
        <v>183</v>
      </c>
      <c r="S591" s="2" t="s">
        <v>28</v>
      </c>
      <c r="T591" s="2" t="s">
        <v>150</v>
      </c>
    </row>
    <row r="592" spans="1:20" x14ac:dyDescent="0.3">
      <c r="A592" s="2" t="s">
        <v>180</v>
      </c>
      <c r="B592" s="2" t="s">
        <v>181</v>
      </c>
      <c r="C592" s="2">
        <v>282567700</v>
      </c>
      <c r="D592" s="2">
        <v>2025</v>
      </c>
      <c r="E592" s="2" t="s">
        <v>151</v>
      </c>
      <c r="F592" s="4">
        <v>1.5999999999999999E-6</v>
      </c>
      <c r="G592" s="2">
        <v>7</v>
      </c>
      <c r="H592" s="2">
        <f t="shared" ref="H592:H623" si="56">L592+O592+G592*F592</f>
        <v>5197.1820112000005</v>
      </c>
      <c r="I592" s="2">
        <v>409</v>
      </c>
      <c r="J592" s="2">
        <v>0.13300000000000001</v>
      </c>
      <c r="K592" s="2">
        <v>6</v>
      </c>
      <c r="L592" s="2">
        <f t="shared" ref="L592:L623" si="57">I592*J592*K592</f>
        <v>326.38200000000006</v>
      </c>
      <c r="M592" s="2">
        <v>66</v>
      </c>
      <c r="N592" s="2">
        <v>73.8</v>
      </c>
      <c r="O592" s="2">
        <f t="shared" ref="O592:O623" si="58">M592*N592</f>
        <v>4870.8</v>
      </c>
      <c r="P592" s="2">
        <f t="shared" si="54"/>
        <v>1.8392696727899194</v>
      </c>
      <c r="Q592" s="7">
        <f t="shared" si="55"/>
        <v>1.822458334540844</v>
      </c>
      <c r="R592" s="2" t="s">
        <v>184</v>
      </c>
      <c r="S592" s="2" t="s">
        <v>28</v>
      </c>
      <c r="T592" s="2" t="s">
        <v>32</v>
      </c>
    </row>
    <row r="593" spans="1:20" x14ac:dyDescent="0.3">
      <c r="A593" s="2" t="s">
        <v>180</v>
      </c>
      <c r="B593" s="2" t="s">
        <v>181</v>
      </c>
      <c r="C593" s="2">
        <v>282567700</v>
      </c>
      <c r="D593" s="2">
        <v>2025</v>
      </c>
      <c r="E593" s="2" t="s">
        <v>33</v>
      </c>
      <c r="F593" s="4">
        <v>0</v>
      </c>
      <c r="G593" s="2">
        <v>8</v>
      </c>
      <c r="H593" s="2">
        <f t="shared" si="56"/>
        <v>454.90299999999996</v>
      </c>
      <c r="I593" s="2">
        <v>13</v>
      </c>
      <c r="J593" s="2">
        <v>0.13300000000000001</v>
      </c>
      <c r="K593" s="2">
        <v>7</v>
      </c>
      <c r="L593" s="2">
        <f t="shared" si="57"/>
        <v>12.103000000000002</v>
      </c>
      <c r="M593" s="2">
        <v>6</v>
      </c>
      <c r="N593" s="2">
        <v>73.8</v>
      </c>
      <c r="O593" s="2">
        <f t="shared" si="58"/>
        <v>442.79999999999995</v>
      </c>
      <c r="P593" s="2">
        <f t="shared" si="54"/>
        <v>0.16098903023947886</v>
      </c>
      <c r="Q593" s="7">
        <f t="shared" si="55"/>
        <v>0.16085951241268104</v>
      </c>
      <c r="R593" s="2" t="s">
        <v>185</v>
      </c>
      <c r="S593" s="2" t="s">
        <v>35</v>
      </c>
      <c r="T593" s="2" t="s">
        <v>28</v>
      </c>
    </row>
    <row r="594" spans="1:20" x14ac:dyDescent="0.3">
      <c r="A594" s="2" t="s">
        <v>180</v>
      </c>
      <c r="B594" s="2" t="s">
        <v>181</v>
      </c>
      <c r="C594" s="2">
        <v>282567700</v>
      </c>
      <c r="D594" s="2">
        <v>2025</v>
      </c>
      <c r="E594" s="2" t="s">
        <v>37</v>
      </c>
      <c r="F594" s="4">
        <v>5.7299999999999997E-5</v>
      </c>
      <c r="G594" s="2">
        <v>6</v>
      </c>
      <c r="H594" s="2">
        <f t="shared" si="56"/>
        <v>9610.8803437999995</v>
      </c>
      <c r="I594" s="2">
        <v>15017</v>
      </c>
      <c r="J594" s="2">
        <v>0.128</v>
      </c>
      <c r="K594" s="2">
        <v>5</v>
      </c>
      <c r="L594" s="2">
        <f t="shared" si="57"/>
        <v>9610.8799999999992</v>
      </c>
      <c r="M594" s="2">
        <v>0</v>
      </c>
      <c r="N594" s="2">
        <v>73.8</v>
      </c>
      <c r="O594" s="2">
        <f t="shared" si="58"/>
        <v>0</v>
      </c>
      <c r="P594" s="2">
        <f t="shared" si="54"/>
        <v>3.401266437671397</v>
      </c>
      <c r="Q594" s="7">
        <f t="shared" si="55"/>
        <v>3.3440736310636932</v>
      </c>
      <c r="R594" s="2" t="s">
        <v>186</v>
      </c>
      <c r="S594" s="2" t="s">
        <v>155</v>
      </c>
      <c r="T594" s="2" t="s">
        <v>156</v>
      </c>
    </row>
    <row r="595" spans="1:20" x14ac:dyDescent="0.3">
      <c r="A595" s="2" t="s">
        <v>180</v>
      </c>
      <c r="B595" s="2" t="s">
        <v>181</v>
      </c>
      <c r="C595" s="2">
        <v>282567700</v>
      </c>
      <c r="D595" s="2">
        <v>2025</v>
      </c>
      <c r="E595" s="2" t="s">
        <v>41</v>
      </c>
      <c r="F595" s="4">
        <v>1.9999999999999999E-6</v>
      </c>
      <c r="G595" s="2">
        <v>6</v>
      </c>
      <c r="H595" s="2">
        <f t="shared" si="56"/>
        <v>9089.2800120000011</v>
      </c>
      <c r="I595" s="2">
        <v>486</v>
      </c>
      <c r="J595" s="2">
        <v>0.12</v>
      </c>
      <c r="K595" s="2">
        <v>4</v>
      </c>
      <c r="L595" s="2">
        <f t="shared" si="57"/>
        <v>233.28</v>
      </c>
      <c r="M595" s="2">
        <v>120</v>
      </c>
      <c r="N595" s="2">
        <v>73.8</v>
      </c>
      <c r="O595" s="2">
        <f t="shared" si="58"/>
        <v>8856</v>
      </c>
      <c r="P595" s="2">
        <f t="shared" si="54"/>
        <v>3.2166733890674704</v>
      </c>
      <c r="Q595" s="7">
        <f t="shared" si="55"/>
        <v>3.1654887329791048</v>
      </c>
      <c r="R595" s="2" t="s">
        <v>187</v>
      </c>
      <c r="S595" s="2" t="s">
        <v>158</v>
      </c>
      <c r="T595" s="2" t="s">
        <v>159</v>
      </c>
    </row>
    <row r="596" spans="1:20" x14ac:dyDescent="0.3">
      <c r="A596" s="2" t="s">
        <v>192</v>
      </c>
      <c r="B596" s="2" t="s">
        <v>87</v>
      </c>
      <c r="C596" s="2">
        <v>46212081</v>
      </c>
      <c r="D596" s="2">
        <v>2015</v>
      </c>
      <c r="E596" s="2" t="s">
        <v>22</v>
      </c>
      <c r="F596" s="4" t="s">
        <v>29</v>
      </c>
      <c r="G596" s="2">
        <v>9</v>
      </c>
      <c r="H596" s="2" t="s">
        <v>29</v>
      </c>
      <c r="I596" s="2" t="s">
        <v>29</v>
      </c>
      <c r="J596" s="2">
        <v>0.13300000000000001</v>
      </c>
      <c r="K596" s="2">
        <v>8</v>
      </c>
      <c r="L596" s="2" t="s">
        <v>29</v>
      </c>
      <c r="M596" s="2" t="s">
        <v>29</v>
      </c>
      <c r="N596" s="2">
        <v>73.8</v>
      </c>
      <c r="O596" s="2" t="s">
        <v>29</v>
      </c>
      <c r="P596" s="2" t="s">
        <v>29</v>
      </c>
      <c r="Q596" s="7" t="e">
        <f t="shared" si="55"/>
        <v>#VALUE!</v>
      </c>
      <c r="R596" s="2" t="s">
        <v>193</v>
      </c>
      <c r="S596" s="2" t="s">
        <v>28</v>
      </c>
      <c r="T596" s="2" t="s">
        <v>29</v>
      </c>
    </row>
    <row r="597" spans="1:20" x14ac:dyDescent="0.3">
      <c r="A597" s="2" t="s">
        <v>192</v>
      </c>
      <c r="B597" s="2" t="s">
        <v>87</v>
      </c>
      <c r="C597" s="2">
        <v>46212081</v>
      </c>
      <c r="D597" s="2">
        <v>2015</v>
      </c>
      <c r="E597" s="2" t="s">
        <v>26</v>
      </c>
      <c r="F597" s="4">
        <v>9.9999999999999995E-7</v>
      </c>
      <c r="G597" s="2">
        <v>7</v>
      </c>
      <c r="H597" s="2">
        <f>L597+O597+G597*F597</f>
        <v>724.84800699999994</v>
      </c>
      <c r="I597" s="2">
        <v>76</v>
      </c>
      <c r="J597" s="2">
        <v>0.13300000000000001</v>
      </c>
      <c r="K597" s="2">
        <v>6</v>
      </c>
      <c r="L597" s="2">
        <f>I597*J597*K597</f>
        <v>60.648000000000003</v>
      </c>
      <c r="M597" s="2">
        <v>9</v>
      </c>
      <c r="N597" s="2">
        <v>73.8</v>
      </c>
      <c r="O597" s="2">
        <f>M597*N597</f>
        <v>664.19999999999993</v>
      </c>
      <c r="P597" s="2">
        <f>H597/C597*100000</f>
        <v>1.5685249210049641</v>
      </c>
      <c r="Q597" s="7">
        <f t="shared" si="55"/>
        <v>1.556287634040876</v>
      </c>
      <c r="R597" s="2" t="s">
        <v>194</v>
      </c>
      <c r="S597" s="2" t="s">
        <v>28</v>
      </c>
      <c r="T597" s="2" t="s">
        <v>150</v>
      </c>
    </row>
    <row r="598" spans="1:20" x14ac:dyDescent="0.3">
      <c r="A598" s="2" t="s">
        <v>192</v>
      </c>
      <c r="B598" s="2" t="s">
        <v>87</v>
      </c>
      <c r="C598" s="2">
        <v>46212081</v>
      </c>
      <c r="D598" s="2">
        <v>2015</v>
      </c>
      <c r="E598" s="2" t="s">
        <v>151</v>
      </c>
      <c r="F598" s="4">
        <v>1.8E-5</v>
      </c>
      <c r="G598" s="2">
        <v>7</v>
      </c>
      <c r="H598" s="2">
        <f>L598+O598+G598*F598</f>
        <v>12902.706126000001</v>
      </c>
      <c r="I598" s="2">
        <v>447</v>
      </c>
      <c r="J598" s="2">
        <v>0.13300000000000001</v>
      </c>
      <c r="K598" s="2">
        <v>6</v>
      </c>
      <c r="L598" s="2">
        <f>I598*J598*K598</f>
        <v>356.70600000000002</v>
      </c>
      <c r="M598" s="2">
        <v>170</v>
      </c>
      <c r="N598" s="2">
        <v>73.8</v>
      </c>
      <c r="O598" s="2">
        <f>M598*N598</f>
        <v>12546</v>
      </c>
      <c r="P598" s="2">
        <f>H598/C598*100000</f>
        <v>27.920634273102742</v>
      </c>
      <c r="Q598" s="7">
        <f t="shared" si="55"/>
        <v>24.361618719009915</v>
      </c>
      <c r="R598" s="2" t="s">
        <v>195</v>
      </c>
      <c r="S598" s="2" t="s">
        <v>28</v>
      </c>
      <c r="T598" s="2" t="s">
        <v>32</v>
      </c>
    </row>
    <row r="599" spans="1:20" x14ac:dyDescent="0.3">
      <c r="A599" s="2" t="s">
        <v>192</v>
      </c>
      <c r="B599" s="2" t="s">
        <v>87</v>
      </c>
      <c r="C599" s="2">
        <v>46212081</v>
      </c>
      <c r="D599" s="2">
        <v>2015</v>
      </c>
      <c r="E599" s="2" t="s">
        <v>33</v>
      </c>
      <c r="F599" s="4">
        <v>3.0000000000000001E-6</v>
      </c>
      <c r="G599" s="2">
        <v>8</v>
      </c>
      <c r="H599" s="2">
        <f>L599+O599+G599*F599</f>
        <v>11349.729024</v>
      </c>
      <c r="I599" s="2">
        <v>459</v>
      </c>
      <c r="J599" s="2">
        <v>0.13300000000000001</v>
      </c>
      <c r="K599" s="2">
        <v>7</v>
      </c>
      <c r="L599" s="2">
        <f>I599*J599*K599</f>
        <v>427.32900000000001</v>
      </c>
      <c r="M599" s="2">
        <v>148</v>
      </c>
      <c r="N599" s="2">
        <v>73.8</v>
      </c>
      <c r="O599" s="2">
        <f>M599*N599</f>
        <v>10922.4</v>
      </c>
      <c r="P599" s="2">
        <f>H599/C599*100000</f>
        <v>24.560090734715022</v>
      </c>
      <c r="Q599" s="7">
        <f t="shared" si="55"/>
        <v>21.776565338086041</v>
      </c>
      <c r="R599" s="2" t="s">
        <v>196</v>
      </c>
      <c r="S599" s="2" t="s">
        <v>35</v>
      </c>
      <c r="T599" s="2" t="s">
        <v>28</v>
      </c>
    </row>
    <row r="600" spans="1:20" x14ac:dyDescent="0.3">
      <c r="A600" s="2" t="s">
        <v>192</v>
      </c>
      <c r="B600" s="2" t="s">
        <v>87</v>
      </c>
      <c r="C600" s="2">
        <v>46212081</v>
      </c>
      <c r="D600" s="2">
        <v>2015</v>
      </c>
      <c r="E600" s="2" t="s">
        <v>37</v>
      </c>
      <c r="F600" s="4">
        <v>8.0000000000000002E-3</v>
      </c>
      <c r="G600" s="2">
        <v>6</v>
      </c>
      <c r="H600" s="2">
        <f>L600+O600+G600*F600</f>
        <v>251699.88800000001</v>
      </c>
      <c r="I600" s="2">
        <v>393281</v>
      </c>
      <c r="J600" s="2">
        <v>0.128</v>
      </c>
      <c r="K600" s="2">
        <v>5</v>
      </c>
      <c r="L600" s="2">
        <f>I600*J600*K600</f>
        <v>251699.84</v>
      </c>
      <c r="M600" s="2">
        <v>0</v>
      </c>
      <c r="N600" s="2">
        <v>73.8</v>
      </c>
      <c r="O600" s="2">
        <f>M600*N600</f>
        <v>0</v>
      </c>
      <c r="P600" s="2">
        <f>H600/C600*100000</f>
        <v>544.6625266669987</v>
      </c>
      <c r="Q600" s="7">
        <f t="shared" si="55"/>
        <v>99.568917193413654</v>
      </c>
      <c r="R600" s="2" t="s">
        <v>197</v>
      </c>
      <c r="S600" s="2" t="s">
        <v>155</v>
      </c>
      <c r="T600" s="2" t="s">
        <v>156</v>
      </c>
    </row>
    <row r="601" spans="1:20" x14ac:dyDescent="0.3">
      <c r="A601" s="2" t="s">
        <v>192</v>
      </c>
      <c r="B601" s="2" t="s">
        <v>87</v>
      </c>
      <c r="C601" s="2">
        <v>46212081</v>
      </c>
      <c r="D601" s="2">
        <v>2015</v>
      </c>
      <c r="E601" s="2" t="s">
        <v>41</v>
      </c>
      <c r="F601" s="4">
        <v>3.0000000000000001E-6</v>
      </c>
      <c r="G601" s="2">
        <v>6</v>
      </c>
      <c r="H601" s="2">
        <f>L601+O601+G601*F601</f>
        <v>3386.2800180000004</v>
      </c>
      <c r="I601" s="2">
        <v>136</v>
      </c>
      <c r="J601" s="2">
        <v>0.12</v>
      </c>
      <c r="K601" s="2">
        <v>4</v>
      </c>
      <c r="L601" s="2">
        <f>I601*J601*K601</f>
        <v>65.28</v>
      </c>
      <c r="M601" s="2">
        <v>45</v>
      </c>
      <c r="N601" s="2">
        <v>73.8</v>
      </c>
      <c r="O601" s="2">
        <f>M601*N601</f>
        <v>3321</v>
      </c>
      <c r="P601" s="2">
        <f>H601/C601*100000</f>
        <v>7.3276942840985688</v>
      </c>
      <c r="Q601" s="7">
        <f t="shared" si="55"/>
        <v>7.0656580623393861</v>
      </c>
      <c r="R601" s="2" t="s">
        <v>198</v>
      </c>
      <c r="S601" s="2" t="s">
        <v>158</v>
      </c>
      <c r="T601" s="2" t="s">
        <v>159</v>
      </c>
    </row>
    <row r="602" spans="1:20" x14ac:dyDescent="0.3">
      <c r="A602" s="2" t="s">
        <v>192</v>
      </c>
      <c r="B602" s="2" t="s">
        <v>87</v>
      </c>
      <c r="C602" s="2">
        <v>47228746</v>
      </c>
      <c r="D602" s="2">
        <v>2016</v>
      </c>
      <c r="E602" s="2" t="s">
        <v>22</v>
      </c>
      <c r="F602" s="4" t="s">
        <v>29</v>
      </c>
      <c r="G602" s="2">
        <v>9</v>
      </c>
      <c r="H602" s="2" t="s">
        <v>29</v>
      </c>
      <c r="I602" s="2" t="s">
        <v>29</v>
      </c>
      <c r="J602" s="2">
        <v>0.13300000000000001</v>
      </c>
      <c r="K602" s="2">
        <v>8</v>
      </c>
      <c r="L602" s="2" t="s">
        <v>29</v>
      </c>
      <c r="M602" s="2" t="s">
        <v>29</v>
      </c>
      <c r="N602" s="2">
        <v>73.8</v>
      </c>
      <c r="O602" s="2" t="s">
        <v>29</v>
      </c>
      <c r="P602" s="2" t="s">
        <v>29</v>
      </c>
      <c r="Q602" s="7" t="e">
        <f t="shared" si="55"/>
        <v>#VALUE!</v>
      </c>
      <c r="R602" s="2" t="s">
        <v>193</v>
      </c>
      <c r="S602" s="2" t="s">
        <v>28</v>
      </c>
      <c r="T602" s="2" t="s">
        <v>29</v>
      </c>
    </row>
    <row r="603" spans="1:20" x14ac:dyDescent="0.3">
      <c r="A603" s="2" t="s">
        <v>192</v>
      </c>
      <c r="B603" s="2" t="s">
        <v>87</v>
      </c>
      <c r="C603" s="2">
        <v>47228746</v>
      </c>
      <c r="D603" s="2">
        <v>2016</v>
      </c>
      <c r="E603" s="2" t="s">
        <v>26</v>
      </c>
      <c r="F603" s="4">
        <v>9.9999999999999995E-7</v>
      </c>
      <c r="G603" s="2">
        <v>7</v>
      </c>
      <c r="H603" s="2">
        <f>L603+O603+G603*F603</f>
        <v>639.07800699999996</v>
      </c>
      <c r="I603" s="2">
        <v>61</v>
      </c>
      <c r="J603" s="2">
        <v>0.13300000000000001</v>
      </c>
      <c r="K603" s="2">
        <v>6</v>
      </c>
      <c r="L603" s="2">
        <f>I603*J603*K603</f>
        <v>48.677999999999997</v>
      </c>
      <c r="M603" s="2">
        <v>8</v>
      </c>
      <c r="N603" s="2">
        <v>73.8</v>
      </c>
      <c r="O603" s="2">
        <f>M603*N603</f>
        <v>590.4</v>
      </c>
      <c r="P603" s="2">
        <f>H603/C603*100000</f>
        <v>1.35315472276143</v>
      </c>
      <c r="Q603" s="7">
        <f t="shared" si="55"/>
        <v>1.3440407393221165</v>
      </c>
      <c r="R603" s="2" t="s">
        <v>194</v>
      </c>
      <c r="S603" s="2" t="s">
        <v>28</v>
      </c>
      <c r="T603" s="2" t="s">
        <v>150</v>
      </c>
    </row>
    <row r="604" spans="1:20" x14ac:dyDescent="0.3">
      <c r="A604" s="2" t="s">
        <v>192</v>
      </c>
      <c r="B604" s="2" t="s">
        <v>87</v>
      </c>
      <c r="C604" s="2">
        <v>47228746</v>
      </c>
      <c r="D604" s="2">
        <v>2016</v>
      </c>
      <c r="E604" s="2" t="s">
        <v>151</v>
      </c>
      <c r="F604" s="4">
        <v>1.8E-5</v>
      </c>
      <c r="G604" s="2">
        <v>7</v>
      </c>
      <c r="H604" s="2">
        <f>L604+O604+G604*F604</f>
        <v>12942.192126</v>
      </c>
      <c r="I604" s="2">
        <v>404</v>
      </c>
      <c r="J604" s="2">
        <v>0.13300000000000001</v>
      </c>
      <c r="K604" s="2">
        <v>6</v>
      </c>
      <c r="L604" s="2">
        <f>I604*J604*K604</f>
        <v>322.392</v>
      </c>
      <c r="M604" s="2">
        <v>171</v>
      </c>
      <c r="N604" s="2">
        <v>73.8</v>
      </c>
      <c r="O604" s="2">
        <f>M604*N604</f>
        <v>12619.8</v>
      </c>
      <c r="P604" s="2">
        <f>H604/C604*100000</f>
        <v>27.403209320865727</v>
      </c>
      <c r="Q604" s="7">
        <f t="shared" si="55"/>
        <v>23.96923258435012</v>
      </c>
      <c r="R604" s="2" t="s">
        <v>195</v>
      </c>
      <c r="S604" s="2" t="s">
        <v>28</v>
      </c>
      <c r="T604" s="2" t="s">
        <v>32</v>
      </c>
    </row>
    <row r="605" spans="1:20" x14ac:dyDescent="0.3">
      <c r="A605" s="2" t="s">
        <v>192</v>
      </c>
      <c r="B605" s="2" t="s">
        <v>87</v>
      </c>
      <c r="C605" s="2">
        <v>47228746</v>
      </c>
      <c r="D605" s="2">
        <v>2016</v>
      </c>
      <c r="E605" s="2" t="s">
        <v>33</v>
      </c>
      <c r="F605" s="4">
        <v>0</v>
      </c>
      <c r="G605" s="2">
        <v>8</v>
      </c>
      <c r="H605" s="2">
        <f>L605+O605+G605*F605</f>
        <v>842.52299999999991</v>
      </c>
      <c r="I605" s="2">
        <v>33</v>
      </c>
      <c r="J605" s="2">
        <v>0.13300000000000001</v>
      </c>
      <c r="K605" s="2">
        <v>7</v>
      </c>
      <c r="L605" s="2">
        <f>I605*J605*K605</f>
        <v>30.723000000000003</v>
      </c>
      <c r="M605" s="2">
        <v>11</v>
      </c>
      <c r="N605" s="2">
        <v>73.8</v>
      </c>
      <c r="O605" s="2">
        <f>M605*N605</f>
        <v>811.8</v>
      </c>
      <c r="P605" s="2">
        <f>H605/C605*100000</f>
        <v>1.7839199033571629</v>
      </c>
      <c r="Q605" s="7">
        <f t="shared" si="55"/>
        <v>1.768102249998238</v>
      </c>
      <c r="R605" s="2" t="s">
        <v>199</v>
      </c>
      <c r="S605" s="2" t="s">
        <v>35</v>
      </c>
      <c r="T605" s="2" t="s">
        <v>28</v>
      </c>
    </row>
    <row r="606" spans="1:20" x14ac:dyDescent="0.3">
      <c r="A606" s="2" t="s">
        <v>192</v>
      </c>
      <c r="B606" s="2" t="s">
        <v>87</v>
      </c>
      <c r="C606" s="2">
        <v>47228746</v>
      </c>
      <c r="D606" s="2">
        <v>2016</v>
      </c>
      <c r="E606" s="2" t="s">
        <v>37</v>
      </c>
      <c r="F606" s="4">
        <v>8.0000000000000002E-3</v>
      </c>
      <c r="G606" s="2">
        <v>6</v>
      </c>
      <c r="H606" s="2">
        <f>L606+O606+G606*F606</f>
        <v>220823.72800000003</v>
      </c>
      <c r="I606" s="2">
        <v>345037</v>
      </c>
      <c r="J606" s="2">
        <v>0.128</v>
      </c>
      <c r="K606" s="2">
        <v>5</v>
      </c>
      <c r="L606" s="2">
        <f>I606*J606*K606</f>
        <v>220823.68000000002</v>
      </c>
      <c r="M606" s="2">
        <v>0</v>
      </c>
      <c r="N606" s="2">
        <v>73.8</v>
      </c>
      <c r="O606" s="2">
        <f>M606*N606</f>
        <v>0</v>
      </c>
      <c r="P606" s="2">
        <f>H606/C606*100000</f>
        <v>467.5621241351613</v>
      </c>
      <c r="Q606" s="7">
        <f t="shared" si="55"/>
        <v>99.068026646493493</v>
      </c>
      <c r="R606" s="2" t="s">
        <v>197</v>
      </c>
      <c r="S606" s="2" t="s">
        <v>155</v>
      </c>
      <c r="T606" s="2" t="s">
        <v>156</v>
      </c>
    </row>
    <row r="607" spans="1:20" x14ac:dyDescent="0.3">
      <c r="A607" s="2" t="s">
        <v>192</v>
      </c>
      <c r="B607" s="2" t="s">
        <v>87</v>
      </c>
      <c r="C607" s="2">
        <v>47228746</v>
      </c>
      <c r="D607" s="2">
        <v>2016</v>
      </c>
      <c r="E607" s="2" t="s">
        <v>41</v>
      </c>
      <c r="F607" s="4">
        <v>3.0000000000000001E-6</v>
      </c>
      <c r="G607" s="2">
        <v>6</v>
      </c>
      <c r="H607" s="2">
        <f>L607+O607+G607*F607</f>
        <v>3381.4800180000002</v>
      </c>
      <c r="I607" s="2">
        <v>126</v>
      </c>
      <c r="J607" s="2">
        <v>0.12</v>
      </c>
      <c r="K607" s="2">
        <v>4</v>
      </c>
      <c r="L607" s="2">
        <f>I607*J607*K607</f>
        <v>60.48</v>
      </c>
      <c r="M607" s="2">
        <v>45</v>
      </c>
      <c r="N607" s="2">
        <v>73.8</v>
      </c>
      <c r="O607" s="2">
        <f>M607*N607</f>
        <v>3321</v>
      </c>
      <c r="P607" s="2">
        <f>H607/C607*100000</f>
        <v>7.1597920851000367</v>
      </c>
      <c r="Q607" s="7">
        <f t="shared" si="55"/>
        <v>6.9094881889638522</v>
      </c>
      <c r="R607" s="2" t="s">
        <v>198</v>
      </c>
      <c r="S607" s="2" t="s">
        <v>158</v>
      </c>
      <c r="T607" s="2" t="s">
        <v>159</v>
      </c>
    </row>
    <row r="608" spans="1:20" x14ac:dyDescent="0.3">
      <c r="A608" s="2" t="s">
        <v>192</v>
      </c>
      <c r="B608" s="2" t="s">
        <v>87</v>
      </c>
      <c r="C608" s="2">
        <v>48267779</v>
      </c>
      <c r="D608" s="2">
        <v>2017</v>
      </c>
      <c r="E608" s="2" t="s">
        <v>22</v>
      </c>
      <c r="F608" s="4" t="s">
        <v>29</v>
      </c>
      <c r="G608" s="2">
        <v>9</v>
      </c>
      <c r="H608" s="2" t="s">
        <v>29</v>
      </c>
      <c r="I608" s="2" t="s">
        <v>29</v>
      </c>
      <c r="J608" s="2">
        <v>0.13300000000000001</v>
      </c>
      <c r="K608" s="2">
        <v>8</v>
      </c>
      <c r="L608" s="2" t="s">
        <v>29</v>
      </c>
      <c r="M608" s="2" t="s">
        <v>29</v>
      </c>
      <c r="N608" s="2">
        <v>73.8</v>
      </c>
      <c r="O608" s="2" t="s">
        <v>29</v>
      </c>
      <c r="P608" s="2" t="s">
        <v>29</v>
      </c>
      <c r="Q608" s="7" t="e">
        <f t="shared" si="55"/>
        <v>#VALUE!</v>
      </c>
      <c r="R608" s="2" t="s">
        <v>193</v>
      </c>
      <c r="S608" s="2" t="s">
        <v>28</v>
      </c>
      <c r="T608" s="2" t="s">
        <v>29</v>
      </c>
    </row>
    <row r="609" spans="1:20" x14ac:dyDescent="0.3">
      <c r="A609" s="2" t="s">
        <v>192</v>
      </c>
      <c r="B609" s="2" t="s">
        <v>87</v>
      </c>
      <c r="C609" s="2">
        <v>48267779</v>
      </c>
      <c r="D609" s="2">
        <v>2017</v>
      </c>
      <c r="E609" s="2" t="s">
        <v>26</v>
      </c>
      <c r="F609" s="4">
        <v>3.9999999999999998E-6</v>
      </c>
      <c r="G609" s="2">
        <v>7</v>
      </c>
      <c r="H609" s="2">
        <f>L609+O609+G609*F609</f>
        <v>4828.5960279999999</v>
      </c>
      <c r="I609" s="2">
        <v>502</v>
      </c>
      <c r="J609" s="2">
        <v>0.13300000000000001</v>
      </c>
      <c r="K609" s="2">
        <v>6</v>
      </c>
      <c r="L609" s="2">
        <f>I609*J609*K609</f>
        <v>400.596</v>
      </c>
      <c r="M609" s="2">
        <v>60</v>
      </c>
      <c r="N609" s="2">
        <v>73.8</v>
      </c>
      <c r="O609" s="2">
        <f>M609*N609</f>
        <v>4428</v>
      </c>
      <c r="P609" s="2">
        <f>H609/C609*100000</f>
        <v>10.003766752971998</v>
      </c>
      <c r="Q609" s="7">
        <f t="shared" si="55"/>
        <v>9.5196664312473089</v>
      </c>
      <c r="R609" s="2" t="s">
        <v>200</v>
      </c>
      <c r="S609" s="2" t="s">
        <v>28</v>
      </c>
      <c r="T609" s="2" t="s">
        <v>150</v>
      </c>
    </row>
    <row r="610" spans="1:20" x14ac:dyDescent="0.3">
      <c r="A610" s="2" t="s">
        <v>192</v>
      </c>
      <c r="B610" s="2" t="s">
        <v>87</v>
      </c>
      <c r="C610" s="2">
        <v>48267779</v>
      </c>
      <c r="D610" s="2">
        <v>2017</v>
      </c>
      <c r="E610" s="2" t="s">
        <v>151</v>
      </c>
      <c r="F610" s="4">
        <v>1.8E-5</v>
      </c>
      <c r="G610" s="2">
        <v>7</v>
      </c>
      <c r="H610" s="2">
        <f>L610+O610+G610*F610</f>
        <v>12258.456126000001</v>
      </c>
      <c r="I610" s="2">
        <v>472</v>
      </c>
      <c r="J610" s="2">
        <v>0.13300000000000001</v>
      </c>
      <c r="K610" s="2">
        <v>6</v>
      </c>
      <c r="L610" s="2">
        <f>I610*J610*K610</f>
        <v>376.65600000000001</v>
      </c>
      <c r="M610" s="2">
        <v>161</v>
      </c>
      <c r="N610" s="2">
        <v>73.8</v>
      </c>
      <c r="O610" s="2">
        <f>M610*N610</f>
        <v>11881.8</v>
      </c>
      <c r="P610" s="2">
        <f>H610/C610*100000</f>
        <v>25.39676856894534</v>
      </c>
      <c r="Q610" s="7">
        <f t="shared" si="55"/>
        <v>22.428313160274538</v>
      </c>
      <c r="R610" s="2" t="s">
        <v>195</v>
      </c>
      <c r="S610" s="2" t="s">
        <v>28</v>
      </c>
      <c r="T610" s="2" t="s">
        <v>32</v>
      </c>
    </row>
    <row r="611" spans="1:20" x14ac:dyDescent="0.3">
      <c r="A611" s="2" t="s">
        <v>192</v>
      </c>
      <c r="B611" s="2" t="s">
        <v>87</v>
      </c>
      <c r="C611" s="2">
        <v>48267779</v>
      </c>
      <c r="D611" s="2">
        <v>2017</v>
      </c>
      <c r="E611" s="2" t="s">
        <v>33</v>
      </c>
      <c r="F611" s="4">
        <v>0</v>
      </c>
      <c r="G611" s="2">
        <v>8</v>
      </c>
      <c r="H611" s="2">
        <f>L611+O611+G611*F611</f>
        <v>918.18499999999995</v>
      </c>
      <c r="I611" s="2">
        <v>35</v>
      </c>
      <c r="J611" s="2">
        <v>0.13300000000000001</v>
      </c>
      <c r="K611" s="2">
        <v>7</v>
      </c>
      <c r="L611" s="2">
        <f>I611*J611*K611</f>
        <v>32.585000000000001</v>
      </c>
      <c r="M611" s="2">
        <v>12</v>
      </c>
      <c r="N611" s="2">
        <v>73.8</v>
      </c>
      <c r="O611" s="2">
        <f>M611*N611</f>
        <v>885.59999999999991</v>
      </c>
      <c r="P611" s="2">
        <f>H611/C611*100000</f>
        <v>1.9022731499620067</v>
      </c>
      <c r="Q611" s="7">
        <f t="shared" si="55"/>
        <v>1.8842941181997919</v>
      </c>
      <c r="R611" s="2" t="s">
        <v>199</v>
      </c>
      <c r="S611" s="2" t="s">
        <v>35</v>
      </c>
      <c r="T611" s="2" t="s">
        <v>28</v>
      </c>
    </row>
    <row r="612" spans="1:20" x14ac:dyDescent="0.3">
      <c r="A612" s="2" t="s">
        <v>192</v>
      </c>
      <c r="B612" s="2" t="s">
        <v>87</v>
      </c>
      <c r="C612" s="2">
        <v>48267779</v>
      </c>
      <c r="D612" s="2">
        <v>2017</v>
      </c>
      <c r="E612" s="2" t="s">
        <v>37</v>
      </c>
      <c r="F612" s="4">
        <v>8.0000000000000002E-3</v>
      </c>
      <c r="G612" s="2">
        <v>6</v>
      </c>
      <c r="H612" s="2">
        <f>L612+O612+G612*F612</f>
        <v>229742.76800000001</v>
      </c>
      <c r="I612" s="2">
        <v>358973</v>
      </c>
      <c r="J612" s="2">
        <v>0.128</v>
      </c>
      <c r="K612" s="2">
        <v>5</v>
      </c>
      <c r="L612" s="2">
        <f>I612*J612*K612</f>
        <v>229742.72</v>
      </c>
      <c r="M612" s="2">
        <v>0</v>
      </c>
      <c r="N612" s="2">
        <v>73.8</v>
      </c>
      <c r="O612" s="2">
        <f>M612*N612</f>
        <v>0</v>
      </c>
      <c r="P612" s="2">
        <f>H612/C612*100000</f>
        <v>475.97542866018347</v>
      </c>
      <c r="Q612" s="7">
        <f t="shared" si="55"/>
        <v>99.143228565891377</v>
      </c>
      <c r="R612" s="2" t="s">
        <v>197</v>
      </c>
      <c r="S612" s="2" t="s">
        <v>155</v>
      </c>
      <c r="T612" s="2" t="s">
        <v>156</v>
      </c>
    </row>
    <row r="613" spans="1:20" x14ac:dyDescent="0.3">
      <c r="A613" s="2" t="s">
        <v>192</v>
      </c>
      <c r="B613" s="2" t="s">
        <v>87</v>
      </c>
      <c r="C613" s="2">
        <v>48267779</v>
      </c>
      <c r="D613" s="2">
        <v>2017</v>
      </c>
      <c r="E613" s="2" t="s">
        <v>41</v>
      </c>
      <c r="F613" s="4">
        <v>3.0000000000000001E-6</v>
      </c>
      <c r="G613" s="2">
        <v>6</v>
      </c>
      <c r="H613" s="2">
        <f>L613+O613+G613*F613</f>
        <v>3384.3600180000003</v>
      </c>
      <c r="I613" s="2">
        <v>132</v>
      </c>
      <c r="J613" s="2">
        <v>0.12</v>
      </c>
      <c r="K613" s="2">
        <v>4</v>
      </c>
      <c r="L613" s="2">
        <f>I613*J613*K613</f>
        <v>63.36</v>
      </c>
      <c r="M613" s="2">
        <v>45</v>
      </c>
      <c r="N613" s="2">
        <v>73.8</v>
      </c>
      <c r="O613" s="2">
        <f>M613*N613</f>
        <v>3321</v>
      </c>
      <c r="P613" s="2">
        <f>H613/C613*100000</f>
        <v>7.0116340302295663</v>
      </c>
      <c r="Q613" s="7">
        <f t="shared" si="55"/>
        <v>6.7714648763157026</v>
      </c>
      <c r="R613" s="2" t="s">
        <v>198</v>
      </c>
      <c r="S613" s="2" t="s">
        <v>158</v>
      </c>
      <c r="T613" s="2" t="s">
        <v>159</v>
      </c>
    </row>
    <row r="614" spans="1:20" x14ac:dyDescent="0.3">
      <c r="A614" s="2" t="s">
        <v>192</v>
      </c>
      <c r="B614" s="2" t="s">
        <v>87</v>
      </c>
      <c r="C614" s="2">
        <v>49329670</v>
      </c>
      <c r="D614" s="2">
        <v>2018</v>
      </c>
      <c r="E614" s="2" t="s">
        <v>22</v>
      </c>
      <c r="F614" s="4" t="s">
        <v>29</v>
      </c>
      <c r="G614" s="2">
        <v>9</v>
      </c>
      <c r="H614" s="2" t="s">
        <v>29</v>
      </c>
      <c r="I614" s="2" t="s">
        <v>29</v>
      </c>
      <c r="J614" s="2">
        <v>0.13300000000000001</v>
      </c>
      <c r="K614" s="2">
        <v>8</v>
      </c>
      <c r="L614" s="2" t="s">
        <v>29</v>
      </c>
      <c r="M614" s="2" t="s">
        <v>29</v>
      </c>
      <c r="N614" s="2">
        <v>73.8</v>
      </c>
      <c r="O614" s="2" t="s">
        <v>29</v>
      </c>
      <c r="P614" s="2" t="s">
        <v>29</v>
      </c>
      <c r="Q614" s="7" t="e">
        <f t="shared" si="55"/>
        <v>#VALUE!</v>
      </c>
      <c r="R614" s="2" t="s">
        <v>193</v>
      </c>
      <c r="S614" s="2" t="s">
        <v>28</v>
      </c>
      <c r="T614" s="2" t="s">
        <v>29</v>
      </c>
    </row>
    <row r="615" spans="1:20" x14ac:dyDescent="0.3">
      <c r="A615" s="2" t="s">
        <v>192</v>
      </c>
      <c r="B615" s="2" t="s">
        <v>87</v>
      </c>
      <c r="C615" s="2">
        <v>49329670</v>
      </c>
      <c r="D615" s="2">
        <v>2018</v>
      </c>
      <c r="E615" s="2" t="s">
        <v>26</v>
      </c>
      <c r="F615" s="4">
        <v>9.9999999999999995E-7</v>
      </c>
      <c r="G615" s="2">
        <v>7</v>
      </c>
      <c r="H615" s="2">
        <f>L615+O615+G615*F615</f>
        <v>722.45400699999993</v>
      </c>
      <c r="I615" s="2">
        <v>73</v>
      </c>
      <c r="J615" s="2">
        <v>0.13300000000000001</v>
      </c>
      <c r="K615" s="2">
        <v>6</v>
      </c>
      <c r="L615" s="2">
        <f>I615*J615*K615</f>
        <v>58.253999999999998</v>
      </c>
      <c r="M615" s="2">
        <v>9</v>
      </c>
      <c r="N615" s="2">
        <v>73.8</v>
      </c>
      <c r="O615" s="2">
        <f>M615*N615</f>
        <v>664.19999999999993</v>
      </c>
      <c r="P615" s="2">
        <f>H615/C615*100000</f>
        <v>1.4645425501528795</v>
      </c>
      <c r="Q615" s="7">
        <f t="shared" si="55"/>
        <v>1.4538702892043731</v>
      </c>
      <c r="R615" s="2" t="s">
        <v>194</v>
      </c>
      <c r="S615" s="2" t="s">
        <v>28</v>
      </c>
      <c r="T615" s="2" t="s">
        <v>150</v>
      </c>
    </row>
    <row r="616" spans="1:20" x14ac:dyDescent="0.3">
      <c r="A616" s="2" t="s">
        <v>192</v>
      </c>
      <c r="B616" s="2" t="s">
        <v>87</v>
      </c>
      <c r="C616" s="2">
        <v>49329670</v>
      </c>
      <c r="D616" s="2">
        <v>2018</v>
      </c>
      <c r="E616" s="2" t="s">
        <v>151</v>
      </c>
      <c r="F616" s="4">
        <v>1.9000000000000001E-5</v>
      </c>
      <c r="G616" s="2">
        <v>7</v>
      </c>
      <c r="H616" s="2">
        <f>L616+O616+G616*F616</f>
        <v>14766.858133</v>
      </c>
      <c r="I616" s="2">
        <v>471</v>
      </c>
      <c r="J616" s="2">
        <v>0.13300000000000001</v>
      </c>
      <c r="K616" s="2">
        <v>6</v>
      </c>
      <c r="L616" s="2">
        <f>I616*J616*K616</f>
        <v>375.858</v>
      </c>
      <c r="M616" s="2">
        <v>195</v>
      </c>
      <c r="N616" s="2">
        <v>73.8</v>
      </c>
      <c r="O616" s="2">
        <f>M616*N616</f>
        <v>14391</v>
      </c>
      <c r="P616" s="2">
        <f>H616/C616*100000</f>
        <v>29.935043419102541</v>
      </c>
      <c r="Q616" s="7">
        <f t="shared" si="55"/>
        <v>25.87004128087743</v>
      </c>
      <c r="R616" s="2" t="s">
        <v>195</v>
      </c>
      <c r="S616" s="2" t="s">
        <v>28</v>
      </c>
      <c r="T616" s="2" t="s">
        <v>32</v>
      </c>
    </row>
    <row r="617" spans="1:20" x14ac:dyDescent="0.3">
      <c r="A617" s="2" t="s">
        <v>192</v>
      </c>
      <c r="B617" s="2" t="s">
        <v>87</v>
      </c>
      <c r="C617" s="2">
        <v>49329670</v>
      </c>
      <c r="D617" s="2">
        <v>2018</v>
      </c>
      <c r="E617" s="2" t="s">
        <v>33</v>
      </c>
      <c r="F617" s="4">
        <v>0</v>
      </c>
      <c r="G617" s="2">
        <v>8</v>
      </c>
      <c r="H617" s="2">
        <f>L617+O617+G617*F617</f>
        <v>915.39199999999994</v>
      </c>
      <c r="I617" s="2">
        <v>32</v>
      </c>
      <c r="J617" s="2">
        <v>0.13300000000000001</v>
      </c>
      <c r="K617" s="2">
        <v>7</v>
      </c>
      <c r="L617" s="2">
        <f>I617*J617*K617</f>
        <v>29.792000000000002</v>
      </c>
      <c r="M617" s="2">
        <v>12</v>
      </c>
      <c r="N617" s="2">
        <v>73.8</v>
      </c>
      <c r="O617" s="2">
        <f>M617*N617</f>
        <v>885.59999999999991</v>
      </c>
      <c r="P617" s="2">
        <f>H617/C617*100000</f>
        <v>1.855662119774975</v>
      </c>
      <c r="Q617" s="7">
        <f t="shared" si="55"/>
        <v>1.8385507170059157</v>
      </c>
      <c r="R617" s="2" t="s">
        <v>199</v>
      </c>
      <c r="S617" s="2" t="s">
        <v>35</v>
      </c>
      <c r="T617" s="2" t="s">
        <v>28</v>
      </c>
    </row>
    <row r="618" spans="1:20" x14ac:dyDescent="0.3">
      <c r="A618" s="2" t="s">
        <v>192</v>
      </c>
      <c r="B618" s="2" t="s">
        <v>87</v>
      </c>
      <c r="C618" s="2">
        <v>49329670</v>
      </c>
      <c r="D618" s="2">
        <v>2018</v>
      </c>
      <c r="E618" s="2" t="s">
        <v>37</v>
      </c>
      <c r="F618" s="4">
        <v>8.0000000000000002E-3</v>
      </c>
      <c r="G618" s="2">
        <v>6</v>
      </c>
      <c r="H618" s="2">
        <f>L618+O618+G618*F618</f>
        <v>243582.128</v>
      </c>
      <c r="I618" s="2">
        <v>380597</v>
      </c>
      <c r="J618" s="2">
        <v>0.128</v>
      </c>
      <c r="K618" s="2">
        <v>5</v>
      </c>
      <c r="L618" s="2">
        <f>I618*J618*K618</f>
        <v>243582.07999999999</v>
      </c>
      <c r="M618" s="2">
        <v>0</v>
      </c>
      <c r="N618" s="2">
        <v>73.8</v>
      </c>
      <c r="O618" s="2">
        <f>M618*N618</f>
        <v>0</v>
      </c>
      <c r="P618" s="2">
        <f>H618/C618*100000</f>
        <v>493.7842235717369</v>
      </c>
      <c r="Q618" s="7">
        <f t="shared" si="55"/>
        <v>99.282994702316046</v>
      </c>
      <c r="R618" s="2" t="s">
        <v>197</v>
      </c>
      <c r="S618" s="2" t="s">
        <v>155</v>
      </c>
      <c r="T618" s="2" t="s">
        <v>156</v>
      </c>
    </row>
    <row r="619" spans="1:20" x14ac:dyDescent="0.3">
      <c r="A619" s="2" t="s">
        <v>192</v>
      </c>
      <c r="B619" s="2" t="s">
        <v>87</v>
      </c>
      <c r="C619" s="2">
        <v>49329670</v>
      </c>
      <c r="D619" s="2">
        <v>2018</v>
      </c>
      <c r="E619" s="2" t="s">
        <v>41</v>
      </c>
      <c r="F619" s="4">
        <v>3.0000000000000001E-6</v>
      </c>
      <c r="G619" s="2">
        <v>6</v>
      </c>
      <c r="H619" s="2">
        <f>L619+O619+G619*F619</f>
        <v>3389.6400180000001</v>
      </c>
      <c r="I619" s="2">
        <v>143</v>
      </c>
      <c r="J619" s="2">
        <v>0.12</v>
      </c>
      <c r="K619" s="2">
        <v>4</v>
      </c>
      <c r="L619" s="2">
        <f>I619*J619*K619</f>
        <v>68.64</v>
      </c>
      <c r="M619" s="2">
        <v>45</v>
      </c>
      <c r="N619" s="2">
        <v>73.8</v>
      </c>
      <c r="O619" s="2">
        <f>M619*N619</f>
        <v>3321</v>
      </c>
      <c r="P619" s="2">
        <f>H619/C619*100000</f>
        <v>6.8714021764183713</v>
      </c>
      <c r="Q619" s="7">
        <f t="shared" si="55"/>
        <v>6.6406370635365359</v>
      </c>
      <c r="R619" s="2" t="s">
        <v>198</v>
      </c>
      <c r="S619" s="2" t="s">
        <v>158</v>
      </c>
      <c r="T619" s="2" t="s">
        <v>159</v>
      </c>
    </row>
    <row r="620" spans="1:20" x14ac:dyDescent="0.3">
      <c r="A620" s="2" t="s">
        <v>192</v>
      </c>
      <c r="B620" s="2" t="s">
        <v>87</v>
      </c>
      <c r="C620" s="2">
        <v>50414923</v>
      </c>
      <c r="D620" s="2">
        <v>2019</v>
      </c>
      <c r="E620" s="2" t="s">
        <v>22</v>
      </c>
      <c r="F620" s="4" t="s">
        <v>29</v>
      </c>
      <c r="G620" s="2">
        <v>9</v>
      </c>
      <c r="H620" s="2" t="s">
        <v>29</v>
      </c>
      <c r="I620" s="2" t="s">
        <v>29</v>
      </c>
      <c r="J620" s="2">
        <v>0.13300000000000001</v>
      </c>
      <c r="K620" s="2">
        <v>8</v>
      </c>
      <c r="L620" s="2" t="s">
        <v>29</v>
      </c>
      <c r="M620" s="2" t="s">
        <v>29</v>
      </c>
      <c r="N620" s="2">
        <v>73.8</v>
      </c>
      <c r="O620" s="2" t="s">
        <v>29</v>
      </c>
      <c r="P620" s="2" t="s">
        <v>29</v>
      </c>
      <c r="Q620" s="7" t="e">
        <f t="shared" si="55"/>
        <v>#VALUE!</v>
      </c>
      <c r="R620" s="2" t="s">
        <v>193</v>
      </c>
      <c r="S620" s="2" t="s">
        <v>28</v>
      </c>
      <c r="T620" s="2" t="s">
        <v>29</v>
      </c>
    </row>
    <row r="621" spans="1:20" x14ac:dyDescent="0.3">
      <c r="A621" s="2" t="s">
        <v>192</v>
      </c>
      <c r="B621" s="2" t="s">
        <v>87</v>
      </c>
      <c r="C621" s="2">
        <v>50414923</v>
      </c>
      <c r="D621" s="2">
        <v>2019</v>
      </c>
      <c r="E621" s="2" t="s">
        <v>26</v>
      </c>
      <c r="F621" s="4">
        <v>9.9999999999999995E-7</v>
      </c>
      <c r="G621" s="2">
        <v>7</v>
      </c>
      <c r="H621" s="2">
        <f>L621+O621+G621*F621</f>
        <v>728.04000699999995</v>
      </c>
      <c r="I621" s="2">
        <v>80</v>
      </c>
      <c r="J621" s="2">
        <v>0.13300000000000001</v>
      </c>
      <c r="K621" s="2">
        <v>6</v>
      </c>
      <c r="L621" s="2">
        <f>I621*J621*K621</f>
        <v>63.84</v>
      </c>
      <c r="M621" s="2">
        <v>9</v>
      </c>
      <c r="N621" s="2">
        <v>73.8</v>
      </c>
      <c r="O621" s="2">
        <f>M621*N621</f>
        <v>664.19999999999993</v>
      </c>
      <c r="P621" s="2">
        <f>H621/C621*100000</f>
        <v>1.4440962391234833</v>
      </c>
      <c r="Q621" s="7">
        <f t="shared" si="55"/>
        <v>1.4337191810073424</v>
      </c>
      <c r="R621" s="2" t="s">
        <v>194</v>
      </c>
      <c r="S621" s="2" t="s">
        <v>28</v>
      </c>
      <c r="T621" s="2" t="s">
        <v>150</v>
      </c>
    </row>
    <row r="622" spans="1:20" x14ac:dyDescent="0.3">
      <c r="A622" s="2" t="s">
        <v>192</v>
      </c>
      <c r="B622" s="2" t="s">
        <v>87</v>
      </c>
      <c r="C622" s="2">
        <v>50414923</v>
      </c>
      <c r="D622" s="2">
        <v>2019</v>
      </c>
      <c r="E622" s="2" t="s">
        <v>151</v>
      </c>
      <c r="F622" s="4">
        <v>1.8E-5</v>
      </c>
      <c r="G622" s="2">
        <v>7</v>
      </c>
      <c r="H622" s="2">
        <f>L622+O622+G622*F622</f>
        <v>14447.718126</v>
      </c>
      <c r="I622" s="2">
        <v>441</v>
      </c>
      <c r="J622" s="2">
        <v>0.13300000000000001</v>
      </c>
      <c r="K622" s="2">
        <v>6</v>
      </c>
      <c r="L622" s="2">
        <f>I622*J622*K622</f>
        <v>351.91800000000001</v>
      </c>
      <c r="M622" s="2">
        <v>191</v>
      </c>
      <c r="N622" s="2">
        <v>73.8</v>
      </c>
      <c r="O622" s="2">
        <f>M622*N622</f>
        <v>14095.8</v>
      </c>
      <c r="P622" s="2">
        <f>H622/C622*100000</f>
        <v>28.657622121132661</v>
      </c>
      <c r="Q622" s="7">
        <f t="shared" si="55"/>
        <v>24.917015281045607</v>
      </c>
      <c r="R622" s="2" t="s">
        <v>195</v>
      </c>
      <c r="S622" s="2" t="s">
        <v>28</v>
      </c>
      <c r="T622" s="2" t="s">
        <v>32</v>
      </c>
    </row>
    <row r="623" spans="1:20" x14ac:dyDescent="0.3">
      <c r="A623" s="2" t="s">
        <v>192</v>
      </c>
      <c r="B623" s="2" t="s">
        <v>87</v>
      </c>
      <c r="C623" s="2">
        <v>50414923</v>
      </c>
      <c r="D623" s="2">
        <v>2019</v>
      </c>
      <c r="E623" s="2" t="s">
        <v>33</v>
      </c>
      <c r="F623" s="4">
        <v>0</v>
      </c>
      <c r="G623" s="2">
        <v>8</v>
      </c>
      <c r="H623" s="2">
        <f>L623+O623+G623*F623</f>
        <v>1610.3150000000001</v>
      </c>
      <c r="I623" s="2">
        <v>65</v>
      </c>
      <c r="J623" s="2">
        <v>0.13300000000000001</v>
      </c>
      <c r="K623" s="2">
        <v>7</v>
      </c>
      <c r="L623" s="2">
        <f>I623*J623*K623</f>
        <v>60.515000000000001</v>
      </c>
      <c r="M623" s="2">
        <v>21</v>
      </c>
      <c r="N623" s="2">
        <v>73.8</v>
      </c>
      <c r="O623" s="2">
        <f>M623*N623</f>
        <v>1549.8</v>
      </c>
      <c r="P623" s="2">
        <f>H623/C623*100000</f>
        <v>3.1941236923043599</v>
      </c>
      <c r="Q623" s="7">
        <f t="shared" si="55"/>
        <v>3.1436503821779538</v>
      </c>
      <c r="R623" s="2" t="s">
        <v>201</v>
      </c>
      <c r="S623" s="2" t="s">
        <v>35</v>
      </c>
      <c r="T623" s="2" t="s">
        <v>28</v>
      </c>
    </row>
    <row r="624" spans="1:20" x14ac:dyDescent="0.3">
      <c r="A624" s="2" t="s">
        <v>192</v>
      </c>
      <c r="B624" s="2" t="s">
        <v>87</v>
      </c>
      <c r="C624" s="2">
        <v>50414923</v>
      </c>
      <c r="D624" s="2">
        <v>2019</v>
      </c>
      <c r="E624" s="2" t="s">
        <v>37</v>
      </c>
      <c r="F624" s="4">
        <v>8.0000000000000002E-3</v>
      </c>
      <c r="G624" s="2">
        <v>6</v>
      </c>
      <c r="H624" s="2">
        <f>L624+O624+G624*F624</f>
        <v>240811.56800000003</v>
      </c>
      <c r="I624" s="2">
        <v>376268</v>
      </c>
      <c r="J624" s="2">
        <v>0.128</v>
      </c>
      <c r="K624" s="2">
        <v>5</v>
      </c>
      <c r="L624" s="2">
        <f>I624*J624*K624</f>
        <v>240811.52000000002</v>
      </c>
      <c r="M624" s="2">
        <v>0</v>
      </c>
      <c r="N624" s="2">
        <v>73.8</v>
      </c>
      <c r="O624" s="2">
        <f>M624*N624</f>
        <v>0</v>
      </c>
      <c r="P624" s="2">
        <f>H624/C624*100000</f>
        <v>477.65929941021642</v>
      </c>
      <c r="Q624" s="7">
        <f t="shared" si="55"/>
        <v>99.157534703004757</v>
      </c>
      <c r="R624" s="2" t="s">
        <v>197</v>
      </c>
      <c r="S624" s="2" t="s">
        <v>155</v>
      </c>
      <c r="T624" s="2" t="s">
        <v>156</v>
      </c>
    </row>
    <row r="625" spans="1:20" x14ac:dyDescent="0.3">
      <c r="A625" s="2" t="s">
        <v>192</v>
      </c>
      <c r="B625" s="2" t="s">
        <v>87</v>
      </c>
      <c r="C625" s="2">
        <v>50414923</v>
      </c>
      <c r="D625" s="2">
        <v>2019</v>
      </c>
      <c r="E625" s="2" t="s">
        <v>41</v>
      </c>
      <c r="F625" s="4">
        <v>3.0000000000000001E-6</v>
      </c>
      <c r="G625" s="2">
        <v>6</v>
      </c>
      <c r="H625" s="2">
        <f>L625+O625+G625*F625</f>
        <v>3381.4800180000002</v>
      </c>
      <c r="I625" s="2">
        <v>126</v>
      </c>
      <c r="J625" s="2">
        <v>0.12</v>
      </c>
      <c r="K625" s="2">
        <v>4</v>
      </c>
      <c r="L625" s="2">
        <f>I625*J625*K625</f>
        <v>60.48</v>
      </c>
      <c r="M625" s="2">
        <v>45</v>
      </c>
      <c r="N625" s="2">
        <v>73.8</v>
      </c>
      <c r="O625" s="2">
        <f>M625*N625</f>
        <v>3321</v>
      </c>
      <c r="P625" s="2">
        <f>H625/C625*100000</f>
        <v>6.7072997770917953</v>
      </c>
      <c r="Q625" s="7">
        <f t="shared" si="55"/>
        <v>6.4873063336679415</v>
      </c>
      <c r="R625" s="2" t="s">
        <v>198</v>
      </c>
      <c r="S625" s="2" t="s">
        <v>158</v>
      </c>
      <c r="T625" s="2" t="s">
        <v>159</v>
      </c>
    </row>
    <row r="626" spans="1:20" x14ac:dyDescent="0.3">
      <c r="A626" s="2" t="s">
        <v>192</v>
      </c>
      <c r="B626" s="2" t="s">
        <v>87</v>
      </c>
      <c r="C626" s="2">
        <v>51524051</v>
      </c>
      <c r="D626" s="2">
        <v>2020</v>
      </c>
      <c r="E626" s="2" t="s">
        <v>22</v>
      </c>
      <c r="F626" s="4" t="s">
        <v>29</v>
      </c>
      <c r="G626" s="2">
        <v>9</v>
      </c>
      <c r="H626" s="2" t="s">
        <v>29</v>
      </c>
      <c r="I626" s="2" t="s">
        <v>29</v>
      </c>
      <c r="J626" s="2">
        <v>0.13300000000000001</v>
      </c>
      <c r="K626" s="2">
        <v>8</v>
      </c>
      <c r="L626" s="2" t="s">
        <v>29</v>
      </c>
      <c r="M626" s="2" t="s">
        <v>29</v>
      </c>
      <c r="N626" s="2">
        <v>73.8</v>
      </c>
      <c r="O626" s="2" t="s">
        <v>29</v>
      </c>
      <c r="P626" s="2" t="s">
        <v>29</v>
      </c>
      <c r="Q626" s="7" t="e">
        <f t="shared" si="55"/>
        <v>#VALUE!</v>
      </c>
      <c r="R626" s="2" t="s">
        <v>193</v>
      </c>
      <c r="S626" s="2" t="s">
        <v>28</v>
      </c>
      <c r="T626" s="2" t="s">
        <v>29</v>
      </c>
    </row>
    <row r="627" spans="1:20" x14ac:dyDescent="0.3">
      <c r="A627" s="2" t="s">
        <v>192</v>
      </c>
      <c r="B627" s="2" t="s">
        <v>87</v>
      </c>
      <c r="C627" s="2">
        <v>51524051</v>
      </c>
      <c r="D627" s="2">
        <v>2020</v>
      </c>
      <c r="E627" s="2" t="s">
        <v>26</v>
      </c>
      <c r="F627" s="4">
        <v>0</v>
      </c>
      <c r="G627" s="2">
        <v>7</v>
      </c>
      <c r="H627" s="2">
        <f>L627+O627+G627*F627</f>
        <v>635.88599999999997</v>
      </c>
      <c r="I627" s="2">
        <v>57</v>
      </c>
      <c r="J627" s="2">
        <v>0.13300000000000001</v>
      </c>
      <c r="K627" s="2">
        <v>6</v>
      </c>
      <c r="L627" s="2">
        <f>I627*J627*K627</f>
        <v>45.486000000000004</v>
      </c>
      <c r="M627" s="2">
        <v>8</v>
      </c>
      <c r="N627" s="2">
        <v>73.8</v>
      </c>
      <c r="O627" s="2">
        <f>M627*N627</f>
        <v>590.4</v>
      </c>
      <c r="P627" s="2">
        <f>H627/C627*100000</f>
        <v>1.2341537353109133</v>
      </c>
      <c r="Q627" s="7">
        <f t="shared" si="55"/>
        <v>1.2265692913944748</v>
      </c>
      <c r="R627" s="2" t="s">
        <v>194</v>
      </c>
      <c r="S627" s="2" t="s">
        <v>28</v>
      </c>
      <c r="T627" s="2" t="s">
        <v>150</v>
      </c>
    </row>
    <row r="628" spans="1:20" x14ac:dyDescent="0.3">
      <c r="A628" s="2" t="s">
        <v>192</v>
      </c>
      <c r="B628" s="2" t="s">
        <v>87</v>
      </c>
      <c r="C628" s="2">
        <v>51524051</v>
      </c>
      <c r="D628" s="2">
        <v>2020</v>
      </c>
      <c r="E628" s="2" t="s">
        <v>151</v>
      </c>
      <c r="F628" s="4">
        <v>1.7E-5</v>
      </c>
      <c r="G628" s="2">
        <v>7</v>
      </c>
      <c r="H628" s="2">
        <f>L628+O628+G628*F628</f>
        <v>14219.136119000001</v>
      </c>
      <c r="I628" s="2">
        <v>432</v>
      </c>
      <c r="J628" s="2">
        <v>0.13300000000000001</v>
      </c>
      <c r="K628" s="2">
        <v>6</v>
      </c>
      <c r="L628" s="2">
        <f>I628*J628*K628</f>
        <v>344.73599999999999</v>
      </c>
      <c r="M628" s="2">
        <v>188</v>
      </c>
      <c r="N628" s="2">
        <v>73.8</v>
      </c>
      <c r="O628" s="2">
        <f>M628*N628</f>
        <v>13874.4</v>
      </c>
      <c r="P628" s="2">
        <f>H628/C628*100000</f>
        <v>27.597084940002098</v>
      </c>
      <c r="Q628" s="7">
        <f t="shared" si="55"/>
        <v>24.116494906414843</v>
      </c>
      <c r="R628" s="2" t="s">
        <v>195</v>
      </c>
      <c r="S628" s="2" t="s">
        <v>28</v>
      </c>
      <c r="T628" s="2" t="s">
        <v>32</v>
      </c>
    </row>
    <row r="629" spans="1:20" x14ac:dyDescent="0.3">
      <c r="A629" s="2" t="s">
        <v>192</v>
      </c>
      <c r="B629" s="2" t="s">
        <v>87</v>
      </c>
      <c r="C629" s="2">
        <v>51524051</v>
      </c>
      <c r="D629" s="2">
        <v>2020</v>
      </c>
      <c r="E629" s="2" t="s">
        <v>33</v>
      </c>
      <c r="F629" s="4">
        <v>0</v>
      </c>
      <c r="G629" s="2">
        <v>8</v>
      </c>
      <c r="H629" s="2">
        <f>L629+O629+G629*F629</f>
        <v>842.52299999999991</v>
      </c>
      <c r="I629" s="2">
        <v>33</v>
      </c>
      <c r="J629" s="2">
        <v>0.13300000000000001</v>
      </c>
      <c r="K629" s="2">
        <v>7</v>
      </c>
      <c r="L629" s="2">
        <f>I629*J629*K629</f>
        <v>30.723000000000003</v>
      </c>
      <c r="M629" s="2">
        <v>11</v>
      </c>
      <c r="N629" s="2">
        <v>73.8</v>
      </c>
      <c r="O629" s="2">
        <f>M629*N629</f>
        <v>811.8</v>
      </c>
      <c r="P629" s="2">
        <f>H629/C629*100000</f>
        <v>1.6352033344583095</v>
      </c>
      <c r="Q629" s="7">
        <f t="shared" si="55"/>
        <v>1.6219064603637312</v>
      </c>
      <c r="R629" s="2" t="s">
        <v>199</v>
      </c>
      <c r="S629" s="2" t="s">
        <v>35</v>
      </c>
      <c r="T629" s="2" t="s">
        <v>28</v>
      </c>
    </row>
    <row r="630" spans="1:20" x14ac:dyDescent="0.3">
      <c r="A630" s="2" t="s">
        <v>192</v>
      </c>
      <c r="B630" s="2" t="s">
        <v>87</v>
      </c>
      <c r="C630" s="2">
        <v>51524051</v>
      </c>
      <c r="D630" s="2">
        <v>2020</v>
      </c>
      <c r="E630" s="2" t="s">
        <v>37</v>
      </c>
      <c r="F630" s="4">
        <v>8.0000000000000002E-3</v>
      </c>
      <c r="G630" s="2">
        <v>6</v>
      </c>
      <c r="H630" s="2">
        <f>L630+O630+G630*F630</f>
        <v>240227.24800000002</v>
      </c>
      <c r="I630" s="2">
        <v>375355</v>
      </c>
      <c r="J630" s="2">
        <v>0.128</v>
      </c>
      <c r="K630" s="2">
        <v>5</v>
      </c>
      <c r="L630" s="2">
        <f>I630*J630*K630</f>
        <v>240227.20000000001</v>
      </c>
      <c r="M630" s="2">
        <v>0</v>
      </c>
      <c r="N630" s="2">
        <v>73.8</v>
      </c>
      <c r="O630" s="2">
        <f>M630*N630</f>
        <v>0</v>
      </c>
      <c r="P630" s="2">
        <f>H630/C630*100000</f>
        <v>466.24293575052945</v>
      </c>
      <c r="Q630" s="7">
        <f t="shared" si="55"/>
        <v>99.055650710790175</v>
      </c>
      <c r="R630" s="2" t="s">
        <v>197</v>
      </c>
      <c r="S630" s="2" t="s">
        <v>155</v>
      </c>
      <c r="T630" s="2" t="s">
        <v>156</v>
      </c>
    </row>
    <row r="631" spans="1:20" x14ac:dyDescent="0.3">
      <c r="A631" s="2" t="s">
        <v>192</v>
      </c>
      <c r="B631" s="2" t="s">
        <v>87</v>
      </c>
      <c r="C631" s="2">
        <v>51524051</v>
      </c>
      <c r="D631" s="2">
        <v>2020</v>
      </c>
      <c r="E631" s="2" t="s">
        <v>41</v>
      </c>
      <c r="F631" s="4">
        <v>3.0000000000000001E-6</v>
      </c>
      <c r="G631" s="2">
        <v>6</v>
      </c>
      <c r="H631" s="2">
        <f>L631+O631+G631*F631</f>
        <v>3387.720018</v>
      </c>
      <c r="I631" s="2">
        <v>139</v>
      </c>
      <c r="J631" s="2">
        <v>0.12</v>
      </c>
      <c r="K631" s="2">
        <v>4</v>
      </c>
      <c r="L631" s="2">
        <f>I631*J631*K631</f>
        <v>66.72</v>
      </c>
      <c r="M631" s="2">
        <v>45</v>
      </c>
      <c r="N631" s="2">
        <v>73.8</v>
      </c>
      <c r="O631" s="2">
        <f>M631*N631</f>
        <v>3321</v>
      </c>
      <c r="P631" s="2">
        <f>H631/C631*100000</f>
        <v>6.57502652110953</v>
      </c>
      <c r="Q631" s="7">
        <f t="shared" si="55"/>
        <v>6.3635322070115468</v>
      </c>
      <c r="R631" s="2" t="s">
        <v>198</v>
      </c>
      <c r="S631" s="2" t="s">
        <v>158</v>
      </c>
      <c r="T631" s="2" t="s">
        <v>159</v>
      </c>
    </row>
    <row r="632" spans="1:20" x14ac:dyDescent="0.3">
      <c r="A632" s="2" t="s">
        <v>192</v>
      </c>
      <c r="B632" s="2" t="s">
        <v>87</v>
      </c>
      <c r="C632" s="2">
        <v>52657580</v>
      </c>
      <c r="D632" s="2">
        <v>2021</v>
      </c>
      <c r="E632" s="2" t="s">
        <v>22</v>
      </c>
      <c r="F632" s="4" t="s">
        <v>29</v>
      </c>
      <c r="G632" s="2">
        <v>9</v>
      </c>
      <c r="H632" s="2" t="s">
        <v>29</v>
      </c>
      <c r="I632" s="2" t="s">
        <v>29</v>
      </c>
      <c r="J632" s="2">
        <v>0.13300000000000001</v>
      </c>
      <c r="K632" s="2">
        <v>8</v>
      </c>
      <c r="L632" s="2" t="s">
        <v>29</v>
      </c>
      <c r="M632" s="2" t="s">
        <v>29</v>
      </c>
      <c r="N632" s="2">
        <v>73.8</v>
      </c>
      <c r="O632" s="2" t="s">
        <v>29</v>
      </c>
      <c r="P632" s="2" t="s">
        <v>29</v>
      </c>
      <c r="Q632" s="7" t="e">
        <f t="shared" si="55"/>
        <v>#VALUE!</v>
      </c>
      <c r="R632" s="2" t="s">
        <v>193</v>
      </c>
      <c r="S632" s="2" t="s">
        <v>28</v>
      </c>
      <c r="T632" s="2" t="s">
        <v>29</v>
      </c>
    </row>
    <row r="633" spans="1:20" x14ac:dyDescent="0.3">
      <c r="A633" s="2" t="s">
        <v>192</v>
      </c>
      <c r="B633" s="2" t="s">
        <v>87</v>
      </c>
      <c r="C633" s="2">
        <v>52657580</v>
      </c>
      <c r="D633" s="2">
        <v>2021</v>
      </c>
      <c r="E633" s="2" t="s">
        <v>26</v>
      </c>
      <c r="F633" s="4">
        <v>0</v>
      </c>
      <c r="G633" s="2">
        <v>7</v>
      </c>
      <c r="H633" s="2">
        <f>L633+O633+G633*F633</f>
        <v>560.49</v>
      </c>
      <c r="I633" s="2">
        <v>55</v>
      </c>
      <c r="J633" s="2">
        <v>0.13300000000000001</v>
      </c>
      <c r="K633" s="2">
        <v>6</v>
      </c>
      <c r="L633" s="2">
        <f>I633*J633*K633</f>
        <v>43.89</v>
      </c>
      <c r="M633" s="2">
        <v>7</v>
      </c>
      <c r="N633" s="2">
        <v>73.8</v>
      </c>
      <c r="O633" s="2">
        <f>M633*N633</f>
        <v>516.6</v>
      </c>
      <c r="P633" s="2">
        <f>H633/C633*100000</f>
        <v>1.0644051625615913</v>
      </c>
      <c r="Q633" s="7">
        <f t="shared" si="55"/>
        <v>1.0587604162203057</v>
      </c>
      <c r="R633" s="2" t="s">
        <v>194</v>
      </c>
      <c r="S633" s="2" t="s">
        <v>28</v>
      </c>
      <c r="T633" s="2" t="s">
        <v>150</v>
      </c>
    </row>
    <row r="634" spans="1:20" x14ac:dyDescent="0.3">
      <c r="A634" s="2" t="s">
        <v>192</v>
      </c>
      <c r="B634" s="2" t="s">
        <v>87</v>
      </c>
      <c r="C634" s="2">
        <v>52657580</v>
      </c>
      <c r="D634" s="2">
        <v>2021</v>
      </c>
      <c r="E634" s="2" t="s">
        <v>151</v>
      </c>
      <c r="F634" s="4">
        <v>1.8E-5</v>
      </c>
      <c r="G634" s="2">
        <v>7</v>
      </c>
      <c r="H634" s="2">
        <f>L634+O634+G634*F634</f>
        <v>12172.686126000001</v>
      </c>
      <c r="I634" s="2">
        <v>457</v>
      </c>
      <c r="J634" s="2">
        <v>0.13300000000000001</v>
      </c>
      <c r="K634" s="2">
        <v>6</v>
      </c>
      <c r="L634" s="2">
        <f>I634*J634*K634</f>
        <v>364.68600000000004</v>
      </c>
      <c r="M634" s="2">
        <v>160</v>
      </c>
      <c r="N634" s="2">
        <v>73.8</v>
      </c>
      <c r="O634" s="2">
        <f>M634*N634</f>
        <v>11808</v>
      </c>
      <c r="P634" s="2">
        <f>H634/C634*100000</f>
        <v>23.116683535399844</v>
      </c>
      <c r="Q634" s="7">
        <f t="shared" si="55"/>
        <v>20.63929467236839</v>
      </c>
      <c r="R634" s="2" t="s">
        <v>195</v>
      </c>
      <c r="S634" s="2" t="s">
        <v>28</v>
      </c>
      <c r="T634" s="2" t="s">
        <v>32</v>
      </c>
    </row>
    <row r="635" spans="1:20" x14ac:dyDescent="0.3">
      <c r="A635" s="2" t="s">
        <v>192</v>
      </c>
      <c r="B635" s="2" t="s">
        <v>87</v>
      </c>
      <c r="C635" s="2">
        <v>52657580</v>
      </c>
      <c r="D635" s="2">
        <v>2021</v>
      </c>
      <c r="E635" s="2" t="s">
        <v>33</v>
      </c>
      <c r="F635" s="4">
        <v>0</v>
      </c>
      <c r="G635" s="2">
        <v>8</v>
      </c>
      <c r="H635" s="2">
        <f>L635+O635+G635*F635</f>
        <v>842.52299999999991</v>
      </c>
      <c r="I635" s="2">
        <v>33</v>
      </c>
      <c r="J635" s="2">
        <v>0.13300000000000001</v>
      </c>
      <c r="K635" s="2">
        <v>7</v>
      </c>
      <c r="L635" s="2">
        <f>I635*J635*K635</f>
        <v>30.723000000000003</v>
      </c>
      <c r="M635" s="2">
        <v>11</v>
      </c>
      <c r="N635" s="2">
        <v>73.8</v>
      </c>
      <c r="O635" s="2">
        <f>M635*N635</f>
        <v>811.8</v>
      </c>
      <c r="P635" s="2">
        <f>H635/C635*100000</f>
        <v>1.6000032663863397</v>
      </c>
      <c r="Q635" s="7">
        <f t="shared" si="55"/>
        <v>1.587271209011476</v>
      </c>
      <c r="R635" s="2" t="s">
        <v>199</v>
      </c>
      <c r="S635" s="2" t="s">
        <v>35</v>
      </c>
      <c r="T635" s="2" t="s">
        <v>28</v>
      </c>
    </row>
    <row r="636" spans="1:20" x14ac:dyDescent="0.3">
      <c r="A636" s="2" t="s">
        <v>192</v>
      </c>
      <c r="B636" s="2" t="s">
        <v>87</v>
      </c>
      <c r="C636" s="2">
        <v>52657580</v>
      </c>
      <c r="D636" s="2">
        <v>2021</v>
      </c>
      <c r="E636" s="2" t="s">
        <v>37</v>
      </c>
      <c r="F636" s="4">
        <v>8.0000000000000002E-3</v>
      </c>
      <c r="G636" s="2">
        <v>6</v>
      </c>
      <c r="H636" s="2">
        <f>L636+O636+G636*F636</f>
        <v>240507.56800000003</v>
      </c>
      <c r="I636" s="2">
        <v>375793</v>
      </c>
      <c r="J636" s="2">
        <v>0.128</v>
      </c>
      <c r="K636" s="2">
        <v>5</v>
      </c>
      <c r="L636" s="2">
        <f>I636*J636*K636</f>
        <v>240507.52000000002</v>
      </c>
      <c r="M636" s="2">
        <v>0</v>
      </c>
      <c r="N636" s="2">
        <v>73.8</v>
      </c>
      <c r="O636" s="2">
        <f>M636*N636</f>
        <v>0</v>
      </c>
      <c r="P636" s="2">
        <f>H636/C636*100000</f>
        <v>456.73874112710843</v>
      </c>
      <c r="Q636" s="7">
        <f t="shared" si="55"/>
        <v>98.961494381302074</v>
      </c>
      <c r="R636" s="2" t="s">
        <v>197</v>
      </c>
      <c r="S636" s="2" t="s">
        <v>155</v>
      </c>
      <c r="T636" s="2" t="s">
        <v>156</v>
      </c>
    </row>
    <row r="637" spans="1:20" x14ac:dyDescent="0.3">
      <c r="A637" s="2" t="s">
        <v>192</v>
      </c>
      <c r="B637" s="2" t="s">
        <v>87</v>
      </c>
      <c r="C637" s="2">
        <v>52657580</v>
      </c>
      <c r="D637" s="2">
        <v>2021</v>
      </c>
      <c r="E637" s="2" t="s">
        <v>41</v>
      </c>
      <c r="F637" s="4">
        <v>9.0000000000000002E-6</v>
      </c>
      <c r="G637" s="2">
        <v>6</v>
      </c>
      <c r="H637" s="2">
        <f>L637+O637+G637*F637</f>
        <v>11279.760054</v>
      </c>
      <c r="I637" s="2">
        <v>437</v>
      </c>
      <c r="J637" s="2">
        <v>0.12</v>
      </c>
      <c r="K637" s="2">
        <v>4</v>
      </c>
      <c r="L637" s="2">
        <f>I637*J637*K637</f>
        <v>209.76</v>
      </c>
      <c r="M637" s="2">
        <v>150</v>
      </c>
      <c r="N637" s="2">
        <v>73.8</v>
      </c>
      <c r="O637" s="2">
        <f>M637*N637</f>
        <v>11070</v>
      </c>
      <c r="P637" s="2">
        <f>H637/C637*100000</f>
        <v>21.420961719091537</v>
      </c>
      <c r="Q637" s="7">
        <f t="shared" si="55"/>
        <v>19.282083134192796</v>
      </c>
      <c r="R637" s="2" t="s">
        <v>202</v>
      </c>
      <c r="S637" s="2" t="s">
        <v>158</v>
      </c>
      <c r="T637" s="2" t="s">
        <v>159</v>
      </c>
    </row>
    <row r="638" spans="1:20" x14ac:dyDescent="0.3">
      <c r="A638" s="2" t="s">
        <v>192</v>
      </c>
      <c r="B638" s="2" t="s">
        <v>87</v>
      </c>
      <c r="C638" s="2">
        <v>53816047</v>
      </c>
      <c r="D638" s="2">
        <v>2022</v>
      </c>
      <c r="E638" s="2" t="s">
        <v>22</v>
      </c>
      <c r="F638" s="4" t="s">
        <v>29</v>
      </c>
      <c r="G638" s="2">
        <v>9</v>
      </c>
      <c r="H638" s="2" t="s">
        <v>29</v>
      </c>
      <c r="I638" s="2" t="s">
        <v>29</v>
      </c>
      <c r="J638" s="2">
        <v>0.13300000000000001</v>
      </c>
      <c r="K638" s="2">
        <v>8</v>
      </c>
      <c r="L638" s="2" t="s">
        <v>29</v>
      </c>
      <c r="M638" s="2" t="s">
        <v>29</v>
      </c>
      <c r="N638" s="2">
        <v>73.8</v>
      </c>
      <c r="O638" s="2" t="s">
        <v>29</v>
      </c>
      <c r="P638" s="2" t="s">
        <v>29</v>
      </c>
      <c r="Q638" s="7" t="e">
        <f t="shared" si="55"/>
        <v>#VALUE!</v>
      </c>
      <c r="R638" s="2" t="s">
        <v>193</v>
      </c>
      <c r="S638" s="2" t="s">
        <v>28</v>
      </c>
      <c r="T638" s="2" t="s">
        <v>29</v>
      </c>
    </row>
    <row r="639" spans="1:20" x14ac:dyDescent="0.3">
      <c r="A639" s="2" t="s">
        <v>192</v>
      </c>
      <c r="B639" s="2" t="s">
        <v>87</v>
      </c>
      <c r="C639" s="2">
        <v>53816047</v>
      </c>
      <c r="D639" s="2">
        <v>2022</v>
      </c>
      <c r="E639" s="2" t="s">
        <v>26</v>
      </c>
      <c r="F639" s="4">
        <v>3.0000000000000001E-6</v>
      </c>
      <c r="G639" s="2">
        <v>7</v>
      </c>
      <c r="H639" s="2">
        <f>L639+O639+G639*F639</f>
        <v>4784.706021</v>
      </c>
      <c r="I639" s="2">
        <v>447</v>
      </c>
      <c r="J639" s="2">
        <v>0.13300000000000001</v>
      </c>
      <c r="K639" s="2">
        <v>6</v>
      </c>
      <c r="L639" s="2">
        <f>I639*J639*K639</f>
        <v>356.70600000000002</v>
      </c>
      <c r="M639" s="2">
        <v>60</v>
      </c>
      <c r="N639" s="2">
        <v>73.8</v>
      </c>
      <c r="O639" s="2">
        <f>M639*N639</f>
        <v>4428</v>
      </c>
      <c r="P639" s="2">
        <f>H639/C639*100000</f>
        <v>8.8908537280711091</v>
      </c>
      <c r="Q639" s="7">
        <f t="shared" si="55"/>
        <v>8.5070748335004946</v>
      </c>
      <c r="R639" s="2" t="s">
        <v>203</v>
      </c>
      <c r="S639" s="2" t="s">
        <v>28</v>
      </c>
      <c r="T639" s="2" t="s">
        <v>150</v>
      </c>
    </row>
    <row r="640" spans="1:20" x14ac:dyDescent="0.3">
      <c r="A640" s="2" t="s">
        <v>192</v>
      </c>
      <c r="B640" s="2" t="s">
        <v>87</v>
      </c>
      <c r="C640" s="2">
        <v>53816047</v>
      </c>
      <c r="D640" s="2">
        <v>2022</v>
      </c>
      <c r="E640" s="2" t="s">
        <v>151</v>
      </c>
      <c r="F640" s="4">
        <v>1.5999999999999999E-5</v>
      </c>
      <c r="G640" s="2">
        <v>7</v>
      </c>
      <c r="H640" s="2">
        <f>L640+O640+G640*F640</f>
        <v>14439.738111999999</v>
      </c>
      <c r="I640" s="2">
        <v>431</v>
      </c>
      <c r="J640" s="2">
        <v>0.13300000000000001</v>
      </c>
      <c r="K640" s="2">
        <v>6</v>
      </c>
      <c r="L640" s="2">
        <f>I640*J640*K640</f>
        <v>343.93799999999999</v>
      </c>
      <c r="M640" s="2">
        <v>191</v>
      </c>
      <c r="N640" s="2">
        <v>73.8</v>
      </c>
      <c r="O640" s="2">
        <f>M640*N640</f>
        <v>14095.8</v>
      </c>
      <c r="P640" s="2">
        <f>H640/C640*100000</f>
        <v>26.831658802438607</v>
      </c>
      <c r="Q640" s="7">
        <f t="shared" si="55"/>
        <v>23.533434121185792</v>
      </c>
      <c r="R640" s="2" t="s">
        <v>195</v>
      </c>
      <c r="S640" s="2" t="s">
        <v>28</v>
      </c>
      <c r="T640" s="2" t="s">
        <v>32</v>
      </c>
    </row>
    <row r="641" spans="1:20" x14ac:dyDescent="0.3">
      <c r="A641" s="2" t="s">
        <v>192</v>
      </c>
      <c r="B641" s="2" t="s">
        <v>87</v>
      </c>
      <c r="C641" s="2">
        <v>53816047</v>
      </c>
      <c r="D641" s="2">
        <v>2022</v>
      </c>
      <c r="E641" s="2" t="s">
        <v>33</v>
      </c>
      <c r="F641" s="4">
        <v>0</v>
      </c>
      <c r="G641" s="2">
        <v>8</v>
      </c>
      <c r="H641" s="2">
        <f>L641+O641+G641*F641</f>
        <v>998.50199999999995</v>
      </c>
      <c r="I641" s="2">
        <v>42</v>
      </c>
      <c r="J641" s="2">
        <v>0.13300000000000001</v>
      </c>
      <c r="K641" s="2">
        <v>7</v>
      </c>
      <c r="L641" s="2">
        <f>I641*J641*K641</f>
        <v>39.102000000000004</v>
      </c>
      <c r="M641" s="2">
        <v>13</v>
      </c>
      <c r="N641" s="2">
        <v>73.8</v>
      </c>
      <c r="O641" s="2">
        <f>M641*N641</f>
        <v>959.4</v>
      </c>
      <c r="P641" s="2">
        <f>H641/C641*100000</f>
        <v>1.8553982606712081</v>
      </c>
      <c r="Q641" s="7">
        <f t="shared" si="55"/>
        <v>1.8382917087438888</v>
      </c>
      <c r="R641" s="2" t="s">
        <v>199</v>
      </c>
      <c r="S641" s="2" t="s">
        <v>35</v>
      </c>
      <c r="T641" s="2" t="s">
        <v>28</v>
      </c>
    </row>
    <row r="642" spans="1:20" x14ac:dyDescent="0.3">
      <c r="A642" s="2" t="s">
        <v>192</v>
      </c>
      <c r="B642" s="2" t="s">
        <v>87</v>
      </c>
      <c r="C642" s="2">
        <v>53816047</v>
      </c>
      <c r="D642" s="2">
        <v>2022</v>
      </c>
      <c r="E642" s="2" t="s">
        <v>37</v>
      </c>
      <c r="F642" s="4">
        <v>8.0000000000000002E-3</v>
      </c>
      <c r="G642" s="2">
        <v>6</v>
      </c>
      <c r="H642" s="2">
        <f>L642+O642+G642*F642</f>
        <v>259155.88800000001</v>
      </c>
      <c r="I642" s="2">
        <v>404931</v>
      </c>
      <c r="J642" s="2">
        <v>0.128</v>
      </c>
      <c r="K642" s="2">
        <v>5</v>
      </c>
      <c r="L642" s="2">
        <f>I642*J642*K642</f>
        <v>259155.84</v>
      </c>
      <c r="M642" s="2">
        <v>0</v>
      </c>
      <c r="N642" s="2">
        <v>73.8</v>
      </c>
      <c r="O642" s="2">
        <f>M642*N642</f>
        <v>0</v>
      </c>
      <c r="P642" s="2">
        <f>H642/C642*100000</f>
        <v>481.55875885867277</v>
      </c>
      <c r="Q642" s="7">
        <f t="shared" ref="Q642:Q705" si="59">100*(1-EXP(-P642/100))</f>
        <v>99.189754023398322</v>
      </c>
      <c r="R642" s="2" t="s">
        <v>197</v>
      </c>
      <c r="S642" s="2" t="s">
        <v>155</v>
      </c>
      <c r="T642" s="2" t="s">
        <v>156</v>
      </c>
    </row>
    <row r="643" spans="1:20" x14ac:dyDescent="0.3">
      <c r="A643" s="2" t="s">
        <v>192</v>
      </c>
      <c r="B643" s="2" t="s">
        <v>87</v>
      </c>
      <c r="C643" s="2">
        <v>53816047</v>
      </c>
      <c r="D643" s="2">
        <v>2022</v>
      </c>
      <c r="E643" s="2" t="s">
        <v>41</v>
      </c>
      <c r="F643" s="4">
        <v>7.9999999999999996E-6</v>
      </c>
      <c r="G643" s="2">
        <v>6</v>
      </c>
      <c r="H643" s="2">
        <f>L643+O643+G643*F643</f>
        <v>11264.400048</v>
      </c>
      <c r="I643" s="2">
        <v>405</v>
      </c>
      <c r="J643" s="2">
        <v>0.12</v>
      </c>
      <c r="K643" s="2">
        <v>4</v>
      </c>
      <c r="L643" s="2">
        <f>I643*J643*K643</f>
        <v>194.4</v>
      </c>
      <c r="M643" s="2">
        <v>150</v>
      </c>
      <c r="N643" s="2">
        <v>73.8</v>
      </c>
      <c r="O643" s="2">
        <f>M643*N643</f>
        <v>11070</v>
      </c>
      <c r="P643" s="2">
        <f>H643/C643*100000</f>
        <v>20.931303348980649</v>
      </c>
      <c r="Q643" s="7">
        <f t="shared" si="59"/>
        <v>18.885871848866653</v>
      </c>
      <c r="R643" s="2" t="s">
        <v>202</v>
      </c>
      <c r="S643" s="2" t="s">
        <v>158</v>
      </c>
      <c r="T643" s="2" t="s">
        <v>159</v>
      </c>
    </row>
    <row r="644" spans="1:20" x14ac:dyDescent="0.3">
      <c r="A644" s="2" t="s">
        <v>192</v>
      </c>
      <c r="B644" s="2" t="s">
        <v>87</v>
      </c>
      <c r="C644" s="2">
        <v>55000000</v>
      </c>
      <c r="D644" s="2">
        <v>2023</v>
      </c>
      <c r="E644" s="2" t="s">
        <v>22</v>
      </c>
      <c r="F644" s="4" t="s">
        <v>29</v>
      </c>
      <c r="G644" s="2">
        <v>9</v>
      </c>
      <c r="H644" s="2" t="s">
        <v>29</v>
      </c>
      <c r="I644" s="2" t="s">
        <v>29</v>
      </c>
      <c r="J644" s="2">
        <v>0.13300000000000001</v>
      </c>
      <c r="K644" s="2">
        <v>8</v>
      </c>
      <c r="L644" s="2" t="s">
        <v>29</v>
      </c>
      <c r="M644" s="2" t="s">
        <v>29</v>
      </c>
      <c r="N644" s="2">
        <v>73.8</v>
      </c>
      <c r="O644" s="2" t="s">
        <v>29</v>
      </c>
      <c r="P644" s="2" t="s">
        <v>29</v>
      </c>
      <c r="Q644" s="7" t="e">
        <f t="shared" si="59"/>
        <v>#VALUE!</v>
      </c>
      <c r="R644" s="2" t="s">
        <v>193</v>
      </c>
      <c r="S644" s="2" t="s">
        <v>28</v>
      </c>
      <c r="T644" s="2" t="s">
        <v>29</v>
      </c>
    </row>
    <row r="645" spans="1:20" x14ac:dyDescent="0.3">
      <c r="A645" s="2" t="s">
        <v>192</v>
      </c>
      <c r="B645" s="2" t="s">
        <v>87</v>
      </c>
      <c r="C645" s="2">
        <v>55000000</v>
      </c>
      <c r="D645" s="2">
        <v>2023</v>
      </c>
      <c r="E645" s="2" t="s">
        <v>26</v>
      </c>
      <c r="F645" s="4">
        <v>0</v>
      </c>
      <c r="G645" s="2">
        <v>7</v>
      </c>
      <c r="H645" s="2">
        <f>L645+O645+G645*F645</f>
        <v>562.08600000000001</v>
      </c>
      <c r="I645" s="2">
        <v>57</v>
      </c>
      <c r="J645" s="2">
        <v>0.13300000000000001</v>
      </c>
      <c r="K645" s="2">
        <v>6</v>
      </c>
      <c r="L645" s="2">
        <f>I645*J645*K645</f>
        <v>45.486000000000004</v>
      </c>
      <c r="M645" s="2">
        <v>7</v>
      </c>
      <c r="N645" s="2">
        <v>73.8</v>
      </c>
      <c r="O645" s="2">
        <f>M645*N645</f>
        <v>516.6</v>
      </c>
      <c r="P645" s="2">
        <f>H645/C645*100000</f>
        <v>1.0219745454545455</v>
      </c>
      <c r="Q645" s="7">
        <f t="shared" si="59"/>
        <v>1.0167701299527376</v>
      </c>
      <c r="R645" s="2" t="s">
        <v>194</v>
      </c>
      <c r="S645" s="2" t="s">
        <v>28</v>
      </c>
      <c r="T645" s="2" t="s">
        <v>150</v>
      </c>
    </row>
    <row r="646" spans="1:20" x14ac:dyDescent="0.3">
      <c r="A646" s="2" t="s">
        <v>192</v>
      </c>
      <c r="B646" s="2" t="s">
        <v>87</v>
      </c>
      <c r="C646" s="2">
        <v>55000000</v>
      </c>
      <c r="D646" s="2">
        <v>2023</v>
      </c>
      <c r="E646" s="2" t="s">
        <v>151</v>
      </c>
      <c r="F646" s="4">
        <v>1.7E-5</v>
      </c>
      <c r="G646" s="2">
        <v>7</v>
      </c>
      <c r="H646" s="2">
        <f>L646+O646+G646*F646</f>
        <v>13243.392119</v>
      </c>
      <c r="I646" s="2">
        <v>504</v>
      </c>
      <c r="J646" s="2">
        <v>0.13300000000000001</v>
      </c>
      <c r="K646" s="2">
        <v>6</v>
      </c>
      <c r="L646" s="2">
        <f>I646*J646*K646</f>
        <v>402.19200000000006</v>
      </c>
      <c r="M646" s="2">
        <v>174</v>
      </c>
      <c r="N646" s="2">
        <v>73.8</v>
      </c>
      <c r="O646" s="2">
        <f>M646*N646</f>
        <v>12841.199999999999</v>
      </c>
      <c r="P646" s="2">
        <f>H646/C646*100000</f>
        <v>24.07889476181818</v>
      </c>
      <c r="Q646" s="7">
        <f t="shared" si="59"/>
        <v>21.399250236152788</v>
      </c>
      <c r="R646" s="2" t="s">
        <v>195</v>
      </c>
      <c r="S646" s="2" t="s">
        <v>28</v>
      </c>
      <c r="T646" s="2" t="s">
        <v>32</v>
      </c>
    </row>
    <row r="647" spans="1:20" x14ac:dyDescent="0.3">
      <c r="A647" s="2" t="s">
        <v>192</v>
      </c>
      <c r="B647" s="2" t="s">
        <v>87</v>
      </c>
      <c r="C647" s="2">
        <v>55000000</v>
      </c>
      <c r="D647" s="2">
        <v>2023</v>
      </c>
      <c r="E647" s="2" t="s">
        <v>33</v>
      </c>
      <c r="F647" s="4">
        <v>0</v>
      </c>
      <c r="G647" s="2">
        <v>8</v>
      </c>
      <c r="H647" s="2">
        <f>L647+O647+G647*F647</f>
        <v>996.64</v>
      </c>
      <c r="I647" s="2">
        <v>40</v>
      </c>
      <c r="J647" s="2">
        <v>0.13300000000000001</v>
      </c>
      <c r="K647" s="2">
        <v>7</v>
      </c>
      <c r="L647" s="2">
        <f>I647*J647*K647</f>
        <v>37.24</v>
      </c>
      <c r="M647" s="2">
        <v>13</v>
      </c>
      <c r="N647" s="2">
        <v>73.8</v>
      </c>
      <c r="O647" s="2">
        <f>M647*N647</f>
        <v>959.4</v>
      </c>
      <c r="P647" s="2">
        <f>H647/C647*100000</f>
        <v>1.8120727272727273</v>
      </c>
      <c r="Q647" s="7">
        <f t="shared" si="59"/>
        <v>1.7957534107267858</v>
      </c>
      <c r="R647" s="2" t="s">
        <v>199</v>
      </c>
      <c r="S647" s="2" t="s">
        <v>35</v>
      </c>
      <c r="T647" s="2" t="s">
        <v>28</v>
      </c>
    </row>
    <row r="648" spans="1:20" x14ac:dyDescent="0.3">
      <c r="A648" s="2" t="s">
        <v>192</v>
      </c>
      <c r="B648" s="2" t="s">
        <v>87</v>
      </c>
      <c r="C648" s="2">
        <v>55000000</v>
      </c>
      <c r="D648" s="2">
        <v>2023</v>
      </c>
      <c r="E648" s="2" t="s">
        <v>37</v>
      </c>
      <c r="F648" s="4">
        <v>8.0000000000000002E-3</v>
      </c>
      <c r="G648" s="2">
        <v>6</v>
      </c>
      <c r="H648" s="2">
        <f>L648+O648+G648*F648</f>
        <v>298782.12800000003</v>
      </c>
      <c r="I648" s="2">
        <v>466847</v>
      </c>
      <c r="J648" s="2">
        <v>0.128</v>
      </c>
      <c r="K648" s="2">
        <v>5</v>
      </c>
      <c r="L648" s="2">
        <f>I648*J648*K648</f>
        <v>298782.08000000002</v>
      </c>
      <c r="M648" s="2">
        <v>0</v>
      </c>
      <c r="N648" s="2">
        <v>73.8</v>
      </c>
      <c r="O648" s="2">
        <f>M648*N648</f>
        <v>0</v>
      </c>
      <c r="P648" s="2">
        <f>H648/C648*100000</f>
        <v>543.24023272727277</v>
      </c>
      <c r="Q648" s="7">
        <f t="shared" si="59"/>
        <v>99.562742119022957</v>
      </c>
      <c r="R648" s="2" t="s">
        <v>197</v>
      </c>
      <c r="S648" s="2" t="s">
        <v>155</v>
      </c>
      <c r="T648" s="2" t="s">
        <v>156</v>
      </c>
    </row>
    <row r="649" spans="1:20" x14ac:dyDescent="0.3">
      <c r="A649" s="2" t="s">
        <v>192</v>
      </c>
      <c r="B649" s="2" t="s">
        <v>87</v>
      </c>
      <c r="C649" s="2">
        <v>55000000</v>
      </c>
      <c r="D649" s="2">
        <v>2023</v>
      </c>
      <c r="E649" s="2" t="s">
        <v>41</v>
      </c>
      <c r="F649" s="4">
        <v>7.9999999999999996E-6</v>
      </c>
      <c r="G649" s="2">
        <v>6</v>
      </c>
      <c r="H649" s="2">
        <f>L649+O649+G649*F649</f>
        <v>11309.520048</v>
      </c>
      <c r="I649" s="2">
        <v>499</v>
      </c>
      <c r="J649" s="2">
        <v>0.12</v>
      </c>
      <c r="K649" s="2">
        <v>4</v>
      </c>
      <c r="L649" s="2">
        <f>I649*J649*K649</f>
        <v>239.51999999999998</v>
      </c>
      <c r="M649" s="2">
        <v>150</v>
      </c>
      <c r="N649" s="2">
        <v>73.8</v>
      </c>
      <c r="O649" s="2">
        <f>M649*N649</f>
        <v>11070</v>
      </c>
      <c r="P649" s="2">
        <f>H649/C649*100000</f>
        <v>20.562763723636365</v>
      </c>
      <c r="Q649" s="7">
        <f t="shared" si="59"/>
        <v>18.586382615603526</v>
      </c>
      <c r="R649" s="2" t="s">
        <v>202</v>
      </c>
      <c r="S649" s="2" t="s">
        <v>158</v>
      </c>
      <c r="T649" s="2" t="s">
        <v>159</v>
      </c>
    </row>
    <row r="650" spans="1:20" x14ac:dyDescent="0.3">
      <c r="A650" s="2" t="s">
        <v>192</v>
      </c>
      <c r="B650" s="2" t="s">
        <v>87</v>
      </c>
      <c r="C650" s="2">
        <v>56210000</v>
      </c>
      <c r="D650" s="2">
        <v>2024</v>
      </c>
      <c r="E650" s="2" t="s">
        <v>22</v>
      </c>
      <c r="F650" s="4" t="s">
        <v>29</v>
      </c>
      <c r="G650" s="2">
        <v>9</v>
      </c>
      <c r="H650" s="2" t="s">
        <v>29</v>
      </c>
      <c r="I650" s="2" t="s">
        <v>29</v>
      </c>
      <c r="J650" s="2">
        <v>0.13300000000000001</v>
      </c>
      <c r="K650" s="2">
        <v>8</v>
      </c>
      <c r="L650" s="2" t="s">
        <v>29</v>
      </c>
      <c r="M650" s="2" t="s">
        <v>29</v>
      </c>
      <c r="N650" s="2">
        <v>73.8</v>
      </c>
      <c r="O650" s="2" t="s">
        <v>29</v>
      </c>
      <c r="P650" s="2" t="s">
        <v>29</v>
      </c>
      <c r="Q650" s="7" t="e">
        <f t="shared" si="59"/>
        <v>#VALUE!</v>
      </c>
      <c r="R650" s="2" t="s">
        <v>193</v>
      </c>
      <c r="S650" s="2" t="s">
        <v>28</v>
      </c>
      <c r="T650" s="2" t="s">
        <v>29</v>
      </c>
    </row>
    <row r="651" spans="1:20" x14ac:dyDescent="0.3">
      <c r="A651" s="2" t="s">
        <v>192</v>
      </c>
      <c r="B651" s="2" t="s">
        <v>87</v>
      </c>
      <c r="C651" s="2">
        <v>56210000</v>
      </c>
      <c r="D651" s="2">
        <v>2024</v>
      </c>
      <c r="E651" s="2" t="s">
        <v>26</v>
      </c>
      <c r="F651" s="4">
        <v>3.0000000000000001E-6</v>
      </c>
      <c r="G651" s="2">
        <v>7</v>
      </c>
      <c r="H651" s="2">
        <f>L651+O651+G651*F651</f>
        <v>5181.6360210000003</v>
      </c>
      <c r="I651" s="2">
        <v>482</v>
      </c>
      <c r="J651" s="2">
        <v>0.13300000000000001</v>
      </c>
      <c r="K651" s="2">
        <v>6</v>
      </c>
      <c r="L651" s="2">
        <f>I651*J651*K651</f>
        <v>384.63600000000008</v>
      </c>
      <c r="M651" s="2">
        <v>65</v>
      </c>
      <c r="N651" s="2">
        <v>73.8</v>
      </c>
      <c r="O651" s="2">
        <f>M651*N651</f>
        <v>4797</v>
      </c>
      <c r="P651" s="2">
        <f>H651/C651*100000</f>
        <v>9.2183526436577132</v>
      </c>
      <c r="Q651" s="7">
        <f t="shared" si="59"/>
        <v>8.8062230502987564</v>
      </c>
      <c r="R651" s="2" t="s">
        <v>204</v>
      </c>
      <c r="S651" s="2" t="s">
        <v>28</v>
      </c>
      <c r="T651" s="2" t="s">
        <v>150</v>
      </c>
    </row>
    <row r="652" spans="1:20" x14ac:dyDescent="0.3">
      <c r="A652" s="2" t="s">
        <v>192</v>
      </c>
      <c r="B652" s="2" t="s">
        <v>87</v>
      </c>
      <c r="C652" s="2">
        <v>56210000</v>
      </c>
      <c r="D652" s="2">
        <v>2024</v>
      </c>
      <c r="E652" s="2" t="s">
        <v>151</v>
      </c>
      <c r="F652" s="4">
        <v>1.5E-5</v>
      </c>
      <c r="G652" s="2">
        <v>7</v>
      </c>
      <c r="H652" s="2">
        <f>L652+O652+G652*F652</f>
        <v>12494.604104999999</v>
      </c>
      <c r="I652" s="2">
        <v>398</v>
      </c>
      <c r="J652" s="2">
        <v>0.13300000000000001</v>
      </c>
      <c r="K652" s="2">
        <v>6</v>
      </c>
      <c r="L652" s="2">
        <f>I652*J652*K652</f>
        <v>317.60400000000004</v>
      </c>
      <c r="M652" s="2">
        <v>165</v>
      </c>
      <c r="N652" s="2">
        <v>73.8</v>
      </c>
      <c r="O652" s="2">
        <f>M652*N652</f>
        <v>12177</v>
      </c>
      <c r="P652" s="2">
        <f>H652/C652*100000</f>
        <v>22.228436408112433</v>
      </c>
      <c r="Q652" s="7">
        <f t="shared" si="59"/>
        <v>19.931235484786569</v>
      </c>
      <c r="R652" s="2" t="s">
        <v>195</v>
      </c>
      <c r="S652" s="2" t="s">
        <v>28</v>
      </c>
      <c r="T652" s="2" t="s">
        <v>32</v>
      </c>
    </row>
    <row r="653" spans="1:20" x14ac:dyDescent="0.3">
      <c r="A653" s="2" t="s">
        <v>192</v>
      </c>
      <c r="B653" s="2" t="s">
        <v>87</v>
      </c>
      <c r="C653" s="2">
        <v>56210000</v>
      </c>
      <c r="D653" s="2">
        <v>2024</v>
      </c>
      <c r="E653" s="2" t="s">
        <v>33</v>
      </c>
      <c r="F653" s="4">
        <v>0</v>
      </c>
      <c r="G653" s="2">
        <v>8</v>
      </c>
      <c r="H653" s="2">
        <f>L653+O653+G653*F653</f>
        <v>920.04699999999991</v>
      </c>
      <c r="I653" s="2">
        <v>37</v>
      </c>
      <c r="J653" s="2">
        <v>0.13300000000000001</v>
      </c>
      <c r="K653" s="2">
        <v>7</v>
      </c>
      <c r="L653" s="2">
        <f>I653*J653*K653</f>
        <v>34.447000000000003</v>
      </c>
      <c r="M653" s="2">
        <v>12</v>
      </c>
      <c r="N653" s="2">
        <v>73.8</v>
      </c>
      <c r="O653" s="2">
        <f>M653*N653</f>
        <v>885.59999999999991</v>
      </c>
      <c r="P653" s="2">
        <f>H653/C653*100000</f>
        <v>1.6368030599537446</v>
      </c>
      <c r="Q653" s="7">
        <f t="shared" si="59"/>
        <v>1.6234802272199977</v>
      </c>
      <c r="R653" s="2" t="s">
        <v>199</v>
      </c>
      <c r="S653" s="2" t="s">
        <v>35</v>
      </c>
      <c r="T653" s="2" t="s">
        <v>28</v>
      </c>
    </row>
    <row r="654" spans="1:20" x14ac:dyDescent="0.3">
      <c r="A654" s="2" t="s">
        <v>192</v>
      </c>
      <c r="B654" s="2" t="s">
        <v>87</v>
      </c>
      <c r="C654" s="2">
        <v>56210000</v>
      </c>
      <c r="D654" s="2">
        <v>2024</v>
      </c>
      <c r="E654" s="2" t="s">
        <v>37</v>
      </c>
      <c r="F654" s="4">
        <v>8.0000000000000002E-3</v>
      </c>
      <c r="G654" s="2">
        <v>6</v>
      </c>
      <c r="H654" s="2">
        <f>L654+O654+G654*F654</f>
        <v>268314.92800000001</v>
      </c>
      <c r="I654" s="2">
        <v>419242</v>
      </c>
      <c r="J654" s="2">
        <v>0.128</v>
      </c>
      <c r="K654" s="2">
        <v>5</v>
      </c>
      <c r="L654" s="2">
        <f>I654*J654*K654</f>
        <v>268314.88</v>
      </c>
      <c r="M654" s="2">
        <v>0</v>
      </c>
      <c r="N654" s="2">
        <v>73.8</v>
      </c>
      <c r="O654" s="2">
        <f>M654*N654</f>
        <v>0</v>
      </c>
      <c r="P654" s="2">
        <f>H654/C654*100000</f>
        <v>477.34376089663766</v>
      </c>
      <c r="Q654" s="7">
        <f t="shared" si="59"/>
        <v>99.154872202130448</v>
      </c>
      <c r="R654" s="2" t="s">
        <v>197</v>
      </c>
      <c r="S654" s="2" t="s">
        <v>155</v>
      </c>
      <c r="T654" s="2" t="s">
        <v>156</v>
      </c>
    </row>
    <row r="655" spans="1:20" x14ac:dyDescent="0.3">
      <c r="A655" s="2" t="s">
        <v>192</v>
      </c>
      <c r="B655" s="2" t="s">
        <v>87</v>
      </c>
      <c r="C655" s="2">
        <v>56210000</v>
      </c>
      <c r="D655" s="2">
        <v>2024</v>
      </c>
      <c r="E655" s="2" t="s">
        <v>41</v>
      </c>
      <c r="F655" s="4">
        <v>1.5999999999999999E-5</v>
      </c>
      <c r="G655" s="2">
        <v>6</v>
      </c>
      <c r="H655" s="2">
        <f>L655+O655+G655*F655</f>
        <v>21915.000096</v>
      </c>
      <c r="I655" s="2">
        <v>915</v>
      </c>
      <c r="J655" s="2">
        <v>0.12</v>
      </c>
      <c r="K655" s="2">
        <v>4</v>
      </c>
      <c r="L655" s="2">
        <f>I655*J655*K655</f>
        <v>439.2</v>
      </c>
      <c r="M655" s="2">
        <v>291</v>
      </c>
      <c r="N655" s="2">
        <v>73.8</v>
      </c>
      <c r="O655" s="2">
        <f>M655*N655</f>
        <v>21475.8</v>
      </c>
      <c r="P655" s="2">
        <f>H655/C655*100000</f>
        <v>38.987724774951076</v>
      </c>
      <c r="Q655" s="7">
        <f t="shared" si="59"/>
        <v>32.286001014558728</v>
      </c>
      <c r="R655" s="2" t="s">
        <v>205</v>
      </c>
      <c r="S655" s="2" t="s">
        <v>158</v>
      </c>
      <c r="T655" s="2" t="s">
        <v>159</v>
      </c>
    </row>
    <row r="656" spans="1:20" x14ac:dyDescent="0.3">
      <c r="A656" s="2" t="s">
        <v>192</v>
      </c>
      <c r="B656" s="2" t="s">
        <v>87</v>
      </c>
      <c r="C656" s="2">
        <v>57446620</v>
      </c>
      <c r="D656" s="2">
        <v>2025</v>
      </c>
      <c r="E656" s="2" t="s">
        <v>22</v>
      </c>
      <c r="F656" s="4" t="s">
        <v>29</v>
      </c>
      <c r="G656" s="2">
        <v>9</v>
      </c>
      <c r="H656" s="2" t="s">
        <v>29</v>
      </c>
      <c r="I656" s="2" t="s">
        <v>29</v>
      </c>
      <c r="J656" s="2">
        <v>0.13300000000000001</v>
      </c>
      <c r="K656" s="2">
        <v>8</v>
      </c>
      <c r="L656" s="2" t="s">
        <v>29</v>
      </c>
      <c r="M656" s="2" t="s">
        <v>29</v>
      </c>
      <c r="N656" s="2">
        <v>73.8</v>
      </c>
      <c r="O656" s="2" t="s">
        <v>29</v>
      </c>
      <c r="P656" s="2" t="s">
        <v>29</v>
      </c>
      <c r="Q656" s="7" t="e">
        <f t="shared" si="59"/>
        <v>#VALUE!</v>
      </c>
      <c r="R656" s="2" t="s">
        <v>193</v>
      </c>
      <c r="S656" s="2" t="s">
        <v>28</v>
      </c>
      <c r="T656" s="2" t="s">
        <v>29</v>
      </c>
    </row>
    <row r="657" spans="1:20" x14ac:dyDescent="0.3">
      <c r="A657" s="2" t="s">
        <v>192</v>
      </c>
      <c r="B657" s="2" t="s">
        <v>87</v>
      </c>
      <c r="C657" s="2">
        <v>57446620</v>
      </c>
      <c r="D657" s="2">
        <v>2025</v>
      </c>
      <c r="E657" s="2" t="s">
        <v>26</v>
      </c>
      <c r="F657" s="4">
        <v>0</v>
      </c>
      <c r="G657" s="2">
        <v>7</v>
      </c>
      <c r="H657" s="2">
        <f>L657+O657+G657*F657</f>
        <v>716.86799999999994</v>
      </c>
      <c r="I657" s="2">
        <v>66</v>
      </c>
      <c r="J657" s="2">
        <v>0.13300000000000001</v>
      </c>
      <c r="K657" s="2">
        <v>6</v>
      </c>
      <c r="L657" s="2">
        <f>I657*J657*K657</f>
        <v>52.668000000000006</v>
      </c>
      <c r="M657" s="2">
        <v>9</v>
      </c>
      <c r="N657" s="2">
        <v>73.8</v>
      </c>
      <c r="O657" s="2">
        <f>M657*N657</f>
        <v>664.19999999999993</v>
      </c>
      <c r="P657" s="2">
        <f>H657/C657*100000</f>
        <v>1.247885428246257</v>
      </c>
      <c r="Q657" s="7">
        <f t="shared" si="59"/>
        <v>1.2401316244108118</v>
      </c>
      <c r="R657" s="2" t="s">
        <v>194</v>
      </c>
      <c r="S657" s="2" t="s">
        <v>28</v>
      </c>
      <c r="T657" s="2" t="s">
        <v>150</v>
      </c>
    </row>
    <row r="658" spans="1:20" x14ac:dyDescent="0.3">
      <c r="A658" s="2" t="s">
        <v>192</v>
      </c>
      <c r="B658" s="2" t="s">
        <v>87</v>
      </c>
      <c r="C658" s="2">
        <v>57446620</v>
      </c>
      <c r="D658" s="2">
        <v>2025</v>
      </c>
      <c r="E658" s="2" t="s">
        <v>151</v>
      </c>
      <c r="F658" s="4">
        <v>1.4E-5</v>
      </c>
      <c r="G658" s="2">
        <v>7</v>
      </c>
      <c r="H658" s="2">
        <f>L658+O658+G658*F658</f>
        <v>14464.476097999999</v>
      </c>
      <c r="I658" s="2">
        <v>462</v>
      </c>
      <c r="J658" s="2">
        <v>0.13300000000000001</v>
      </c>
      <c r="K658" s="2">
        <v>6</v>
      </c>
      <c r="L658" s="2">
        <f>I658*J658*K658</f>
        <v>368.67600000000004</v>
      </c>
      <c r="M658" s="2">
        <v>191</v>
      </c>
      <c r="N658" s="2">
        <v>73.8</v>
      </c>
      <c r="O658" s="2">
        <f>M658*N658</f>
        <v>14095.8</v>
      </c>
      <c r="P658" s="2">
        <f>H658/C658*100000</f>
        <v>25.178985461633776</v>
      </c>
      <c r="Q658" s="7">
        <f t="shared" si="59"/>
        <v>22.259191037418624</v>
      </c>
      <c r="R658" s="2" t="s">
        <v>195</v>
      </c>
      <c r="S658" s="2" t="s">
        <v>28</v>
      </c>
      <c r="T658" s="2" t="s">
        <v>32</v>
      </c>
    </row>
    <row r="659" spans="1:20" x14ac:dyDescent="0.3">
      <c r="A659" s="2" t="s">
        <v>192</v>
      </c>
      <c r="B659" s="2" t="s">
        <v>87</v>
      </c>
      <c r="C659" s="2">
        <v>57446620</v>
      </c>
      <c r="D659" s="2">
        <v>2025</v>
      </c>
      <c r="E659" s="2" t="s">
        <v>33</v>
      </c>
      <c r="F659" s="4">
        <v>0</v>
      </c>
      <c r="G659" s="2">
        <v>8</v>
      </c>
      <c r="H659" s="2">
        <f>L659+O659+G659*F659</f>
        <v>999.43299999999999</v>
      </c>
      <c r="I659" s="2">
        <v>43</v>
      </c>
      <c r="J659" s="2">
        <v>0.13300000000000001</v>
      </c>
      <c r="K659" s="2">
        <v>7</v>
      </c>
      <c r="L659" s="2">
        <f>I659*J659*K659</f>
        <v>40.033000000000001</v>
      </c>
      <c r="M659" s="2">
        <v>13</v>
      </c>
      <c r="N659" s="2">
        <v>73.8</v>
      </c>
      <c r="O659" s="2">
        <f>M659*N659</f>
        <v>959.4</v>
      </c>
      <c r="P659" s="2">
        <f>H659/C659*100000</f>
        <v>1.7397594497291573</v>
      </c>
      <c r="Q659" s="7">
        <f t="shared" si="59"/>
        <v>1.7247130186088588</v>
      </c>
      <c r="R659" s="2" t="s">
        <v>199</v>
      </c>
      <c r="S659" s="2" t="s">
        <v>35</v>
      </c>
      <c r="T659" s="2" t="s">
        <v>28</v>
      </c>
    </row>
    <row r="660" spans="1:20" x14ac:dyDescent="0.3">
      <c r="A660" s="2" t="s">
        <v>192</v>
      </c>
      <c r="B660" s="2" t="s">
        <v>87</v>
      </c>
      <c r="C660" s="2">
        <v>57446620</v>
      </c>
      <c r="D660" s="2">
        <v>2025</v>
      </c>
      <c r="E660" s="2" t="s">
        <v>37</v>
      </c>
      <c r="F660" s="4">
        <v>8.0000000000000002E-3</v>
      </c>
      <c r="G660" s="2">
        <v>6</v>
      </c>
      <c r="H660" s="2">
        <f>L660+O660+G660*F660</f>
        <v>266461.48800000001</v>
      </c>
      <c r="I660" s="2">
        <v>416346</v>
      </c>
      <c r="J660" s="2">
        <v>0.128</v>
      </c>
      <c r="K660" s="2">
        <v>5</v>
      </c>
      <c r="L660" s="2">
        <f>I660*J660*K660</f>
        <v>266461.44</v>
      </c>
      <c r="M660" s="2">
        <v>0</v>
      </c>
      <c r="N660" s="2">
        <v>73.8</v>
      </c>
      <c r="O660" s="2">
        <f>M660*N660</f>
        <v>0</v>
      </c>
      <c r="P660" s="2">
        <f>H660/C660*100000</f>
        <v>463.84189008857271</v>
      </c>
      <c r="Q660" s="7">
        <f t="shared" si="59"/>
        <v>99.032702051741722</v>
      </c>
      <c r="R660" s="2" t="s">
        <v>197</v>
      </c>
      <c r="S660" s="2" t="s">
        <v>155</v>
      </c>
      <c r="T660" s="2" t="s">
        <v>156</v>
      </c>
    </row>
    <row r="661" spans="1:20" x14ac:dyDescent="0.3">
      <c r="A661" s="2" t="s">
        <v>192</v>
      </c>
      <c r="B661" s="2" t="s">
        <v>87</v>
      </c>
      <c r="C661" s="2">
        <v>57446620</v>
      </c>
      <c r="D661" s="2">
        <v>2025</v>
      </c>
      <c r="E661" s="2" t="s">
        <v>41</v>
      </c>
      <c r="F661" s="4">
        <v>1.9999999999999999E-6</v>
      </c>
      <c r="G661" s="2">
        <v>6</v>
      </c>
      <c r="H661" s="2">
        <f>L661+O661+G661*F661</f>
        <v>3378.6000119999999</v>
      </c>
      <c r="I661" s="2">
        <v>120</v>
      </c>
      <c r="J661" s="2">
        <v>0.12</v>
      </c>
      <c r="K661" s="2">
        <v>4</v>
      </c>
      <c r="L661" s="2">
        <f>I661*J661*K661</f>
        <v>57.599999999999994</v>
      </c>
      <c r="M661" s="2">
        <v>45</v>
      </c>
      <c r="N661" s="2">
        <v>73.8</v>
      </c>
      <c r="O661" s="2">
        <f>M661*N661</f>
        <v>3321</v>
      </c>
      <c r="P661" s="2">
        <f>H661/C661*100000</f>
        <v>5.8812859868866081</v>
      </c>
      <c r="Q661" s="7">
        <f t="shared" si="59"/>
        <v>5.7116796066000619</v>
      </c>
      <c r="R661" s="2" t="s">
        <v>198</v>
      </c>
      <c r="S661" s="2" t="s">
        <v>158</v>
      </c>
      <c r="T661" s="2" t="s">
        <v>159</v>
      </c>
    </row>
    <row r="662" spans="1:20" x14ac:dyDescent="0.3">
      <c r="A662" s="2" t="s">
        <v>206</v>
      </c>
      <c r="B662" s="2" t="s">
        <v>148</v>
      </c>
      <c r="C662" s="2">
        <v>118205852</v>
      </c>
      <c r="D662" s="2">
        <v>2015</v>
      </c>
      <c r="E662" s="2" t="s">
        <v>22</v>
      </c>
      <c r="F662" s="4" t="s">
        <v>29</v>
      </c>
      <c r="G662" s="2">
        <v>9</v>
      </c>
      <c r="H662" s="2" t="s">
        <v>29</v>
      </c>
      <c r="I662" s="2" t="s">
        <v>29</v>
      </c>
      <c r="J662" s="2">
        <v>0.13300000000000001</v>
      </c>
      <c r="K662" s="2">
        <v>8</v>
      </c>
      <c r="L662" s="2" t="s">
        <v>29</v>
      </c>
      <c r="M662" s="2" t="s">
        <v>29</v>
      </c>
      <c r="N662" s="2">
        <v>73.8</v>
      </c>
      <c r="O662" s="2" t="s">
        <v>29</v>
      </c>
      <c r="P662" s="2" t="s">
        <v>29</v>
      </c>
      <c r="Q662" s="7" t="e">
        <f t="shared" si="59"/>
        <v>#VALUE!</v>
      </c>
      <c r="R662" s="2" t="s">
        <v>207</v>
      </c>
      <c r="S662" s="2" t="s">
        <v>28</v>
      </c>
      <c r="T662" s="2" t="s">
        <v>29</v>
      </c>
    </row>
    <row r="663" spans="1:20" x14ac:dyDescent="0.3">
      <c r="A663" s="2" t="s">
        <v>206</v>
      </c>
      <c r="B663" s="2" t="s">
        <v>148</v>
      </c>
      <c r="C663" s="2">
        <v>118205852</v>
      </c>
      <c r="D663" s="2">
        <v>2015</v>
      </c>
      <c r="E663" s="2" t="s">
        <v>26</v>
      </c>
      <c r="F663" s="4">
        <v>3.9999999999999998E-7</v>
      </c>
      <c r="G663" s="2">
        <v>7</v>
      </c>
      <c r="H663" s="2">
        <f>L663+O663+G663*F663</f>
        <v>989.72400279999988</v>
      </c>
      <c r="I663" s="2">
        <v>38</v>
      </c>
      <c r="J663" s="2">
        <v>0.13300000000000001</v>
      </c>
      <c r="K663" s="2">
        <v>6</v>
      </c>
      <c r="L663" s="2">
        <f>I663*J663*K663</f>
        <v>30.324000000000002</v>
      </c>
      <c r="M663" s="2">
        <v>13</v>
      </c>
      <c r="N663" s="2">
        <v>73.8</v>
      </c>
      <c r="O663" s="2">
        <f>M663*N663</f>
        <v>959.4</v>
      </c>
      <c r="P663" s="2">
        <f>H663/C663*100000</f>
        <v>0.83728849803476735</v>
      </c>
      <c r="Q663" s="7">
        <f t="shared" si="59"/>
        <v>0.83379300049289951</v>
      </c>
      <c r="R663" s="2" t="s">
        <v>208</v>
      </c>
      <c r="S663" s="2" t="s">
        <v>28</v>
      </c>
      <c r="T663" s="2" t="s">
        <v>150</v>
      </c>
    </row>
    <row r="664" spans="1:20" x14ac:dyDescent="0.3">
      <c r="A664" s="2" t="s">
        <v>206</v>
      </c>
      <c r="B664" s="2" t="s">
        <v>148</v>
      </c>
      <c r="C664" s="2">
        <v>118205852</v>
      </c>
      <c r="D664" s="2">
        <v>2015</v>
      </c>
      <c r="E664" s="2" t="s">
        <v>151</v>
      </c>
      <c r="F664" s="4">
        <v>7.18E-4</v>
      </c>
      <c r="G664" s="2">
        <v>7</v>
      </c>
      <c r="H664" s="2">
        <f>L664+O664+G664*F664</f>
        <v>2101377.317026</v>
      </c>
      <c r="I664" s="2">
        <v>17844</v>
      </c>
      <c r="J664" s="2">
        <v>0.13300000000000001</v>
      </c>
      <c r="K664" s="2">
        <v>6</v>
      </c>
      <c r="L664" s="2">
        <f>I664*J664*K664</f>
        <v>14239.511999999999</v>
      </c>
      <c r="M664" s="2">
        <v>28281</v>
      </c>
      <c r="N664" s="2">
        <v>73.8</v>
      </c>
      <c r="O664" s="2">
        <f>M664*N664</f>
        <v>2087137.7999999998</v>
      </c>
      <c r="P664" s="2">
        <f>H664/C664*100000</f>
        <v>1777.7269749944357</v>
      </c>
      <c r="Q664" s="7">
        <f t="shared" si="59"/>
        <v>99.999998097039196</v>
      </c>
      <c r="R664" s="2" t="s">
        <v>209</v>
      </c>
      <c r="S664" s="2" t="s">
        <v>28</v>
      </c>
      <c r="T664" s="2" t="s">
        <v>32</v>
      </c>
    </row>
    <row r="665" spans="1:20" x14ac:dyDescent="0.3">
      <c r="A665" s="2" t="s">
        <v>206</v>
      </c>
      <c r="B665" s="2" t="s">
        <v>148</v>
      </c>
      <c r="C665" s="2">
        <v>118205852</v>
      </c>
      <c r="D665" s="2">
        <v>2015</v>
      </c>
      <c r="E665" s="2" t="s">
        <v>33</v>
      </c>
      <c r="F665" s="4" t="s">
        <v>29</v>
      </c>
      <c r="G665" s="2">
        <v>8</v>
      </c>
      <c r="H665" s="2" t="s">
        <v>29</v>
      </c>
      <c r="I665" s="2" t="s">
        <v>29</v>
      </c>
      <c r="J665" s="2">
        <v>0.13300000000000001</v>
      </c>
      <c r="K665" s="2">
        <v>7</v>
      </c>
      <c r="L665" s="2" t="s">
        <v>29</v>
      </c>
      <c r="M665" s="2" t="s">
        <v>29</v>
      </c>
      <c r="N665" s="2">
        <v>73.8</v>
      </c>
      <c r="O665" s="2" t="s">
        <v>29</v>
      </c>
      <c r="P665" s="2" t="s">
        <v>29</v>
      </c>
      <c r="Q665" s="7" t="e">
        <f t="shared" si="59"/>
        <v>#VALUE!</v>
      </c>
      <c r="R665" s="2" t="s">
        <v>210</v>
      </c>
      <c r="S665" s="2" t="s">
        <v>35</v>
      </c>
      <c r="T665" s="2" t="s">
        <v>29</v>
      </c>
    </row>
    <row r="666" spans="1:20" x14ac:dyDescent="0.3">
      <c r="A666" s="2" t="s">
        <v>206</v>
      </c>
      <c r="B666" s="2" t="s">
        <v>148</v>
      </c>
      <c r="C666" s="2">
        <v>118205852</v>
      </c>
      <c r="D666" s="2">
        <v>2015</v>
      </c>
      <c r="E666" s="2" t="s">
        <v>37</v>
      </c>
      <c r="F666" s="4">
        <v>7.9599999999999997E-5</v>
      </c>
      <c r="G666" s="2">
        <v>6</v>
      </c>
      <c r="H666" s="2">
        <f>L666+O666+G666*F666</f>
        <v>5173.7604775999998</v>
      </c>
      <c r="I666" s="2">
        <v>8084</v>
      </c>
      <c r="J666" s="2">
        <v>0.128</v>
      </c>
      <c r="K666" s="2">
        <v>5</v>
      </c>
      <c r="L666" s="2">
        <f>I666*J666*K666</f>
        <v>5173.76</v>
      </c>
      <c r="M666" s="2">
        <v>0</v>
      </c>
      <c r="N666" s="2">
        <v>73.8</v>
      </c>
      <c r="O666" s="2">
        <f>M666*N666</f>
        <v>0</v>
      </c>
      <c r="P666" s="2">
        <f>H666/C666*100000</f>
        <v>4.3769072258791386</v>
      </c>
      <c r="Q666" s="7">
        <f t="shared" si="59"/>
        <v>4.282502979310987</v>
      </c>
      <c r="R666" s="2" t="s">
        <v>211</v>
      </c>
      <c r="S666" s="2" t="s">
        <v>155</v>
      </c>
      <c r="T666" s="2" t="s">
        <v>156</v>
      </c>
    </row>
    <row r="667" spans="1:20" x14ac:dyDescent="0.3">
      <c r="A667" s="2" t="s">
        <v>206</v>
      </c>
      <c r="B667" s="2" t="s">
        <v>148</v>
      </c>
      <c r="C667" s="2">
        <v>118205852</v>
      </c>
      <c r="D667" s="2">
        <v>2015</v>
      </c>
      <c r="E667" s="2" t="s">
        <v>41</v>
      </c>
      <c r="F667" s="4">
        <v>9.9999999999999995E-7</v>
      </c>
      <c r="G667" s="2">
        <v>6</v>
      </c>
      <c r="H667" s="2">
        <f>L667+O667+G667*F667</f>
        <v>3011.5200060000002</v>
      </c>
      <c r="I667" s="2">
        <v>124</v>
      </c>
      <c r="J667" s="2">
        <v>0.12</v>
      </c>
      <c r="K667" s="2">
        <v>4</v>
      </c>
      <c r="L667" s="2">
        <f>I667*J667*K667</f>
        <v>59.519999999999996</v>
      </c>
      <c r="M667" s="2">
        <v>40</v>
      </c>
      <c r="N667" s="2">
        <v>73.8</v>
      </c>
      <c r="O667" s="2">
        <f>M667*N667</f>
        <v>2952</v>
      </c>
      <c r="P667" s="2">
        <f>H667/C667*100000</f>
        <v>2.5476911295390017</v>
      </c>
      <c r="Q667" s="7">
        <f t="shared" si="59"/>
        <v>2.5155113388468542</v>
      </c>
      <c r="R667" s="2" t="s">
        <v>212</v>
      </c>
      <c r="S667" s="2" t="s">
        <v>158</v>
      </c>
      <c r="T667" s="2" t="s">
        <v>159</v>
      </c>
    </row>
    <row r="668" spans="1:20" x14ac:dyDescent="0.3">
      <c r="A668" s="2" t="s">
        <v>206</v>
      </c>
      <c r="B668" s="2" t="s">
        <v>148</v>
      </c>
      <c r="C668" s="2">
        <v>119387911</v>
      </c>
      <c r="D668" s="2">
        <v>2016</v>
      </c>
      <c r="E668" s="2" t="s">
        <v>22</v>
      </c>
      <c r="F668" s="4" t="s">
        <v>29</v>
      </c>
      <c r="G668" s="2">
        <v>9</v>
      </c>
      <c r="H668" s="2" t="s">
        <v>29</v>
      </c>
      <c r="I668" s="2" t="s">
        <v>29</v>
      </c>
      <c r="J668" s="2">
        <v>0.13300000000000001</v>
      </c>
      <c r="K668" s="2">
        <v>8</v>
      </c>
      <c r="L668" s="2" t="s">
        <v>29</v>
      </c>
      <c r="M668" s="2" t="s">
        <v>29</v>
      </c>
      <c r="N668" s="2">
        <v>73.8</v>
      </c>
      <c r="O668" s="2" t="s">
        <v>29</v>
      </c>
      <c r="P668" s="2" t="s">
        <v>29</v>
      </c>
      <c r="Q668" s="7" t="e">
        <f t="shared" si="59"/>
        <v>#VALUE!</v>
      </c>
      <c r="R668" s="2" t="s">
        <v>207</v>
      </c>
      <c r="S668" s="2" t="s">
        <v>28</v>
      </c>
      <c r="T668" s="2" t="s">
        <v>29</v>
      </c>
    </row>
    <row r="669" spans="1:20" x14ac:dyDescent="0.3">
      <c r="A669" s="2" t="s">
        <v>206</v>
      </c>
      <c r="B669" s="2" t="s">
        <v>148</v>
      </c>
      <c r="C669" s="2">
        <v>119387911</v>
      </c>
      <c r="D669" s="2">
        <v>2016</v>
      </c>
      <c r="E669" s="2" t="s">
        <v>26</v>
      </c>
      <c r="F669" s="4">
        <v>3.9999999999999998E-7</v>
      </c>
      <c r="G669" s="2">
        <v>7</v>
      </c>
      <c r="H669" s="2">
        <f>L669+O669+G669*F669</f>
        <v>988.12800279999988</v>
      </c>
      <c r="I669" s="2">
        <v>36</v>
      </c>
      <c r="J669" s="2">
        <v>0.13300000000000001</v>
      </c>
      <c r="K669" s="2">
        <v>6</v>
      </c>
      <c r="L669" s="2">
        <f>I669*J669*K669</f>
        <v>28.728000000000002</v>
      </c>
      <c r="M669" s="2">
        <v>13</v>
      </c>
      <c r="N669" s="2">
        <v>73.8</v>
      </c>
      <c r="O669" s="2">
        <f>M669*N669</f>
        <v>959.4</v>
      </c>
      <c r="P669" s="2">
        <f>H669/C669*100000</f>
        <v>0.82766169080552876</v>
      </c>
      <c r="Q669" s="7">
        <f t="shared" si="59"/>
        <v>0.82424600138027992</v>
      </c>
      <c r="R669" s="2" t="s">
        <v>208</v>
      </c>
      <c r="S669" s="2" t="s">
        <v>28</v>
      </c>
      <c r="T669" s="2" t="s">
        <v>150</v>
      </c>
    </row>
    <row r="670" spans="1:20" x14ac:dyDescent="0.3">
      <c r="A670" s="2" t="s">
        <v>206</v>
      </c>
      <c r="B670" s="2" t="s">
        <v>148</v>
      </c>
      <c r="C670" s="2">
        <v>119387911</v>
      </c>
      <c r="D670" s="2">
        <v>2016</v>
      </c>
      <c r="E670" s="2" t="s">
        <v>151</v>
      </c>
      <c r="F670" s="4">
        <v>7.54E-4</v>
      </c>
      <c r="G670" s="2">
        <v>7</v>
      </c>
      <c r="H670" s="2">
        <f>L670+O670+G670*F670</f>
        <v>2227502.8732779999</v>
      </c>
      <c r="I670" s="2">
        <v>16366</v>
      </c>
      <c r="J670" s="2">
        <v>0.13300000000000001</v>
      </c>
      <c r="K670" s="2">
        <v>6</v>
      </c>
      <c r="L670" s="2">
        <f>I670*J670*K670</f>
        <v>13060.068000000003</v>
      </c>
      <c r="M670" s="2">
        <v>30006</v>
      </c>
      <c r="N670" s="2">
        <v>73.8</v>
      </c>
      <c r="O670" s="2">
        <f>M670*N670</f>
        <v>2214442.7999999998</v>
      </c>
      <c r="P670" s="2">
        <f>H670/C670*100000</f>
        <v>1865.7692011027818</v>
      </c>
      <c r="Q670" s="7">
        <f t="shared" si="59"/>
        <v>99.999999211017595</v>
      </c>
      <c r="R670" s="2" t="s">
        <v>209</v>
      </c>
      <c r="S670" s="2" t="s">
        <v>28</v>
      </c>
      <c r="T670" s="2" t="s">
        <v>32</v>
      </c>
    </row>
    <row r="671" spans="1:20" x14ac:dyDescent="0.3">
      <c r="A671" s="2" t="s">
        <v>206</v>
      </c>
      <c r="B671" s="2" t="s">
        <v>148</v>
      </c>
      <c r="C671" s="2">
        <v>119387911</v>
      </c>
      <c r="D671" s="2">
        <v>2016</v>
      </c>
      <c r="E671" s="2" t="s">
        <v>33</v>
      </c>
      <c r="F671" s="4" t="s">
        <v>29</v>
      </c>
      <c r="G671" s="2">
        <v>8</v>
      </c>
      <c r="H671" s="2" t="s">
        <v>29</v>
      </c>
      <c r="I671" s="2" t="s">
        <v>29</v>
      </c>
      <c r="J671" s="2">
        <v>0.13300000000000001</v>
      </c>
      <c r="K671" s="2">
        <v>7</v>
      </c>
      <c r="L671" s="2" t="s">
        <v>29</v>
      </c>
      <c r="M671" s="2" t="s">
        <v>29</v>
      </c>
      <c r="N671" s="2">
        <v>73.8</v>
      </c>
      <c r="O671" s="2" t="s">
        <v>29</v>
      </c>
      <c r="P671" s="2" t="s">
        <v>29</v>
      </c>
      <c r="Q671" s="7" t="e">
        <f t="shared" si="59"/>
        <v>#VALUE!</v>
      </c>
      <c r="R671" s="2" t="s">
        <v>210</v>
      </c>
      <c r="S671" s="2" t="s">
        <v>35</v>
      </c>
      <c r="T671" s="2" t="s">
        <v>29</v>
      </c>
    </row>
    <row r="672" spans="1:20" x14ac:dyDescent="0.3">
      <c r="A672" s="2" t="s">
        <v>206</v>
      </c>
      <c r="B672" s="2" t="s">
        <v>148</v>
      </c>
      <c r="C672" s="2">
        <v>119387911</v>
      </c>
      <c r="D672" s="2">
        <v>2016</v>
      </c>
      <c r="E672" s="2" t="s">
        <v>37</v>
      </c>
      <c r="F672" s="4">
        <v>8.0500000000000005E-5</v>
      </c>
      <c r="G672" s="2">
        <v>6</v>
      </c>
      <c r="H672" s="2">
        <f>L672+O672+G672*F672</f>
        <v>6428.800483</v>
      </c>
      <c r="I672" s="2">
        <v>10045</v>
      </c>
      <c r="J672" s="2">
        <v>0.128</v>
      </c>
      <c r="K672" s="2">
        <v>5</v>
      </c>
      <c r="L672" s="2">
        <f>I672*J672*K672</f>
        <v>6428.8</v>
      </c>
      <c r="M672" s="2">
        <v>0</v>
      </c>
      <c r="N672" s="2">
        <v>73.8</v>
      </c>
      <c r="O672" s="2">
        <f>M672*N672</f>
        <v>0</v>
      </c>
      <c r="P672" s="2">
        <f>H672/C672*100000</f>
        <v>5.384800210634392</v>
      </c>
      <c r="Q672" s="7">
        <f t="shared" si="59"/>
        <v>5.2423874868644411</v>
      </c>
      <c r="R672" s="2" t="s">
        <v>211</v>
      </c>
      <c r="S672" s="2" t="s">
        <v>155</v>
      </c>
      <c r="T672" s="2" t="s">
        <v>156</v>
      </c>
    </row>
    <row r="673" spans="1:20" x14ac:dyDescent="0.3">
      <c r="A673" s="2" t="s">
        <v>206</v>
      </c>
      <c r="B673" s="2" t="s">
        <v>148</v>
      </c>
      <c r="C673" s="2">
        <v>119387911</v>
      </c>
      <c r="D673" s="2">
        <v>2016</v>
      </c>
      <c r="E673" s="2" t="s">
        <v>41</v>
      </c>
      <c r="F673" s="4">
        <v>9.9999999999999995E-7</v>
      </c>
      <c r="G673" s="2">
        <v>6</v>
      </c>
      <c r="H673" s="2">
        <f>L673+O673+G673*F673</f>
        <v>3007.680006</v>
      </c>
      <c r="I673" s="2">
        <v>116</v>
      </c>
      <c r="J673" s="2">
        <v>0.12</v>
      </c>
      <c r="K673" s="2">
        <v>4</v>
      </c>
      <c r="L673" s="2">
        <f>I673*J673*K673</f>
        <v>55.68</v>
      </c>
      <c r="M673" s="2">
        <v>40</v>
      </c>
      <c r="N673" s="2">
        <v>73.8</v>
      </c>
      <c r="O673" s="2">
        <f>M673*N673</f>
        <v>2952</v>
      </c>
      <c r="P673" s="2">
        <f>H673/C673*100000</f>
        <v>2.5192500486921157</v>
      </c>
      <c r="Q673" s="7">
        <f t="shared" si="59"/>
        <v>2.4877817535035929</v>
      </c>
      <c r="R673" s="2" t="s">
        <v>212</v>
      </c>
      <c r="S673" s="2" t="s">
        <v>158</v>
      </c>
      <c r="T673" s="2" t="s">
        <v>159</v>
      </c>
    </row>
    <row r="674" spans="1:20" x14ac:dyDescent="0.3">
      <c r="A674" s="2" t="s">
        <v>206</v>
      </c>
      <c r="B674" s="2" t="s">
        <v>148</v>
      </c>
      <c r="C674" s="2">
        <v>120581790</v>
      </c>
      <c r="D674" s="2">
        <v>2017</v>
      </c>
      <c r="E674" s="2" t="s">
        <v>22</v>
      </c>
      <c r="F674" s="4" t="s">
        <v>29</v>
      </c>
      <c r="G674" s="2">
        <v>9</v>
      </c>
      <c r="H674" s="2" t="s">
        <v>29</v>
      </c>
      <c r="I674" s="2" t="s">
        <v>29</v>
      </c>
      <c r="J674" s="2">
        <v>0.13300000000000001</v>
      </c>
      <c r="K674" s="2">
        <v>8</v>
      </c>
      <c r="L674" s="2" t="s">
        <v>29</v>
      </c>
      <c r="M674" s="2" t="s">
        <v>29</v>
      </c>
      <c r="N674" s="2">
        <v>73.8</v>
      </c>
      <c r="O674" s="2" t="s">
        <v>29</v>
      </c>
      <c r="P674" s="2" t="s">
        <v>29</v>
      </c>
      <c r="Q674" s="7" t="e">
        <f t="shared" si="59"/>
        <v>#VALUE!</v>
      </c>
      <c r="R674" s="2" t="s">
        <v>207</v>
      </c>
      <c r="S674" s="2" t="s">
        <v>28</v>
      </c>
      <c r="T674" s="2" t="s">
        <v>29</v>
      </c>
    </row>
    <row r="675" spans="1:20" x14ac:dyDescent="0.3">
      <c r="A675" s="2" t="s">
        <v>206</v>
      </c>
      <c r="B675" s="2" t="s">
        <v>148</v>
      </c>
      <c r="C675" s="2">
        <v>120581790</v>
      </c>
      <c r="D675" s="2">
        <v>2017</v>
      </c>
      <c r="E675" s="2" t="s">
        <v>26</v>
      </c>
      <c r="F675" s="4">
        <v>2.9999999999999999E-7</v>
      </c>
      <c r="G675" s="2">
        <v>7</v>
      </c>
      <c r="H675" s="2">
        <f>L675+O675+G675*F675</f>
        <v>916.72200209999983</v>
      </c>
      <c r="I675" s="2">
        <v>39</v>
      </c>
      <c r="J675" s="2">
        <v>0.13300000000000001</v>
      </c>
      <c r="K675" s="2">
        <v>6</v>
      </c>
      <c r="L675" s="2">
        <f>I675*J675*K675</f>
        <v>31.122</v>
      </c>
      <c r="M675" s="2">
        <v>12</v>
      </c>
      <c r="N675" s="2">
        <v>73.8</v>
      </c>
      <c r="O675" s="2">
        <f>M675*N675</f>
        <v>885.59999999999991</v>
      </c>
      <c r="P675" s="2">
        <f>H675/C675*100000</f>
        <v>0.76024912393488253</v>
      </c>
      <c r="Q675" s="7">
        <f t="shared" si="59"/>
        <v>0.75736653984838087</v>
      </c>
      <c r="R675" s="2" t="s">
        <v>208</v>
      </c>
      <c r="S675" s="2" t="s">
        <v>28</v>
      </c>
      <c r="T675" s="2" t="s">
        <v>150</v>
      </c>
    </row>
    <row r="676" spans="1:20" x14ac:dyDescent="0.3">
      <c r="A676" s="2" t="s">
        <v>206</v>
      </c>
      <c r="B676" s="2" t="s">
        <v>148</v>
      </c>
      <c r="C676" s="2">
        <v>120581790</v>
      </c>
      <c r="D676" s="2">
        <v>2017</v>
      </c>
      <c r="E676" s="2" t="s">
        <v>151</v>
      </c>
      <c r="F676" s="4">
        <v>7.0799999999999997E-4</v>
      </c>
      <c r="G676" s="2">
        <v>7</v>
      </c>
      <c r="H676" s="2">
        <f>L676+O676+G676*F676</f>
        <v>2116009.3729560003</v>
      </c>
      <c r="I676" s="2">
        <v>18516</v>
      </c>
      <c r="J676" s="2">
        <v>0.13300000000000001</v>
      </c>
      <c r="K676" s="2">
        <v>6</v>
      </c>
      <c r="L676" s="2">
        <f>I676*J676*K676</f>
        <v>14775.768</v>
      </c>
      <c r="M676" s="2">
        <v>28472</v>
      </c>
      <c r="N676" s="2">
        <v>73.8</v>
      </c>
      <c r="O676" s="2">
        <f>M676*N676</f>
        <v>2101233.6</v>
      </c>
      <c r="P676" s="2">
        <f>H676/C676*100000</f>
        <v>1754.8332737107323</v>
      </c>
      <c r="Q676" s="7">
        <f t="shared" si="59"/>
        <v>99.999997607478079</v>
      </c>
      <c r="R676" s="2" t="s">
        <v>209</v>
      </c>
      <c r="S676" s="2" t="s">
        <v>28</v>
      </c>
      <c r="T676" s="2" t="s">
        <v>32</v>
      </c>
    </row>
    <row r="677" spans="1:20" x14ac:dyDescent="0.3">
      <c r="A677" s="2" t="s">
        <v>206</v>
      </c>
      <c r="B677" s="2" t="s">
        <v>148</v>
      </c>
      <c r="C677" s="2">
        <v>120581790</v>
      </c>
      <c r="D677" s="2">
        <v>2017</v>
      </c>
      <c r="E677" s="2" t="s">
        <v>33</v>
      </c>
      <c r="F677" s="4" t="s">
        <v>29</v>
      </c>
      <c r="G677" s="2">
        <v>8</v>
      </c>
      <c r="H677" s="2" t="s">
        <v>29</v>
      </c>
      <c r="I677" s="2" t="s">
        <v>29</v>
      </c>
      <c r="J677" s="2">
        <v>0.13300000000000001</v>
      </c>
      <c r="K677" s="2">
        <v>7</v>
      </c>
      <c r="L677" s="2" t="s">
        <v>29</v>
      </c>
      <c r="M677" s="2" t="s">
        <v>29</v>
      </c>
      <c r="N677" s="2">
        <v>73.8</v>
      </c>
      <c r="O677" s="2" t="s">
        <v>29</v>
      </c>
      <c r="P677" s="2" t="s">
        <v>29</v>
      </c>
      <c r="Q677" s="7" t="e">
        <f t="shared" si="59"/>
        <v>#VALUE!</v>
      </c>
      <c r="R677" s="2" t="s">
        <v>210</v>
      </c>
      <c r="S677" s="2" t="s">
        <v>35</v>
      </c>
      <c r="T677" s="2" t="s">
        <v>29</v>
      </c>
    </row>
    <row r="678" spans="1:20" x14ac:dyDescent="0.3">
      <c r="A678" s="2" t="s">
        <v>206</v>
      </c>
      <c r="B678" s="2" t="s">
        <v>148</v>
      </c>
      <c r="C678" s="2">
        <v>120581790</v>
      </c>
      <c r="D678" s="2">
        <v>2017</v>
      </c>
      <c r="E678" s="2" t="s">
        <v>37</v>
      </c>
      <c r="F678" s="4">
        <v>6.7600000000000003E-5</v>
      </c>
      <c r="G678" s="2">
        <v>6</v>
      </c>
      <c r="H678" s="2">
        <f>L678+O678+G678*F678</f>
        <v>6205.4404055999994</v>
      </c>
      <c r="I678" s="2">
        <v>9696</v>
      </c>
      <c r="J678" s="2">
        <v>0.128</v>
      </c>
      <c r="K678" s="2">
        <v>5</v>
      </c>
      <c r="L678" s="2">
        <f>I678*J678*K678</f>
        <v>6205.44</v>
      </c>
      <c r="M678" s="2">
        <v>0</v>
      </c>
      <c r="N678" s="2">
        <v>73.8</v>
      </c>
      <c r="O678" s="2">
        <f>M678*N678</f>
        <v>0</v>
      </c>
      <c r="P678" s="2">
        <f>H678/C678*100000</f>
        <v>5.1462500312858186</v>
      </c>
      <c r="Q678" s="7">
        <f t="shared" si="59"/>
        <v>5.0160732030252841</v>
      </c>
      <c r="R678" s="2" t="s">
        <v>211</v>
      </c>
      <c r="S678" s="2" t="s">
        <v>155</v>
      </c>
      <c r="T678" s="2" t="s">
        <v>156</v>
      </c>
    </row>
    <row r="679" spans="1:20" x14ac:dyDescent="0.3">
      <c r="A679" s="2" t="s">
        <v>206</v>
      </c>
      <c r="B679" s="2" t="s">
        <v>148</v>
      </c>
      <c r="C679" s="2">
        <v>120581790</v>
      </c>
      <c r="D679" s="2">
        <v>2017</v>
      </c>
      <c r="E679" s="2" t="s">
        <v>41</v>
      </c>
      <c r="F679" s="4">
        <v>9.0000000000000002E-6</v>
      </c>
      <c r="G679" s="2">
        <v>6</v>
      </c>
      <c r="H679" s="2">
        <f>L679+O679+G679*F679</f>
        <v>27822.120053999999</v>
      </c>
      <c r="I679" s="2">
        <v>1229</v>
      </c>
      <c r="J679" s="2">
        <v>0.12</v>
      </c>
      <c r="K679" s="2">
        <v>4</v>
      </c>
      <c r="L679" s="2">
        <f>I679*J679*K679</f>
        <v>589.91999999999996</v>
      </c>
      <c r="M679" s="2">
        <v>369</v>
      </c>
      <c r="N679" s="2">
        <v>73.8</v>
      </c>
      <c r="O679" s="2">
        <f>M679*N679</f>
        <v>27232.2</v>
      </c>
      <c r="P679" s="2">
        <f>H679/C679*100000</f>
        <v>23.073235232285072</v>
      </c>
      <c r="Q679" s="7">
        <f t="shared" si="59"/>
        <v>20.60480630080006</v>
      </c>
      <c r="R679" s="2" t="s">
        <v>213</v>
      </c>
      <c r="S679" s="2" t="s">
        <v>158</v>
      </c>
      <c r="T679" s="2" t="s">
        <v>159</v>
      </c>
    </row>
    <row r="680" spans="1:20" x14ac:dyDescent="0.3">
      <c r="A680" s="2" t="s">
        <v>206</v>
      </c>
      <c r="B680" s="2" t="s">
        <v>148</v>
      </c>
      <c r="C680" s="2">
        <v>121787608</v>
      </c>
      <c r="D680" s="2">
        <v>2018</v>
      </c>
      <c r="E680" s="2" t="s">
        <v>22</v>
      </c>
      <c r="F680" s="4" t="s">
        <v>29</v>
      </c>
      <c r="G680" s="2">
        <v>9</v>
      </c>
      <c r="H680" s="2" t="s">
        <v>29</v>
      </c>
      <c r="I680" s="2" t="s">
        <v>29</v>
      </c>
      <c r="J680" s="2">
        <v>0.13300000000000001</v>
      </c>
      <c r="K680" s="2">
        <v>8</v>
      </c>
      <c r="L680" s="2" t="s">
        <v>29</v>
      </c>
      <c r="M680" s="2" t="s">
        <v>29</v>
      </c>
      <c r="N680" s="2">
        <v>73.8</v>
      </c>
      <c r="O680" s="2" t="s">
        <v>29</v>
      </c>
      <c r="P680" s="2" t="s">
        <v>29</v>
      </c>
      <c r="Q680" s="7" t="e">
        <f t="shared" si="59"/>
        <v>#VALUE!</v>
      </c>
      <c r="R680" s="2" t="s">
        <v>207</v>
      </c>
      <c r="S680" s="2" t="s">
        <v>28</v>
      </c>
      <c r="T680" s="2" t="s">
        <v>29</v>
      </c>
    </row>
    <row r="681" spans="1:20" x14ac:dyDescent="0.3">
      <c r="A681" s="2" t="s">
        <v>206</v>
      </c>
      <c r="B681" s="2" t="s">
        <v>148</v>
      </c>
      <c r="C681" s="2">
        <v>121787608</v>
      </c>
      <c r="D681" s="2">
        <v>2018</v>
      </c>
      <c r="E681" s="2" t="s">
        <v>26</v>
      </c>
      <c r="F681" s="4">
        <v>2.9999999999999999E-7</v>
      </c>
      <c r="G681" s="2">
        <v>7</v>
      </c>
      <c r="H681" s="2">
        <f>L681+O681+G681*F681</f>
        <v>992.1180020999999</v>
      </c>
      <c r="I681" s="2">
        <v>41</v>
      </c>
      <c r="J681" s="2">
        <v>0.13300000000000001</v>
      </c>
      <c r="K681" s="2">
        <v>6</v>
      </c>
      <c r="L681" s="2">
        <f>I681*J681*K681</f>
        <v>32.718000000000004</v>
      </c>
      <c r="M681" s="2">
        <v>13</v>
      </c>
      <c r="N681" s="2">
        <v>73.8</v>
      </c>
      <c r="O681" s="2">
        <f>M681*N681</f>
        <v>959.4</v>
      </c>
      <c r="P681" s="2">
        <f>H681/C681*100000</f>
        <v>0.81462968063220342</v>
      </c>
      <c r="Q681" s="7">
        <f t="shared" si="59"/>
        <v>0.81132056482590142</v>
      </c>
      <c r="R681" s="2" t="s">
        <v>208</v>
      </c>
      <c r="S681" s="2" t="s">
        <v>28</v>
      </c>
      <c r="T681" s="2" t="s">
        <v>150</v>
      </c>
    </row>
    <row r="682" spans="1:20" x14ac:dyDescent="0.3">
      <c r="A682" s="2" t="s">
        <v>206</v>
      </c>
      <c r="B682" s="2" t="s">
        <v>148</v>
      </c>
      <c r="C682" s="2">
        <v>121787608</v>
      </c>
      <c r="D682" s="2">
        <v>2018</v>
      </c>
      <c r="E682" s="2" t="s">
        <v>151</v>
      </c>
      <c r="F682" s="4">
        <v>7.2499999999999995E-4</v>
      </c>
      <c r="G682" s="2">
        <v>7</v>
      </c>
      <c r="H682" s="2">
        <f>L682+O682+G682*F682</f>
        <v>2187335.6990750004</v>
      </c>
      <c r="I682" s="2">
        <v>18653</v>
      </c>
      <c r="J682" s="2">
        <v>0.13300000000000001</v>
      </c>
      <c r="K682" s="2">
        <v>6</v>
      </c>
      <c r="L682" s="2">
        <f>I682*J682*K682</f>
        <v>14885.094000000001</v>
      </c>
      <c r="M682" s="2">
        <v>29437</v>
      </c>
      <c r="N682" s="2">
        <v>73.8</v>
      </c>
      <c r="O682" s="2">
        <f>M682*N682</f>
        <v>2172450.6</v>
      </c>
      <c r="P682" s="2">
        <f>H682/C682*100000</f>
        <v>1796.0248460377022</v>
      </c>
      <c r="Q682" s="7">
        <f t="shared" si="59"/>
        <v>99.999998415241095</v>
      </c>
      <c r="R682" s="2" t="s">
        <v>209</v>
      </c>
      <c r="S682" s="2" t="s">
        <v>28</v>
      </c>
      <c r="T682" s="2" t="s">
        <v>32</v>
      </c>
    </row>
    <row r="683" spans="1:20" x14ac:dyDescent="0.3">
      <c r="A683" s="2" t="s">
        <v>206</v>
      </c>
      <c r="B683" s="2" t="s">
        <v>148</v>
      </c>
      <c r="C683" s="2">
        <v>121787608</v>
      </c>
      <c r="D683" s="2">
        <v>2018</v>
      </c>
      <c r="E683" s="2" t="s">
        <v>33</v>
      </c>
      <c r="F683" s="4" t="s">
        <v>29</v>
      </c>
      <c r="G683" s="2">
        <v>8</v>
      </c>
      <c r="H683" s="2" t="s">
        <v>29</v>
      </c>
      <c r="I683" s="2" t="s">
        <v>29</v>
      </c>
      <c r="J683" s="2">
        <v>0.13300000000000001</v>
      </c>
      <c r="K683" s="2">
        <v>7</v>
      </c>
      <c r="L683" s="2" t="s">
        <v>29</v>
      </c>
      <c r="M683" s="2" t="s">
        <v>29</v>
      </c>
      <c r="N683" s="2">
        <v>73.8</v>
      </c>
      <c r="O683" s="2" t="s">
        <v>29</v>
      </c>
      <c r="P683" s="2" t="s">
        <v>29</v>
      </c>
      <c r="Q683" s="7" t="e">
        <f t="shared" si="59"/>
        <v>#VALUE!</v>
      </c>
      <c r="R683" s="2" t="s">
        <v>210</v>
      </c>
      <c r="S683" s="2" t="s">
        <v>35</v>
      </c>
      <c r="T683" s="2" t="s">
        <v>29</v>
      </c>
    </row>
    <row r="684" spans="1:20" x14ac:dyDescent="0.3">
      <c r="A684" s="2" t="s">
        <v>206</v>
      </c>
      <c r="B684" s="2" t="s">
        <v>148</v>
      </c>
      <c r="C684" s="2">
        <v>121787608</v>
      </c>
      <c r="D684" s="2">
        <v>2018</v>
      </c>
      <c r="E684" s="2" t="s">
        <v>37</v>
      </c>
      <c r="F684" s="4">
        <v>6.9800000000000003E-5</v>
      </c>
      <c r="G684" s="2">
        <v>6</v>
      </c>
      <c r="H684" s="2">
        <f>L684+O684+G684*F684</f>
        <v>6403.200418800001</v>
      </c>
      <c r="I684" s="2">
        <v>10005</v>
      </c>
      <c r="J684" s="2">
        <v>0.128</v>
      </c>
      <c r="K684" s="2">
        <v>5</v>
      </c>
      <c r="L684" s="2">
        <f>I684*J684*K684</f>
        <v>6403.2000000000007</v>
      </c>
      <c r="M684" s="2">
        <v>0</v>
      </c>
      <c r="N684" s="2">
        <v>73.8</v>
      </c>
      <c r="O684" s="2">
        <f>M684*N684</f>
        <v>0</v>
      </c>
      <c r="P684" s="2">
        <f>H684/C684*100000</f>
        <v>5.257678120092482</v>
      </c>
      <c r="Q684" s="7">
        <f t="shared" si="59"/>
        <v>5.1218530321628153</v>
      </c>
      <c r="R684" s="2" t="s">
        <v>211</v>
      </c>
      <c r="S684" s="2" t="s">
        <v>155</v>
      </c>
      <c r="T684" s="2" t="s">
        <v>156</v>
      </c>
    </row>
    <row r="685" spans="1:20" x14ac:dyDescent="0.3">
      <c r="A685" s="2" t="s">
        <v>206</v>
      </c>
      <c r="B685" s="2" t="s">
        <v>148</v>
      </c>
      <c r="C685" s="2">
        <v>121787608</v>
      </c>
      <c r="D685" s="2">
        <v>2018</v>
      </c>
      <c r="E685" s="2" t="s">
        <v>41</v>
      </c>
      <c r="F685" s="4">
        <v>9.9999999999999995E-7</v>
      </c>
      <c r="G685" s="2">
        <v>6</v>
      </c>
      <c r="H685" s="2">
        <f>L685+O685+G685*F685</f>
        <v>3013.9200060000003</v>
      </c>
      <c r="I685" s="2">
        <v>129</v>
      </c>
      <c r="J685" s="2">
        <v>0.12</v>
      </c>
      <c r="K685" s="2">
        <v>4</v>
      </c>
      <c r="L685" s="2">
        <f>I685*J685*K685</f>
        <v>61.919999999999995</v>
      </c>
      <c r="M685" s="2">
        <v>40</v>
      </c>
      <c r="N685" s="2">
        <v>73.8</v>
      </c>
      <c r="O685" s="2">
        <f>M685*N685</f>
        <v>2952</v>
      </c>
      <c r="P685" s="2">
        <f>H685/C685*100000</f>
        <v>2.474734544420973</v>
      </c>
      <c r="Q685" s="7">
        <f t="shared" si="59"/>
        <v>2.4443640347339479</v>
      </c>
      <c r="R685" s="2" t="s">
        <v>212</v>
      </c>
      <c r="S685" s="2" t="s">
        <v>158</v>
      </c>
      <c r="T685" s="2" t="s">
        <v>159</v>
      </c>
    </row>
    <row r="686" spans="1:20" x14ac:dyDescent="0.3">
      <c r="A686" s="2" t="s">
        <v>206</v>
      </c>
      <c r="B686" s="2" t="s">
        <v>148</v>
      </c>
      <c r="C686" s="2">
        <v>123005484</v>
      </c>
      <c r="D686" s="2">
        <v>2019</v>
      </c>
      <c r="E686" s="2" t="s">
        <v>22</v>
      </c>
      <c r="F686" s="4" t="s">
        <v>29</v>
      </c>
      <c r="G686" s="2">
        <v>9</v>
      </c>
      <c r="H686" s="2" t="s">
        <v>29</v>
      </c>
      <c r="I686" s="2" t="s">
        <v>29</v>
      </c>
      <c r="J686" s="2">
        <v>0.13300000000000001</v>
      </c>
      <c r="K686" s="2">
        <v>8</v>
      </c>
      <c r="L686" s="2" t="s">
        <v>29</v>
      </c>
      <c r="M686" s="2" t="s">
        <v>29</v>
      </c>
      <c r="N686" s="2">
        <v>73.8</v>
      </c>
      <c r="O686" s="2" t="s">
        <v>29</v>
      </c>
      <c r="P686" s="2" t="s">
        <v>29</v>
      </c>
      <c r="Q686" s="7" t="e">
        <f t="shared" si="59"/>
        <v>#VALUE!</v>
      </c>
      <c r="R686" s="2" t="s">
        <v>207</v>
      </c>
      <c r="S686" s="2" t="s">
        <v>28</v>
      </c>
      <c r="T686" s="2" t="s">
        <v>29</v>
      </c>
    </row>
    <row r="687" spans="1:20" x14ac:dyDescent="0.3">
      <c r="A687" s="2" t="s">
        <v>206</v>
      </c>
      <c r="B687" s="2" t="s">
        <v>148</v>
      </c>
      <c r="C687" s="2">
        <v>123005484</v>
      </c>
      <c r="D687" s="2">
        <v>2019</v>
      </c>
      <c r="E687" s="2" t="s">
        <v>26</v>
      </c>
      <c r="F687" s="4">
        <v>2.9999999999999999E-7</v>
      </c>
      <c r="G687" s="2">
        <v>7</v>
      </c>
      <c r="H687" s="2">
        <f>L687+O687+G687*F687</f>
        <v>917.52000209999983</v>
      </c>
      <c r="I687" s="2">
        <v>40</v>
      </c>
      <c r="J687" s="2">
        <v>0.13300000000000001</v>
      </c>
      <c r="K687" s="2">
        <v>6</v>
      </c>
      <c r="L687" s="2">
        <f>I687*J687*K687</f>
        <v>31.92</v>
      </c>
      <c r="M687" s="2">
        <v>12</v>
      </c>
      <c r="N687" s="2">
        <v>73.8</v>
      </c>
      <c r="O687" s="2">
        <f>M687*N687</f>
        <v>885.59999999999991</v>
      </c>
      <c r="P687" s="2">
        <f>H687/C687*100000</f>
        <v>0.74591796419418166</v>
      </c>
      <c r="Q687" s="7">
        <f t="shared" si="59"/>
        <v>0.74314290033442587</v>
      </c>
      <c r="R687" s="2" t="s">
        <v>208</v>
      </c>
      <c r="S687" s="2" t="s">
        <v>28</v>
      </c>
      <c r="T687" s="2" t="s">
        <v>150</v>
      </c>
    </row>
    <row r="688" spans="1:20" x14ac:dyDescent="0.3">
      <c r="A688" s="2" t="s">
        <v>206</v>
      </c>
      <c r="B688" s="2" t="s">
        <v>148</v>
      </c>
      <c r="C688" s="2">
        <v>123005484</v>
      </c>
      <c r="D688" s="2">
        <v>2019</v>
      </c>
      <c r="E688" s="2" t="s">
        <v>151</v>
      </c>
      <c r="F688" s="4">
        <v>7.7700000000000002E-4</v>
      </c>
      <c r="G688" s="2">
        <v>7</v>
      </c>
      <c r="H688" s="2">
        <f>L688+O688+G688*F688</f>
        <v>2366713.8834389998</v>
      </c>
      <c r="I688" s="2">
        <v>18061</v>
      </c>
      <c r="J688" s="2">
        <v>0.13300000000000001</v>
      </c>
      <c r="K688" s="2">
        <v>6</v>
      </c>
      <c r="L688" s="2">
        <f>I688*J688*K688</f>
        <v>14412.678000000002</v>
      </c>
      <c r="M688" s="2">
        <v>31874</v>
      </c>
      <c r="N688" s="2">
        <v>73.8</v>
      </c>
      <c r="O688" s="2">
        <f>M688*N688</f>
        <v>2352301.1999999997</v>
      </c>
      <c r="P688" s="2">
        <f>H688/C688*100000</f>
        <v>1924.07184336513</v>
      </c>
      <c r="Q688" s="7">
        <f t="shared" si="59"/>
        <v>99.999999559584936</v>
      </c>
      <c r="R688" s="2" t="s">
        <v>209</v>
      </c>
      <c r="S688" s="2" t="s">
        <v>28</v>
      </c>
      <c r="T688" s="2" t="s">
        <v>32</v>
      </c>
    </row>
    <row r="689" spans="1:20" x14ac:dyDescent="0.3">
      <c r="A689" s="2" t="s">
        <v>206</v>
      </c>
      <c r="B689" s="2" t="s">
        <v>148</v>
      </c>
      <c r="C689" s="2">
        <v>123005484</v>
      </c>
      <c r="D689" s="2">
        <v>2019</v>
      </c>
      <c r="E689" s="2" t="s">
        <v>33</v>
      </c>
      <c r="F689" s="4" t="s">
        <v>29</v>
      </c>
      <c r="G689" s="2">
        <v>8</v>
      </c>
      <c r="H689" s="2" t="s">
        <v>29</v>
      </c>
      <c r="I689" s="2" t="s">
        <v>29</v>
      </c>
      <c r="J689" s="2">
        <v>0.13300000000000001</v>
      </c>
      <c r="K689" s="2">
        <v>7</v>
      </c>
      <c r="L689" s="2" t="s">
        <v>29</v>
      </c>
      <c r="M689" s="2" t="s">
        <v>29</v>
      </c>
      <c r="N689" s="2">
        <v>73.8</v>
      </c>
      <c r="O689" s="2" t="s">
        <v>29</v>
      </c>
      <c r="P689" s="2" t="s">
        <v>29</v>
      </c>
      <c r="Q689" s="7" t="e">
        <f t="shared" si="59"/>
        <v>#VALUE!</v>
      </c>
      <c r="R689" s="2" t="s">
        <v>210</v>
      </c>
      <c r="S689" s="2" t="s">
        <v>35</v>
      </c>
      <c r="T689" s="2" t="s">
        <v>29</v>
      </c>
    </row>
    <row r="690" spans="1:20" x14ac:dyDescent="0.3">
      <c r="A690" s="2" t="s">
        <v>206</v>
      </c>
      <c r="B690" s="2" t="s">
        <v>148</v>
      </c>
      <c r="C690" s="2">
        <v>123005484</v>
      </c>
      <c r="D690" s="2">
        <v>2019</v>
      </c>
      <c r="E690" s="2" t="s">
        <v>37</v>
      </c>
      <c r="F690" s="4">
        <v>7.8999999999999996E-5</v>
      </c>
      <c r="G690" s="2">
        <v>6</v>
      </c>
      <c r="H690" s="2">
        <f>L690+O690+G690*F690</f>
        <v>6246.400474</v>
      </c>
      <c r="I690" s="2">
        <v>9760</v>
      </c>
      <c r="J690" s="2">
        <v>0.128</v>
      </c>
      <c r="K690" s="2">
        <v>5</v>
      </c>
      <c r="L690" s="2">
        <f>I690*J690*K690</f>
        <v>6246.4</v>
      </c>
      <c r="M690" s="2">
        <v>0</v>
      </c>
      <c r="N690" s="2">
        <v>73.8</v>
      </c>
      <c r="O690" s="2">
        <f>M690*N690</f>
        <v>0</v>
      </c>
      <c r="P690" s="2">
        <f>H690/C690*100000</f>
        <v>5.0781479580211233</v>
      </c>
      <c r="Q690" s="7">
        <f t="shared" si="59"/>
        <v>4.9513651483458325</v>
      </c>
      <c r="R690" s="2" t="s">
        <v>211</v>
      </c>
      <c r="S690" s="2" t="s">
        <v>155</v>
      </c>
      <c r="T690" s="2" t="s">
        <v>156</v>
      </c>
    </row>
    <row r="691" spans="1:20" x14ac:dyDescent="0.3">
      <c r="A691" s="2" t="s">
        <v>206</v>
      </c>
      <c r="B691" s="2" t="s">
        <v>148</v>
      </c>
      <c r="C691" s="2">
        <v>123005484</v>
      </c>
      <c r="D691" s="2">
        <v>2019</v>
      </c>
      <c r="E691" s="2" t="s">
        <v>41</v>
      </c>
      <c r="F691" s="4">
        <v>9.9999999999999995E-7</v>
      </c>
      <c r="G691" s="2">
        <v>6</v>
      </c>
      <c r="H691" s="2">
        <f>L691+O691+G691*F691</f>
        <v>3003.8400060000004</v>
      </c>
      <c r="I691" s="2">
        <v>108</v>
      </c>
      <c r="J691" s="2">
        <v>0.12</v>
      </c>
      <c r="K691" s="2">
        <v>4</v>
      </c>
      <c r="L691" s="2">
        <f>I691*J691*K691</f>
        <v>51.839999999999996</v>
      </c>
      <c r="M691" s="2">
        <v>40</v>
      </c>
      <c r="N691" s="2">
        <v>73.8</v>
      </c>
      <c r="O691" s="2">
        <f>M691*N691</f>
        <v>2952</v>
      </c>
      <c r="P691" s="2">
        <f>H691/C691*100000</f>
        <v>2.4420374672075598</v>
      </c>
      <c r="Q691" s="7">
        <f t="shared" si="59"/>
        <v>2.4124609777169792</v>
      </c>
      <c r="R691" s="2" t="s">
        <v>212</v>
      </c>
      <c r="S691" s="2" t="s">
        <v>158</v>
      </c>
      <c r="T691" s="2" t="s">
        <v>159</v>
      </c>
    </row>
    <row r="692" spans="1:20" x14ac:dyDescent="0.3">
      <c r="A692" s="2" t="s">
        <v>206</v>
      </c>
      <c r="B692" s="2" t="s">
        <v>148</v>
      </c>
      <c r="C692" s="2">
        <v>124235539</v>
      </c>
      <c r="D692" s="2">
        <v>2020</v>
      </c>
      <c r="E692" s="2" t="s">
        <v>22</v>
      </c>
      <c r="F692" s="4" t="s">
        <v>29</v>
      </c>
      <c r="G692" s="2">
        <v>9</v>
      </c>
      <c r="H692" s="2" t="s">
        <v>29</v>
      </c>
      <c r="I692" s="2" t="s">
        <v>29</v>
      </c>
      <c r="J692" s="2">
        <v>0.13300000000000001</v>
      </c>
      <c r="K692" s="2">
        <v>8</v>
      </c>
      <c r="L692" s="2" t="s">
        <v>29</v>
      </c>
      <c r="M692" s="2" t="s">
        <v>29</v>
      </c>
      <c r="N692" s="2">
        <v>73.8</v>
      </c>
      <c r="O692" s="2" t="s">
        <v>29</v>
      </c>
      <c r="P692" s="2" t="s">
        <v>29</v>
      </c>
      <c r="Q692" s="7" t="e">
        <f t="shared" si="59"/>
        <v>#VALUE!</v>
      </c>
      <c r="R692" s="2" t="s">
        <v>207</v>
      </c>
      <c r="S692" s="2" t="s">
        <v>28</v>
      </c>
      <c r="T692" s="2" t="s">
        <v>29</v>
      </c>
    </row>
    <row r="693" spans="1:20" x14ac:dyDescent="0.3">
      <c r="A693" s="2" t="s">
        <v>206</v>
      </c>
      <c r="B693" s="2" t="s">
        <v>148</v>
      </c>
      <c r="C693" s="2">
        <v>124235539</v>
      </c>
      <c r="D693" s="2">
        <v>2020</v>
      </c>
      <c r="E693" s="2" t="s">
        <v>26</v>
      </c>
      <c r="F693" s="4">
        <v>2.9999999999999999E-7</v>
      </c>
      <c r="G693" s="2">
        <v>7</v>
      </c>
      <c r="H693" s="2">
        <f>L693+O693+G693*F693</f>
        <v>846.91200209999988</v>
      </c>
      <c r="I693" s="2">
        <v>44</v>
      </c>
      <c r="J693" s="2">
        <v>0.13300000000000001</v>
      </c>
      <c r="K693" s="2">
        <v>6</v>
      </c>
      <c r="L693" s="2">
        <f>I693*J693*K693</f>
        <v>35.112000000000002</v>
      </c>
      <c r="M693" s="2">
        <v>11</v>
      </c>
      <c r="N693" s="2">
        <v>73.8</v>
      </c>
      <c r="O693" s="2">
        <f>M693*N693</f>
        <v>811.8</v>
      </c>
      <c r="P693" s="2">
        <f>H693/C693*100000</f>
        <v>0.68169865798223794</v>
      </c>
      <c r="Q693" s="7">
        <f t="shared" si="59"/>
        <v>0.67938036359924681</v>
      </c>
      <c r="R693" s="2" t="s">
        <v>208</v>
      </c>
      <c r="S693" s="2" t="s">
        <v>28</v>
      </c>
      <c r="T693" s="2" t="s">
        <v>150</v>
      </c>
    </row>
    <row r="694" spans="1:20" x14ac:dyDescent="0.3">
      <c r="A694" s="2" t="s">
        <v>206</v>
      </c>
      <c r="B694" s="2" t="s">
        <v>148</v>
      </c>
      <c r="C694" s="2">
        <v>124235539</v>
      </c>
      <c r="D694" s="2">
        <v>2020</v>
      </c>
      <c r="E694" s="2" t="s">
        <v>151</v>
      </c>
      <c r="F694" s="4">
        <v>7.5600000000000005E-4</v>
      </c>
      <c r="G694" s="2">
        <v>7</v>
      </c>
      <c r="H694" s="2">
        <f>L694+O694+G694*F694</f>
        <v>2325085.1272919998</v>
      </c>
      <c r="I694" s="2">
        <v>18239</v>
      </c>
      <c r="J694" s="2">
        <v>0.13300000000000001</v>
      </c>
      <c r="K694" s="2">
        <v>6</v>
      </c>
      <c r="L694" s="2">
        <f>I694*J694*K694</f>
        <v>14554.722000000002</v>
      </c>
      <c r="M694" s="2">
        <v>31308</v>
      </c>
      <c r="N694" s="2">
        <v>73.8</v>
      </c>
      <c r="O694" s="2">
        <f>M694*N694</f>
        <v>2310530.4</v>
      </c>
      <c r="P694" s="2">
        <f>H694/C694*100000</f>
        <v>1871.5136956841309</v>
      </c>
      <c r="Q694" s="7">
        <f t="shared" si="59"/>
        <v>99.999999255063429</v>
      </c>
      <c r="R694" s="2" t="s">
        <v>209</v>
      </c>
      <c r="S694" s="2" t="s">
        <v>28</v>
      </c>
      <c r="T694" s="2" t="s">
        <v>32</v>
      </c>
    </row>
    <row r="695" spans="1:20" x14ac:dyDescent="0.3">
      <c r="A695" s="2" t="s">
        <v>206</v>
      </c>
      <c r="B695" s="2" t="s">
        <v>148</v>
      </c>
      <c r="C695" s="2">
        <v>124235539</v>
      </c>
      <c r="D695" s="2">
        <v>2020</v>
      </c>
      <c r="E695" s="2" t="s">
        <v>33</v>
      </c>
      <c r="F695" s="4" t="s">
        <v>29</v>
      </c>
      <c r="G695" s="2">
        <v>8</v>
      </c>
      <c r="H695" s="2" t="s">
        <v>29</v>
      </c>
      <c r="I695" s="2" t="s">
        <v>29</v>
      </c>
      <c r="J695" s="2">
        <v>0.13300000000000001</v>
      </c>
      <c r="K695" s="2">
        <v>7</v>
      </c>
      <c r="L695" s="2" t="s">
        <v>29</v>
      </c>
      <c r="M695" s="2" t="s">
        <v>29</v>
      </c>
      <c r="N695" s="2">
        <v>73.8</v>
      </c>
      <c r="O695" s="2" t="s">
        <v>29</v>
      </c>
      <c r="P695" s="2" t="s">
        <v>29</v>
      </c>
      <c r="Q695" s="7" t="e">
        <f t="shared" si="59"/>
        <v>#VALUE!</v>
      </c>
      <c r="R695" s="2" t="s">
        <v>210</v>
      </c>
      <c r="S695" s="2" t="s">
        <v>35</v>
      </c>
      <c r="T695" s="2" t="s">
        <v>29</v>
      </c>
    </row>
    <row r="696" spans="1:20" x14ac:dyDescent="0.3">
      <c r="A696" s="2" t="s">
        <v>206</v>
      </c>
      <c r="B696" s="2" t="s">
        <v>148</v>
      </c>
      <c r="C696" s="2">
        <v>124235539</v>
      </c>
      <c r="D696" s="2">
        <v>2020</v>
      </c>
      <c r="E696" s="2" t="s">
        <v>37</v>
      </c>
      <c r="F696" s="4">
        <v>7.8499999999999997E-5</v>
      </c>
      <c r="G696" s="2">
        <v>6</v>
      </c>
      <c r="H696" s="2">
        <f>L696+O696+G696*F696</f>
        <v>5108.4804710000008</v>
      </c>
      <c r="I696" s="2">
        <v>7982</v>
      </c>
      <c r="J696" s="2">
        <v>0.128</v>
      </c>
      <c r="K696" s="2">
        <v>5</v>
      </c>
      <c r="L696" s="2">
        <f>I696*J696*K696</f>
        <v>5108.4800000000005</v>
      </c>
      <c r="M696" s="2">
        <v>0</v>
      </c>
      <c r="N696" s="2">
        <v>73.8</v>
      </c>
      <c r="O696" s="2">
        <f>M696*N696</f>
        <v>0</v>
      </c>
      <c r="P696" s="2">
        <f>H696/C696*100000</f>
        <v>4.1119316679585545</v>
      </c>
      <c r="Q696" s="7">
        <f t="shared" si="59"/>
        <v>4.0285386844938316</v>
      </c>
      <c r="R696" s="2" t="s">
        <v>211</v>
      </c>
      <c r="S696" s="2" t="s">
        <v>155</v>
      </c>
      <c r="T696" s="2" t="s">
        <v>156</v>
      </c>
    </row>
    <row r="697" spans="1:20" x14ac:dyDescent="0.3">
      <c r="A697" s="2" t="s">
        <v>206</v>
      </c>
      <c r="B697" s="2" t="s">
        <v>148</v>
      </c>
      <c r="C697" s="2">
        <v>124235539</v>
      </c>
      <c r="D697" s="2">
        <v>2020</v>
      </c>
      <c r="E697" s="2" t="s">
        <v>41</v>
      </c>
      <c r="F697" s="4">
        <v>9.9999999999999995E-7</v>
      </c>
      <c r="G697" s="2">
        <v>6</v>
      </c>
      <c r="H697" s="2">
        <f>L697+O697+G697*F697</f>
        <v>3005.2800060000004</v>
      </c>
      <c r="I697" s="2">
        <v>111</v>
      </c>
      <c r="J697" s="2">
        <v>0.12</v>
      </c>
      <c r="K697" s="2">
        <v>4</v>
      </c>
      <c r="L697" s="2">
        <f>I697*J697*K697</f>
        <v>53.28</v>
      </c>
      <c r="M697" s="2">
        <v>40</v>
      </c>
      <c r="N697" s="2">
        <v>73.8</v>
      </c>
      <c r="O697" s="2">
        <f>M697*N697</f>
        <v>2952</v>
      </c>
      <c r="P697" s="2">
        <f>H697/C697*100000</f>
        <v>2.4190179639338147</v>
      </c>
      <c r="Q697" s="7">
        <f t="shared" si="59"/>
        <v>2.3899942252087691</v>
      </c>
      <c r="R697" s="2" t="s">
        <v>212</v>
      </c>
      <c r="S697" s="2" t="s">
        <v>158</v>
      </c>
      <c r="T697" s="2" t="s">
        <v>159</v>
      </c>
    </row>
    <row r="698" spans="1:20" x14ac:dyDescent="0.3">
      <c r="A698" s="2" t="s">
        <v>206</v>
      </c>
      <c r="B698" s="2" t="s">
        <v>148</v>
      </c>
      <c r="C698" s="2">
        <v>125477894</v>
      </c>
      <c r="D698" s="2">
        <v>2021</v>
      </c>
      <c r="E698" s="2" t="s">
        <v>22</v>
      </c>
      <c r="F698" s="4" t="s">
        <v>29</v>
      </c>
      <c r="G698" s="2">
        <v>9</v>
      </c>
      <c r="H698" s="2" t="s">
        <v>29</v>
      </c>
      <c r="I698" s="2" t="s">
        <v>29</v>
      </c>
      <c r="J698" s="2">
        <v>0.13300000000000001</v>
      </c>
      <c r="K698" s="2">
        <v>8</v>
      </c>
      <c r="L698" s="2" t="s">
        <v>29</v>
      </c>
      <c r="M698" s="2" t="s">
        <v>29</v>
      </c>
      <c r="N698" s="2">
        <v>73.8</v>
      </c>
      <c r="O698" s="2" t="s">
        <v>29</v>
      </c>
      <c r="P698" s="2" t="s">
        <v>29</v>
      </c>
      <c r="Q698" s="7" t="e">
        <f t="shared" si="59"/>
        <v>#VALUE!</v>
      </c>
      <c r="R698" s="2" t="s">
        <v>207</v>
      </c>
      <c r="S698" s="2" t="s">
        <v>28</v>
      </c>
      <c r="T698" s="2" t="s">
        <v>29</v>
      </c>
    </row>
    <row r="699" spans="1:20" x14ac:dyDescent="0.3">
      <c r="A699" s="2" t="s">
        <v>206</v>
      </c>
      <c r="B699" s="2" t="s">
        <v>148</v>
      </c>
      <c r="C699" s="2">
        <v>125477894</v>
      </c>
      <c r="D699" s="2">
        <v>2021</v>
      </c>
      <c r="E699" s="2" t="s">
        <v>26</v>
      </c>
      <c r="F699" s="4">
        <v>2.9999999999999999E-7</v>
      </c>
      <c r="G699" s="2">
        <v>7</v>
      </c>
      <c r="H699" s="2">
        <f>L699+O699+G699*F699</f>
        <v>988.92600209999989</v>
      </c>
      <c r="I699" s="2">
        <v>37</v>
      </c>
      <c r="J699" s="2">
        <v>0.13300000000000001</v>
      </c>
      <c r="K699" s="2">
        <v>6</v>
      </c>
      <c r="L699" s="2">
        <f>I699*J699*K699</f>
        <v>29.526000000000003</v>
      </c>
      <c r="M699" s="2">
        <v>13</v>
      </c>
      <c r="N699" s="2">
        <v>73.8</v>
      </c>
      <c r="O699" s="2">
        <f>M699*N699</f>
        <v>959.4</v>
      </c>
      <c r="P699" s="2">
        <f>H699/C699*100000</f>
        <v>0.78812766980293758</v>
      </c>
      <c r="Q699" s="7">
        <f t="shared" si="59"/>
        <v>0.78503008666177543</v>
      </c>
      <c r="R699" s="2" t="s">
        <v>208</v>
      </c>
      <c r="S699" s="2" t="s">
        <v>28</v>
      </c>
      <c r="T699" s="2" t="s">
        <v>150</v>
      </c>
    </row>
    <row r="700" spans="1:20" x14ac:dyDescent="0.3">
      <c r="A700" s="2" t="s">
        <v>206</v>
      </c>
      <c r="B700" s="2" t="s">
        <v>148</v>
      </c>
      <c r="C700" s="2">
        <v>125477894</v>
      </c>
      <c r="D700" s="2">
        <v>2021</v>
      </c>
      <c r="E700" s="2" t="s">
        <v>151</v>
      </c>
      <c r="F700" s="4">
        <v>8.0400000000000003E-4</v>
      </c>
      <c r="G700" s="2">
        <v>7</v>
      </c>
      <c r="H700" s="2">
        <f>L700+O700+G700*F700</f>
        <v>2497361.525628</v>
      </c>
      <c r="I700" s="2">
        <v>21140</v>
      </c>
      <c r="J700" s="2">
        <v>0.13300000000000001</v>
      </c>
      <c r="K700" s="2">
        <v>6</v>
      </c>
      <c r="L700" s="2">
        <f>I700*J700*K700</f>
        <v>16869.72</v>
      </c>
      <c r="M700" s="2">
        <v>33611</v>
      </c>
      <c r="N700" s="2">
        <v>73.8</v>
      </c>
      <c r="O700" s="2">
        <f>M700*N700</f>
        <v>2480491.7999999998</v>
      </c>
      <c r="P700" s="2">
        <f>H700/C700*100000</f>
        <v>1990.2800772445223</v>
      </c>
      <c r="Q700" s="7">
        <f t="shared" si="59"/>
        <v>99.99999977284439</v>
      </c>
      <c r="R700" s="2" t="s">
        <v>209</v>
      </c>
      <c r="S700" s="2" t="s">
        <v>28</v>
      </c>
      <c r="T700" s="2" t="s">
        <v>32</v>
      </c>
    </row>
    <row r="701" spans="1:20" x14ac:dyDescent="0.3">
      <c r="A701" s="2" t="s">
        <v>206</v>
      </c>
      <c r="B701" s="2" t="s">
        <v>148</v>
      </c>
      <c r="C701" s="2">
        <v>125477894</v>
      </c>
      <c r="D701" s="2">
        <v>2021</v>
      </c>
      <c r="E701" s="2" t="s">
        <v>33</v>
      </c>
      <c r="F701" s="4" t="s">
        <v>29</v>
      </c>
      <c r="G701" s="2">
        <v>8</v>
      </c>
      <c r="H701" s="2" t="s">
        <v>29</v>
      </c>
      <c r="I701" s="2" t="s">
        <v>29</v>
      </c>
      <c r="J701" s="2">
        <v>0.13300000000000001</v>
      </c>
      <c r="K701" s="2">
        <v>7</v>
      </c>
      <c r="L701" s="2" t="s">
        <v>29</v>
      </c>
      <c r="M701" s="2" t="s">
        <v>29</v>
      </c>
      <c r="N701" s="2">
        <v>73.8</v>
      </c>
      <c r="O701" s="2" t="s">
        <v>29</v>
      </c>
      <c r="P701" s="2" t="s">
        <v>29</v>
      </c>
      <c r="Q701" s="7" t="e">
        <f t="shared" si="59"/>
        <v>#VALUE!</v>
      </c>
      <c r="R701" s="2" t="s">
        <v>210</v>
      </c>
      <c r="S701" s="2" t="s">
        <v>35</v>
      </c>
      <c r="T701" s="2" t="s">
        <v>29</v>
      </c>
    </row>
    <row r="702" spans="1:20" x14ac:dyDescent="0.3">
      <c r="A702" s="2" t="s">
        <v>206</v>
      </c>
      <c r="B702" s="2" t="s">
        <v>148</v>
      </c>
      <c r="C702" s="2">
        <v>125477894</v>
      </c>
      <c r="D702" s="2">
        <v>2021</v>
      </c>
      <c r="E702" s="2" t="s">
        <v>37</v>
      </c>
      <c r="F702" s="4">
        <v>6.3299999999999994E-5</v>
      </c>
      <c r="G702" s="2">
        <v>6</v>
      </c>
      <c r="H702" s="2">
        <f>L702+O702+G702*F702</f>
        <v>5450.880379799999</v>
      </c>
      <c r="I702" s="2">
        <v>8517</v>
      </c>
      <c r="J702" s="2">
        <v>0.128</v>
      </c>
      <c r="K702" s="2">
        <v>5</v>
      </c>
      <c r="L702" s="2">
        <f>I702*J702*K702</f>
        <v>5450.8799999999992</v>
      </c>
      <c r="M702" s="2">
        <v>0</v>
      </c>
      <c r="N702" s="2">
        <v>73.8</v>
      </c>
      <c r="O702" s="2">
        <f>M702*N702</f>
        <v>0</v>
      </c>
      <c r="P702" s="2">
        <f>H702/C702*100000</f>
        <v>4.3440961639027815</v>
      </c>
      <c r="Q702" s="7">
        <f t="shared" si="59"/>
        <v>4.2510918991686246</v>
      </c>
      <c r="R702" s="2" t="s">
        <v>211</v>
      </c>
      <c r="S702" s="2" t="s">
        <v>155</v>
      </c>
      <c r="T702" s="2" t="s">
        <v>156</v>
      </c>
    </row>
    <row r="703" spans="1:20" x14ac:dyDescent="0.3">
      <c r="A703" s="2" t="s">
        <v>206</v>
      </c>
      <c r="B703" s="2" t="s">
        <v>148</v>
      </c>
      <c r="C703" s="2">
        <v>125477894</v>
      </c>
      <c r="D703" s="2">
        <v>2021</v>
      </c>
      <c r="E703" s="2" t="s">
        <v>41</v>
      </c>
      <c r="F703" s="4">
        <v>9.9999999999999995E-7</v>
      </c>
      <c r="G703" s="2">
        <v>6</v>
      </c>
      <c r="H703" s="2">
        <f>L703+O703+G703*F703</f>
        <v>3015.8400060000004</v>
      </c>
      <c r="I703" s="2">
        <v>133</v>
      </c>
      <c r="J703" s="2">
        <v>0.12</v>
      </c>
      <c r="K703" s="2">
        <v>4</v>
      </c>
      <c r="L703" s="2">
        <f>I703*J703*K703</f>
        <v>63.839999999999996</v>
      </c>
      <c r="M703" s="2">
        <v>40</v>
      </c>
      <c r="N703" s="2">
        <v>73.8</v>
      </c>
      <c r="O703" s="2">
        <f>M703*N703</f>
        <v>2952</v>
      </c>
      <c r="P703" s="2">
        <f>H703/C703*100000</f>
        <v>2.4034831234894654</v>
      </c>
      <c r="Q703" s="7">
        <f t="shared" si="59"/>
        <v>2.3748294886756227</v>
      </c>
      <c r="R703" s="2" t="s">
        <v>212</v>
      </c>
      <c r="S703" s="2" t="s">
        <v>158</v>
      </c>
      <c r="T703" s="2" t="s">
        <v>159</v>
      </c>
    </row>
    <row r="704" spans="1:20" x14ac:dyDescent="0.3">
      <c r="A704" s="2" t="s">
        <v>206</v>
      </c>
      <c r="B704" s="2" t="s">
        <v>148</v>
      </c>
      <c r="C704" s="2">
        <v>126732673</v>
      </c>
      <c r="D704" s="2">
        <v>2022</v>
      </c>
      <c r="E704" s="2" t="s">
        <v>22</v>
      </c>
      <c r="F704" s="4" t="s">
        <v>29</v>
      </c>
      <c r="G704" s="2">
        <v>9</v>
      </c>
      <c r="H704" s="2" t="s">
        <v>29</v>
      </c>
      <c r="I704" s="2" t="s">
        <v>29</v>
      </c>
      <c r="J704" s="2">
        <v>0.13300000000000001</v>
      </c>
      <c r="K704" s="2">
        <v>8</v>
      </c>
      <c r="L704" s="2" t="s">
        <v>29</v>
      </c>
      <c r="M704" s="2" t="s">
        <v>29</v>
      </c>
      <c r="N704" s="2">
        <v>73.8</v>
      </c>
      <c r="O704" s="2" t="s">
        <v>29</v>
      </c>
      <c r="P704" s="2" t="s">
        <v>29</v>
      </c>
      <c r="Q704" s="7" t="e">
        <f t="shared" si="59"/>
        <v>#VALUE!</v>
      </c>
      <c r="R704" s="2" t="s">
        <v>207</v>
      </c>
      <c r="S704" s="2" t="s">
        <v>28</v>
      </c>
      <c r="T704" s="2" t="s">
        <v>29</v>
      </c>
    </row>
    <row r="705" spans="1:20" x14ac:dyDescent="0.3">
      <c r="A705" s="2" t="s">
        <v>206</v>
      </c>
      <c r="B705" s="2" t="s">
        <v>148</v>
      </c>
      <c r="C705" s="2">
        <v>126732673</v>
      </c>
      <c r="D705" s="2">
        <v>2022</v>
      </c>
      <c r="E705" s="2" t="s">
        <v>26</v>
      </c>
      <c r="F705" s="4">
        <v>2.9999999999999999E-7</v>
      </c>
      <c r="G705" s="2">
        <v>7</v>
      </c>
      <c r="H705" s="2">
        <f>L705+O705+G705*F705</f>
        <v>988.12800209999989</v>
      </c>
      <c r="I705" s="2">
        <v>36</v>
      </c>
      <c r="J705" s="2">
        <v>0.13300000000000001</v>
      </c>
      <c r="K705" s="2">
        <v>6</v>
      </c>
      <c r="L705" s="2">
        <f>I705*J705*K705</f>
        <v>28.728000000000002</v>
      </c>
      <c r="M705" s="2">
        <v>13</v>
      </c>
      <c r="N705" s="2">
        <v>73.8</v>
      </c>
      <c r="O705" s="2">
        <f>M705*N705</f>
        <v>959.4</v>
      </c>
      <c r="P705" s="2">
        <f>H705/C705*100000</f>
        <v>0.77969475330169979</v>
      </c>
      <c r="Q705" s="7">
        <f t="shared" si="59"/>
        <v>0.77666301830326967</v>
      </c>
      <c r="R705" s="2" t="s">
        <v>208</v>
      </c>
      <c r="S705" s="2" t="s">
        <v>28</v>
      </c>
      <c r="T705" s="2" t="s">
        <v>150</v>
      </c>
    </row>
    <row r="706" spans="1:20" x14ac:dyDescent="0.3">
      <c r="A706" s="2" t="s">
        <v>206</v>
      </c>
      <c r="B706" s="2" t="s">
        <v>148</v>
      </c>
      <c r="C706" s="2">
        <v>126732673</v>
      </c>
      <c r="D706" s="2">
        <v>2022</v>
      </c>
      <c r="E706" s="2" t="s">
        <v>151</v>
      </c>
      <c r="F706" s="4">
        <v>7.8200000000000003E-4</v>
      </c>
      <c r="G706" s="2">
        <v>7</v>
      </c>
      <c r="H706" s="2">
        <f>L706+O706+G706*F706</f>
        <v>2453929.5594739998</v>
      </c>
      <c r="I706" s="2">
        <v>20723</v>
      </c>
      <c r="J706" s="2">
        <v>0.13300000000000001</v>
      </c>
      <c r="K706" s="2">
        <v>6</v>
      </c>
      <c r="L706" s="2">
        <f>I706*J706*K706</f>
        <v>16536.954000000002</v>
      </c>
      <c r="M706" s="2">
        <v>33027</v>
      </c>
      <c r="N706" s="2">
        <v>73.8</v>
      </c>
      <c r="O706" s="2">
        <f>M706*N706</f>
        <v>2437392.6</v>
      </c>
      <c r="P706" s="2">
        <f>H706/C706*100000</f>
        <v>1936.3037971068436</v>
      </c>
      <c r="Q706" s="7">
        <f t="shared" ref="Q706:Q769" si="60">100*(1-EXP(-P706/100))</f>
        <v>99.99999961029188</v>
      </c>
      <c r="R706" s="2" t="s">
        <v>209</v>
      </c>
      <c r="S706" s="2" t="s">
        <v>28</v>
      </c>
      <c r="T706" s="2" t="s">
        <v>32</v>
      </c>
    </row>
    <row r="707" spans="1:20" x14ac:dyDescent="0.3">
      <c r="A707" s="2" t="s">
        <v>206</v>
      </c>
      <c r="B707" s="2" t="s">
        <v>148</v>
      </c>
      <c r="C707" s="2">
        <v>126732673</v>
      </c>
      <c r="D707" s="2">
        <v>2022</v>
      </c>
      <c r="E707" s="2" t="s">
        <v>33</v>
      </c>
      <c r="F707" s="4" t="s">
        <v>29</v>
      </c>
      <c r="G707" s="2">
        <v>8</v>
      </c>
      <c r="H707" s="2" t="s">
        <v>29</v>
      </c>
      <c r="I707" s="2" t="s">
        <v>29</v>
      </c>
      <c r="J707" s="2">
        <v>0.13300000000000001</v>
      </c>
      <c r="K707" s="2">
        <v>7</v>
      </c>
      <c r="L707" s="2" t="s">
        <v>29</v>
      </c>
      <c r="M707" s="2" t="s">
        <v>29</v>
      </c>
      <c r="N707" s="2">
        <v>73.8</v>
      </c>
      <c r="O707" s="2" t="s">
        <v>29</v>
      </c>
      <c r="P707" s="2" t="s">
        <v>29</v>
      </c>
      <c r="Q707" s="7" t="e">
        <f t="shared" si="60"/>
        <v>#VALUE!</v>
      </c>
      <c r="R707" s="2" t="s">
        <v>210</v>
      </c>
      <c r="S707" s="2" t="s">
        <v>35</v>
      </c>
      <c r="T707" s="2" t="s">
        <v>29</v>
      </c>
    </row>
    <row r="708" spans="1:20" x14ac:dyDescent="0.3">
      <c r="A708" s="2" t="s">
        <v>206</v>
      </c>
      <c r="B708" s="2" t="s">
        <v>148</v>
      </c>
      <c r="C708" s="2">
        <v>126732673</v>
      </c>
      <c r="D708" s="2">
        <v>2022</v>
      </c>
      <c r="E708" s="2" t="s">
        <v>37</v>
      </c>
      <c r="F708" s="4">
        <v>7.0900000000000002E-5</v>
      </c>
      <c r="G708" s="2">
        <v>6</v>
      </c>
      <c r="H708" s="2">
        <f>L708+O708+G708*F708</f>
        <v>5961.600425399999</v>
      </c>
      <c r="I708" s="2">
        <v>9315</v>
      </c>
      <c r="J708" s="2">
        <v>0.128</v>
      </c>
      <c r="K708" s="2">
        <v>5</v>
      </c>
      <c r="L708" s="2">
        <f>I708*J708*K708</f>
        <v>5961.5999999999995</v>
      </c>
      <c r="M708" s="2">
        <v>0</v>
      </c>
      <c r="N708" s="2">
        <v>73.8</v>
      </c>
      <c r="O708" s="2">
        <f>M708*N708</f>
        <v>0</v>
      </c>
      <c r="P708" s="2">
        <f>H708/C708*100000</f>
        <v>4.7040753455898461</v>
      </c>
      <c r="Q708" s="7">
        <f t="shared" si="60"/>
        <v>4.5951483976025331</v>
      </c>
      <c r="R708" s="2" t="s">
        <v>211</v>
      </c>
      <c r="S708" s="2" t="s">
        <v>155</v>
      </c>
      <c r="T708" s="2" t="s">
        <v>156</v>
      </c>
    </row>
    <row r="709" spans="1:20" x14ac:dyDescent="0.3">
      <c r="A709" s="2" t="s">
        <v>206</v>
      </c>
      <c r="B709" s="2" t="s">
        <v>148</v>
      </c>
      <c r="C709" s="2">
        <v>126732673</v>
      </c>
      <c r="D709" s="2">
        <v>2022</v>
      </c>
      <c r="E709" s="2" t="s">
        <v>41</v>
      </c>
      <c r="F709" s="4">
        <v>9.9999999999999995E-7</v>
      </c>
      <c r="G709" s="2">
        <v>6</v>
      </c>
      <c r="H709" s="2">
        <f>L709+O709+G709*F709</f>
        <v>3013.4400060000003</v>
      </c>
      <c r="I709" s="2">
        <v>128</v>
      </c>
      <c r="J709" s="2">
        <v>0.12</v>
      </c>
      <c r="K709" s="2">
        <v>4</v>
      </c>
      <c r="L709" s="2">
        <f>I709*J709*K709</f>
        <v>61.44</v>
      </c>
      <c r="M709" s="2">
        <v>40</v>
      </c>
      <c r="N709" s="2">
        <v>73.8</v>
      </c>
      <c r="O709" s="2">
        <f>M709*N709</f>
        <v>2952</v>
      </c>
      <c r="P709" s="2">
        <f>H709/C709*100000</f>
        <v>2.3777925097500314</v>
      </c>
      <c r="Q709" s="7">
        <f t="shared" si="60"/>
        <v>2.3497457612632999</v>
      </c>
      <c r="R709" s="2" t="s">
        <v>212</v>
      </c>
      <c r="S709" s="2" t="s">
        <v>158</v>
      </c>
      <c r="T709" s="2" t="s">
        <v>159</v>
      </c>
    </row>
    <row r="710" spans="1:20" x14ac:dyDescent="0.3">
      <c r="A710" s="2" t="s">
        <v>206</v>
      </c>
      <c r="B710" s="2" t="s">
        <v>148</v>
      </c>
      <c r="C710" s="2">
        <v>128000000</v>
      </c>
      <c r="D710" s="2">
        <v>2023</v>
      </c>
      <c r="E710" s="2" t="s">
        <v>22</v>
      </c>
      <c r="F710" s="4" t="s">
        <v>29</v>
      </c>
      <c r="G710" s="2">
        <v>9</v>
      </c>
      <c r="H710" s="2" t="s">
        <v>29</v>
      </c>
      <c r="I710" s="2" t="s">
        <v>29</v>
      </c>
      <c r="J710" s="2">
        <v>0.13300000000000001</v>
      </c>
      <c r="K710" s="2">
        <v>8</v>
      </c>
      <c r="L710" s="2" t="s">
        <v>29</v>
      </c>
      <c r="M710" s="2" t="s">
        <v>29</v>
      </c>
      <c r="N710" s="2">
        <v>73.8</v>
      </c>
      <c r="O710" s="2" t="s">
        <v>29</v>
      </c>
      <c r="P710" s="2" t="s">
        <v>29</v>
      </c>
      <c r="Q710" s="7" t="e">
        <f t="shared" si="60"/>
        <v>#VALUE!</v>
      </c>
      <c r="R710" s="2" t="s">
        <v>207</v>
      </c>
      <c r="S710" s="2" t="s">
        <v>28</v>
      </c>
      <c r="T710" s="2" t="s">
        <v>29</v>
      </c>
    </row>
    <row r="711" spans="1:20" x14ac:dyDescent="0.3">
      <c r="A711" s="2" t="s">
        <v>206</v>
      </c>
      <c r="B711" s="2" t="s">
        <v>148</v>
      </c>
      <c r="C711" s="2">
        <v>128000000</v>
      </c>
      <c r="D711" s="2">
        <v>2023</v>
      </c>
      <c r="E711" s="2" t="s">
        <v>26</v>
      </c>
      <c r="F711" s="4">
        <v>2.9999999999999999E-7</v>
      </c>
      <c r="G711" s="2">
        <v>7</v>
      </c>
      <c r="H711" s="2">
        <f>L711+O711+G711*F711</f>
        <v>840.52800209999987</v>
      </c>
      <c r="I711" s="2">
        <v>36</v>
      </c>
      <c r="J711" s="2">
        <v>0.13300000000000001</v>
      </c>
      <c r="K711" s="2">
        <v>6</v>
      </c>
      <c r="L711" s="2">
        <f>I711*J711*K711</f>
        <v>28.728000000000002</v>
      </c>
      <c r="M711" s="2">
        <v>11</v>
      </c>
      <c r="N711" s="2">
        <v>73.8</v>
      </c>
      <c r="O711" s="2">
        <f>M711*N711</f>
        <v>811.8</v>
      </c>
      <c r="P711" s="2">
        <f>H711/C711*100000</f>
        <v>0.6566625016406249</v>
      </c>
      <c r="Q711" s="7">
        <f t="shared" si="60"/>
        <v>0.65451118497430461</v>
      </c>
      <c r="R711" s="2" t="s">
        <v>208</v>
      </c>
      <c r="S711" s="2" t="s">
        <v>28</v>
      </c>
      <c r="T711" s="2" t="s">
        <v>150</v>
      </c>
    </row>
    <row r="712" spans="1:20" x14ac:dyDescent="0.3">
      <c r="A712" s="2" t="s">
        <v>206</v>
      </c>
      <c r="B712" s="2" t="s">
        <v>148</v>
      </c>
      <c r="C712" s="2">
        <v>128000000</v>
      </c>
      <c r="D712" s="2">
        <v>2023</v>
      </c>
      <c r="E712" s="2" t="s">
        <v>151</v>
      </c>
      <c r="F712" s="4">
        <v>7.0200000000000004E-4</v>
      </c>
      <c r="G712" s="2">
        <v>7</v>
      </c>
      <c r="H712" s="2">
        <f>L712+O712+G712*F712</f>
        <v>2224188.1729140002</v>
      </c>
      <c r="I712" s="2">
        <v>18316</v>
      </c>
      <c r="J712" s="2">
        <v>0.13300000000000001</v>
      </c>
      <c r="K712" s="2">
        <v>6</v>
      </c>
      <c r="L712" s="2">
        <f>I712*J712*K712</f>
        <v>14616.168000000001</v>
      </c>
      <c r="M712" s="2">
        <v>29940</v>
      </c>
      <c r="N712" s="2">
        <v>73.8</v>
      </c>
      <c r="O712" s="2">
        <f>M712*N712</f>
        <v>2209572</v>
      </c>
      <c r="P712" s="2">
        <f>H712/C712*100000</f>
        <v>1737.6470100890626</v>
      </c>
      <c r="Q712" s="7">
        <f t="shared" si="60"/>
        <v>99.999997158845048</v>
      </c>
      <c r="R712" s="2" t="s">
        <v>209</v>
      </c>
      <c r="S712" s="2" t="s">
        <v>28</v>
      </c>
      <c r="T712" s="2" t="s">
        <v>32</v>
      </c>
    </row>
    <row r="713" spans="1:20" x14ac:dyDescent="0.3">
      <c r="A713" s="2" t="s">
        <v>206</v>
      </c>
      <c r="B713" s="2" t="s">
        <v>148</v>
      </c>
      <c r="C713" s="2">
        <v>128000000</v>
      </c>
      <c r="D713" s="2">
        <v>2023</v>
      </c>
      <c r="E713" s="2" t="s">
        <v>33</v>
      </c>
      <c r="F713" s="4" t="s">
        <v>29</v>
      </c>
      <c r="G713" s="2">
        <v>8</v>
      </c>
      <c r="H713" s="2" t="s">
        <v>29</v>
      </c>
      <c r="I713" s="2" t="s">
        <v>29</v>
      </c>
      <c r="J713" s="2">
        <v>0.13300000000000001</v>
      </c>
      <c r="K713" s="2">
        <v>7</v>
      </c>
      <c r="L713" s="2" t="s">
        <v>29</v>
      </c>
      <c r="M713" s="2" t="s">
        <v>29</v>
      </c>
      <c r="N713" s="2">
        <v>73.8</v>
      </c>
      <c r="O713" s="2" t="s">
        <v>29</v>
      </c>
      <c r="P713" s="2" t="s">
        <v>29</v>
      </c>
      <c r="Q713" s="7" t="e">
        <f t="shared" si="60"/>
        <v>#VALUE!</v>
      </c>
      <c r="R713" s="2" t="s">
        <v>210</v>
      </c>
      <c r="S713" s="2" t="s">
        <v>35</v>
      </c>
      <c r="T713" s="2" t="s">
        <v>29</v>
      </c>
    </row>
    <row r="714" spans="1:20" x14ac:dyDescent="0.3">
      <c r="A714" s="2" t="s">
        <v>206</v>
      </c>
      <c r="B714" s="2" t="s">
        <v>148</v>
      </c>
      <c r="C714" s="2">
        <v>128000000</v>
      </c>
      <c r="D714" s="2">
        <v>2023</v>
      </c>
      <c r="E714" s="2" t="s">
        <v>37</v>
      </c>
      <c r="F714" s="4">
        <v>7.08E-5</v>
      </c>
      <c r="G714" s="2">
        <v>6</v>
      </c>
      <c r="H714" s="2">
        <f>L714+O714+G714*F714</f>
        <v>5722.8804247999997</v>
      </c>
      <c r="I714" s="2">
        <v>8942</v>
      </c>
      <c r="J714" s="2">
        <v>0.128</v>
      </c>
      <c r="K714" s="2">
        <v>5</v>
      </c>
      <c r="L714" s="2">
        <f>I714*J714*K714</f>
        <v>5722.88</v>
      </c>
      <c r="M714" s="2">
        <v>0</v>
      </c>
      <c r="N714" s="2">
        <v>73.8</v>
      </c>
      <c r="O714" s="2">
        <f>M714*N714</f>
        <v>0</v>
      </c>
      <c r="P714" s="2">
        <f>H714/C714*100000</f>
        <v>4.4710003318749996</v>
      </c>
      <c r="Q714" s="7">
        <f t="shared" si="60"/>
        <v>4.3725241867225044</v>
      </c>
      <c r="R714" s="2" t="s">
        <v>211</v>
      </c>
      <c r="S714" s="2" t="s">
        <v>155</v>
      </c>
      <c r="T714" s="2" t="s">
        <v>156</v>
      </c>
    </row>
    <row r="715" spans="1:20" x14ac:dyDescent="0.3">
      <c r="A715" s="2" t="s">
        <v>206</v>
      </c>
      <c r="B715" s="2" t="s">
        <v>148</v>
      </c>
      <c r="C715" s="2">
        <v>128000000</v>
      </c>
      <c r="D715" s="2">
        <v>2023</v>
      </c>
      <c r="E715" s="2" t="s">
        <v>41</v>
      </c>
      <c r="F715" s="4">
        <v>9.9999999999999995E-7</v>
      </c>
      <c r="G715" s="2">
        <v>6</v>
      </c>
      <c r="H715" s="2">
        <f>L715+O715+G715*F715</f>
        <v>3610.0800059999997</v>
      </c>
      <c r="I715" s="2">
        <v>141</v>
      </c>
      <c r="J715" s="2">
        <v>0.12</v>
      </c>
      <c r="K715" s="2">
        <v>4</v>
      </c>
      <c r="L715" s="2">
        <f>I715*J715*K715</f>
        <v>67.679999999999993</v>
      </c>
      <c r="M715" s="2">
        <v>48</v>
      </c>
      <c r="N715" s="2">
        <v>73.8</v>
      </c>
      <c r="O715" s="2">
        <f>M715*N715</f>
        <v>3542.3999999999996</v>
      </c>
      <c r="P715" s="2">
        <f>H715/C715*100000</f>
        <v>2.8203750046875</v>
      </c>
      <c r="Q715" s="7">
        <f t="shared" si="60"/>
        <v>2.7809737191535344</v>
      </c>
      <c r="R715" s="2" t="s">
        <v>214</v>
      </c>
      <c r="S715" s="2" t="s">
        <v>158</v>
      </c>
      <c r="T715" s="2" t="s">
        <v>159</v>
      </c>
    </row>
    <row r="716" spans="1:20" x14ac:dyDescent="0.3">
      <c r="A716" s="2" t="s">
        <v>206</v>
      </c>
      <c r="B716" s="2" t="s">
        <v>148</v>
      </c>
      <c r="C716" s="2">
        <v>129280000</v>
      </c>
      <c r="D716" s="2">
        <v>2024</v>
      </c>
      <c r="E716" s="2" t="s">
        <v>22</v>
      </c>
      <c r="F716" s="4" t="s">
        <v>29</v>
      </c>
      <c r="G716" s="2">
        <v>9</v>
      </c>
      <c r="H716" s="2" t="s">
        <v>29</v>
      </c>
      <c r="I716" s="2" t="s">
        <v>29</v>
      </c>
      <c r="J716" s="2">
        <v>0.13300000000000001</v>
      </c>
      <c r="K716" s="2">
        <v>8</v>
      </c>
      <c r="L716" s="2" t="s">
        <v>29</v>
      </c>
      <c r="M716" s="2" t="s">
        <v>29</v>
      </c>
      <c r="N716" s="2">
        <v>73.8</v>
      </c>
      <c r="O716" s="2" t="s">
        <v>29</v>
      </c>
      <c r="P716" s="2" t="s">
        <v>29</v>
      </c>
      <c r="Q716" s="7" t="e">
        <f t="shared" si="60"/>
        <v>#VALUE!</v>
      </c>
      <c r="R716" s="2" t="s">
        <v>207</v>
      </c>
      <c r="S716" s="2" t="s">
        <v>28</v>
      </c>
      <c r="T716" s="2" t="s">
        <v>29</v>
      </c>
    </row>
    <row r="717" spans="1:20" x14ac:dyDescent="0.3">
      <c r="A717" s="2" t="s">
        <v>206</v>
      </c>
      <c r="B717" s="2" t="s">
        <v>148</v>
      </c>
      <c r="C717" s="2">
        <v>129280000</v>
      </c>
      <c r="D717" s="2">
        <v>2024</v>
      </c>
      <c r="E717" s="2" t="s">
        <v>26</v>
      </c>
      <c r="F717" s="4">
        <v>2.9999999999999999E-7</v>
      </c>
      <c r="G717" s="2">
        <v>7</v>
      </c>
      <c r="H717" s="2">
        <f>L717+O717+G717*F717</f>
        <v>919.11600209999983</v>
      </c>
      <c r="I717" s="2">
        <v>42</v>
      </c>
      <c r="J717" s="2">
        <v>0.13300000000000001</v>
      </c>
      <c r="K717" s="2">
        <v>6</v>
      </c>
      <c r="L717" s="2">
        <f>I717*J717*K717</f>
        <v>33.516000000000005</v>
      </c>
      <c r="M717" s="2">
        <v>12</v>
      </c>
      <c r="N717" s="2">
        <v>73.8</v>
      </c>
      <c r="O717" s="2">
        <f>M717*N717</f>
        <v>885.59999999999991</v>
      </c>
      <c r="P717" s="2">
        <f>H717/C717*100000</f>
        <v>0.71094987786200481</v>
      </c>
      <c r="Q717" s="7">
        <f t="shared" si="60"/>
        <v>0.70842860774503746</v>
      </c>
      <c r="R717" s="2" t="s">
        <v>208</v>
      </c>
      <c r="S717" s="2" t="s">
        <v>28</v>
      </c>
      <c r="T717" s="2" t="s">
        <v>150</v>
      </c>
    </row>
    <row r="718" spans="1:20" x14ac:dyDescent="0.3">
      <c r="A718" s="2" t="s">
        <v>206</v>
      </c>
      <c r="B718" s="2" t="s">
        <v>148</v>
      </c>
      <c r="C718" s="2">
        <v>129280000</v>
      </c>
      <c r="D718" s="2">
        <v>2024</v>
      </c>
      <c r="E718" s="2" t="s">
        <v>151</v>
      </c>
      <c r="F718" s="4">
        <v>6.9499999999999998E-4</v>
      </c>
      <c r="G718" s="2">
        <v>7</v>
      </c>
      <c r="H718" s="2">
        <f>L718+O718+G718*F718</f>
        <v>2224314.4008650002</v>
      </c>
      <c r="I718" s="2">
        <v>16902</v>
      </c>
      <c r="J718" s="2">
        <v>0.13300000000000001</v>
      </c>
      <c r="K718" s="2">
        <v>6</v>
      </c>
      <c r="L718" s="2">
        <f>I718*J718*K718</f>
        <v>13487.795999999998</v>
      </c>
      <c r="M718" s="2">
        <v>29957</v>
      </c>
      <c r="N718" s="2">
        <v>73.8</v>
      </c>
      <c r="O718" s="2">
        <f>M718*N718</f>
        <v>2210826.6</v>
      </c>
      <c r="P718" s="2">
        <f>H718/C718*100000</f>
        <v>1720.5402234413677</v>
      </c>
      <c r="Q718" s="7">
        <f t="shared" si="60"/>
        <v>99.999996628767136</v>
      </c>
      <c r="R718" s="2" t="s">
        <v>209</v>
      </c>
      <c r="S718" s="2" t="s">
        <v>28</v>
      </c>
      <c r="T718" s="2" t="s">
        <v>32</v>
      </c>
    </row>
    <row r="719" spans="1:20" x14ac:dyDescent="0.3">
      <c r="A719" s="2" t="s">
        <v>206</v>
      </c>
      <c r="B719" s="2" t="s">
        <v>148</v>
      </c>
      <c r="C719" s="2">
        <v>129280000</v>
      </c>
      <c r="D719" s="2">
        <v>2024</v>
      </c>
      <c r="E719" s="2" t="s">
        <v>33</v>
      </c>
      <c r="F719" s="4" t="s">
        <v>29</v>
      </c>
      <c r="G719" s="2">
        <v>8</v>
      </c>
      <c r="H719" s="2" t="s">
        <v>29</v>
      </c>
      <c r="I719" s="2" t="s">
        <v>29</v>
      </c>
      <c r="J719" s="2">
        <v>0.13300000000000001</v>
      </c>
      <c r="K719" s="2">
        <v>7</v>
      </c>
      <c r="L719" s="2" t="s">
        <v>29</v>
      </c>
      <c r="M719" s="2" t="s">
        <v>29</v>
      </c>
      <c r="N719" s="2">
        <v>73.8</v>
      </c>
      <c r="O719" s="2" t="s">
        <v>29</v>
      </c>
      <c r="P719" s="2" t="s">
        <v>29</v>
      </c>
      <c r="Q719" s="7" t="e">
        <f t="shared" si="60"/>
        <v>#VALUE!</v>
      </c>
      <c r="R719" s="2" t="s">
        <v>210</v>
      </c>
      <c r="S719" s="2" t="s">
        <v>35</v>
      </c>
      <c r="T719" s="2" t="s">
        <v>29</v>
      </c>
    </row>
    <row r="720" spans="1:20" x14ac:dyDescent="0.3">
      <c r="A720" s="2" t="s">
        <v>206</v>
      </c>
      <c r="B720" s="2" t="s">
        <v>148</v>
      </c>
      <c r="C720" s="2">
        <v>129280000</v>
      </c>
      <c r="D720" s="2">
        <v>2024</v>
      </c>
      <c r="E720" s="2" t="s">
        <v>37</v>
      </c>
      <c r="F720" s="4">
        <v>6.4499999999999996E-5</v>
      </c>
      <c r="G720" s="2">
        <v>6</v>
      </c>
      <c r="H720" s="2">
        <f>L720+O720+G720*F720</f>
        <v>5235.8403870000002</v>
      </c>
      <c r="I720" s="2">
        <v>8181</v>
      </c>
      <c r="J720" s="2">
        <v>0.128</v>
      </c>
      <c r="K720" s="2">
        <v>5</v>
      </c>
      <c r="L720" s="2">
        <f>I720*J720*K720</f>
        <v>5235.84</v>
      </c>
      <c r="M720" s="2">
        <v>0</v>
      </c>
      <c r="N720" s="2">
        <v>73.8</v>
      </c>
      <c r="O720" s="2">
        <f>M720*N720</f>
        <v>0</v>
      </c>
      <c r="P720" s="2">
        <f>H720/C720*100000</f>
        <v>4.0500002993502475</v>
      </c>
      <c r="Q720" s="7">
        <f t="shared" si="60"/>
        <v>3.9690838363274805</v>
      </c>
      <c r="R720" s="2" t="s">
        <v>211</v>
      </c>
      <c r="S720" s="2" t="s">
        <v>155</v>
      </c>
      <c r="T720" s="2" t="s">
        <v>156</v>
      </c>
    </row>
    <row r="721" spans="1:20" x14ac:dyDescent="0.3">
      <c r="A721" s="2" t="s">
        <v>206</v>
      </c>
      <c r="B721" s="2" t="s">
        <v>148</v>
      </c>
      <c r="C721" s="2">
        <v>129280000</v>
      </c>
      <c r="D721" s="2">
        <v>2024</v>
      </c>
      <c r="E721" s="2" t="s">
        <v>41</v>
      </c>
      <c r="F721" s="4">
        <v>9.9999999999999995E-7</v>
      </c>
      <c r="G721" s="2">
        <v>6</v>
      </c>
      <c r="H721" s="2">
        <f>L721+O721+G721*F721</f>
        <v>3004.3200060000004</v>
      </c>
      <c r="I721" s="2">
        <v>109</v>
      </c>
      <c r="J721" s="2">
        <v>0.12</v>
      </c>
      <c r="K721" s="2">
        <v>4</v>
      </c>
      <c r="L721" s="2">
        <f>I721*J721*K721</f>
        <v>52.32</v>
      </c>
      <c r="M721" s="2">
        <v>40</v>
      </c>
      <c r="N721" s="2">
        <v>73.8</v>
      </c>
      <c r="O721" s="2">
        <f>M721*N721</f>
        <v>2952</v>
      </c>
      <c r="P721" s="2">
        <f>H721/C721*100000</f>
        <v>2.3238861432549509</v>
      </c>
      <c r="Q721" s="7">
        <f t="shared" si="60"/>
        <v>2.2970918667043594</v>
      </c>
      <c r="R721" s="2" t="s">
        <v>212</v>
      </c>
      <c r="S721" s="2" t="s">
        <v>158</v>
      </c>
      <c r="T721" s="2" t="s">
        <v>159</v>
      </c>
    </row>
    <row r="722" spans="1:20" x14ac:dyDescent="0.3">
      <c r="A722" s="2" t="s">
        <v>206</v>
      </c>
      <c r="B722" s="2" t="s">
        <v>148</v>
      </c>
      <c r="C722" s="2">
        <v>130572800</v>
      </c>
      <c r="D722" s="2">
        <v>2025</v>
      </c>
      <c r="E722" s="2" t="s">
        <v>22</v>
      </c>
      <c r="F722" s="4" t="s">
        <v>29</v>
      </c>
      <c r="G722" s="2">
        <v>9</v>
      </c>
      <c r="H722" s="2" t="s">
        <v>29</v>
      </c>
      <c r="I722" s="2" t="s">
        <v>29</v>
      </c>
      <c r="J722" s="2">
        <v>0.13300000000000001</v>
      </c>
      <c r="K722" s="2">
        <v>8</v>
      </c>
      <c r="L722" s="2" t="s">
        <v>29</v>
      </c>
      <c r="M722" s="2" t="s">
        <v>29</v>
      </c>
      <c r="N722" s="2">
        <v>73.8</v>
      </c>
      <c r="O722" s="2" t="s">
        <v>29</v>
      </c>
      <c r="P722" s="2" t="s">
        <v>29</v>
      </c>
      <c r="Q722" s="7" t="e">
        <f t="shared" si="60"/>
        <v>#VALUE!</v>
      </c>
      <c r="R722" s="2" t="s">
        <v>207</v>
      </c>
      <c r="S722" s="2" t="s">
        <v>28</v>
      </c>
      <c r="T722" s="2" t="s">
        <v>29</v>
      </c>
    </row>
    <row r="723" spans="1:20" x14ac:dyDescent="0.3">
      <c r="A723" s="2" t="s">
        <v>206</v>
      </c>
      <c r="B723" s="2" t="s">
        <v>148</v>
      </c>
      <c r="C723" s="2">
        <v>130572800</v>
      </c>
      <c r="D723" s="2">
        <v>2025</v>
      </c>
      <c r="E723" s="2" t="s">
        <v>26</v>
      </c>
      <c r="F723" s="4">
        <v>2.9999999999999999E-7</v>
      </c>
      <c r="G723" s="2">
        <v>7</v>
      </c>
      <c r="H723" s="2">
        <f>L723+O723+G723*F723</f>
        <v>991.3200020999999</v>
      </c>
      <c r="I723" s="2">
        <v>40</v>
      </c>
      <c r="J723" s="2">
        <v>0.13300000000000001</v>
      </c>
      <c r="K723" s="2">
        <v>6</v>
      </c>
      <c r="L723" s="2">
        <f>I723*J723*K723</f>
        <v>31.92</v>
      </c>
      <c r="M723" s="2">
        <v>13</v>
      </c>
      <c r="N723" s="2">
        <v>73.8</v>
      </c>
      <c r="O723" s="2">
        <f>M723*N723</f>
        <v>959.4</v>
      </c>
      <c r="P723" s="2">
        <f>H723/C723*100000</f>
        <v>0.75920865762241441</v>
      </c>
      <c r="Q723" s="7">
        <f t="shared" si="60"/>
        <v>0.75633394830775247</v>
      </c>
      <c r="R723" s="2" t="s">
        <v>208</v>
      </c>
      <c r="S723" s="2" t="s">
        <v>28</v>
      </c>
      <c r="T723" s="2" t="s">
        <v>150</v>
      </c>
    </row>
    <row r="724" spans="1:20" x14ac:dyDescent="0.3">
      <c r="A724" s="2" t="s">
        <v>206</v>
      </c>
      <c r="B724" s="2" t="s">
        <v>148</v>
      </c>
      <c r="C724" s="2">
        <v>130572800</v>
      </c>
      <c r="D724" s="2">
        <v>2025</v>
      </c>
      <c r="E724" s="2" t="s">
        <v>151</v>
      </c>
      <c r="F724" s="4">
        <v>6.8499999999999995E-4</v>
      </c>
      <c r="G724" s="2">
        <v>7</v>
      </c>
      <c r="H724" s="2">
        <f>L724+O724+G724*F724</f>
        <v>2215087.9547950001</v>
      </c>
      <c r="I724" s="2">
        <v>17825</v>
      </c>
      <c r="J724" s="2">
        <v>0.13300000000000001</v>
      </c>
      <c r="K724" s="2">
        <v>6</v>
      </c>
      <c r="L724" s="2">
        <f>I724*J724*K724</f>
        <v>14224.349999999999</v>
      </c>
      <c r="M724" s="2">
        <v>29822</v>
      </c>
      <c r="N724" s="2">
        <v>73.8</v>
      </c>
      <c r="O724" s="2">
        <f>M724*N724</f>
        <v>2200863.6</v>
      </c>
      <c r="P724" s="2">
        <f>H724/C724*100000</f>
        <v>1696.4390399799961</v>
      </c>
      <c r="Q724" s="7">
        <f t="shared" si="60"/>
        <v>99.999995709984518</v>
      </c>
      <c r="R724" s="2" t="s">
        <v>209</v>
      </c>
      <c r="S724" s="2" t="s">
        <v>28</v>
      </c>
      <c r="T724" s="2" t="s">
        <v>32</v>
      </c>
    </row>
    <row r="725" spans="1:20" x14ac:dyDescent="0.3">
      <c r="A725" s="2" t="s">
        <v>206</v>
      </c>
      <c r="B725" s="2" t="s">
        <v>148</v>
      </c>
      <c r="C725" s="2">
        <v>130572800</v>
      </c>
      <c r="D725" s="2">
        <v>2025</v>
      </c>
      <c r="E725" s="2" t="s">
        <v>33</v>
      </c>
      <c r="F725" s="4" t="s">
        <v>29</v>
      </c>
      <c r="G725" s="2">
        <v>8</v>
      </c>
      <c r="H725" s="2" t="s">
        <v>29</v>
      </c>
      <c r="I725" s="2" t="s">
        <v>29</v>
      </c>
      <c r="J725" s="2">
        <v>0.13300000000000001</v>
      </c>
      <c r="K725" s="2">
        <v>7</v>
      </c>
      <c r="L725" s="2" t="s">
        <v>29</v>
      </c>
      <c r="M725" s="2" t="s">
        <v>29</v>
      </c>
      <c r="N725" s="2">
        <v>73.8</v>
      </c>
      <c r="O725" s="2" t="s">
        <v>29</v>
      </c>
      <c r="P725" s="2" t="s">
        <v>29</v>
      </c>
      <c r="Q725" s="7" t="e">
        <f t="shared" si="60"/>
        <v>#VALUE!</v>
      </c>
      <c r="R725" s="2" t="s">
        <v>210</v>
      </c>
      <c r="S725" s="2" t="s">
        <v>35</v>
      </c>
      <c r="T725" s="2" t="s">
        <v>29</v>
      </c>
    </row>
    <row r="726" spans="1:20" x14ac:dyDescent="0.3">
      <c r="A726" s="2" t="s">
        <v>206</v>
      </c>
      <c r="B726" s="2" t="s">
        <v>148</v>
      </c>
      <c r="C726" s="2">
        <v>130572800</v>
      </c>
      <c r="D726" s="2">
        <v>2025</v>
      </c>
      <c r="E726" s="2" t="s">
        <v>37</v>
      </c>
      <c r="F726" s="4">
        <v>7.6799999999999997E-5</v>
      </c>
      <c r="G726" s="2">
        <v>6</v>
      </c>
      <c r="H726" s="2">
        <f>L726+O726+G726*F726</f>
        <v>6070.4004607999996</v>
      </c>
      <c r="I726" s="2">
        <v>9485</v>
      </c>
      <c r="J726" s="2">
        <v>0.128</v>
      </c>
      <c r="K726" s="2">
        <v>5</v>
      </c>
      <c r="L726" s="2">
        <f>I726*J726*K726</f>
        <v>6070.4</v>
      </c>
      <c r="M726" s="2">
        <v>0</v>
      </c>
      <c r="N726" s="2">
        <v>73.8</v>
      </c>
      <c r="O726" s="2">
        <f>M726*N726</f>
        <v>0</v>
      </c>
      <c r="P726" s="2">
        <f>H726/C726*100000</f>
        <v>4.6490543672189002</v>
      </c>
      <c r="Q726" s="7">
        <f t="shared" si="60"/>
        <v>4.5426412711948476</v>
      </c>
      <c r="R726" s="2" t="s">
        <v>211</v>
      </c>
      <c r="S726" s="2" t="s">
        <v>155</v>
      </c>
      <c r="T726" s="2" t="s">
        <v>156</v>
      </c>
    </row>
    <row r="727" spans="1:20" x14ac:dyDescent="0.3">
      <c r="A727" s="2" t="s">
        <v>206</v>
      </c>
      <c r="B727" s="2" t="s">
        <v>148</v>
      </c>
      <c r="C727" s="2">
        <v>130572800</v>
      </c>
      <c r="D727" s="2">
        <v>2025</v>
      </c>
      <c r="E727" s="2" t="s">
        <v>41</v>
      </c>
      <c r="F727" s="4">
        <v>9.9999999999999995E-7</v>
      </c>
      <c r="G727" s="2">
        <v>6</v>
      </c>
      <c r="H727" s="2">
        <f>L727+O727+G727*F727</f>
        <v>3010.0800060000001</v>
      </c>
      <c r="I727" s="2">
        <v>121</v>
      </c>
      <c r="J727" s="2">
        <v>0.12</v>
      </c>
      <c r="K727" s="2">
        <v>4</v>
      </c>
      <c r="L727" s="2">
        <f>I727*J727*K727</f>
        <v>58.08</v>
      </c>
      <c r="M727" s="2">
        <v>40</v>
      </c>
      <c r="N727" s="2">
        <v>73.8</v>
      </c>
      <c r="O727" s="2">
        <f>M727*N727</f>
        <v>2952</v>
      </c>
      <c r="P727" s="2">
        <f>H727/C727*100000</f>
        <v>2.3052887017816883</v>
      </c>
      <c r="Q727" s="7">
        <f t="shared" si="60"/>
        <v>2.278919935841861</v>
      </c>
      <c r="R727" s="2" t="s">
        <v>212</v>
      </c>
      <c r="S727" s="2" t="s">
        <v>158</v>
      </c>
      <c r="T727" s="2" t="s">
        <v>159</v>
      </c>
    </row>
    <row r="728" spans="1:20" x14ac:dyDescent="0.3">
      <c r="A728" s="2" t="s">
        <v>215</v>
      </c>
      <c r="B728" s="2" t="s">
        <v>216</v>
      </c>
      <c r="C728" s="2">
        <v>21308505</v>
      </c>
      <c r="D728" s="2">
        <v>2015</v>
      </c>
      <c r="E728" s="2" t="s">
        <v>22</v>
      </c>
      <c r="F728" s="4" t="s">
        <v>29</v>
      </c>
      <c r="G728" s="2">
        <v>9</v>
      </c>
      <c r="H728" s="2" t="s">
        <v>29</v>
      </c>
      <c r="I728" s="2" t="s">
        <v>29</v>
      </c>
      <c r="J728" s="2">
        <v>0.13300000000000001</v>
      </c>
      <c r="K728" s="2">
        <v>8</v>
      </c>
      <c r="L728" s="2" t="s">
        <v>29</v>
      </c>
      <c r="M728" s="2" t="s">
        <v>29</v>
      </c>
      <c r="N728" s="2">
        <v>73.8</v>
      </c>
      <c r="O728" s="2" t="s">
        <v>29</v>
      </c>
      <c r="P728" s="2" t="s">
        <v>29</v>
      </c>
      <c r="Q728" s="7" t="e">
        <f t="shared" si="60"/>
        <v>#VALUE!</v>
      </c>
      <c r="R728" s="2" t="s">
        <v>217</v>
      </c>
      <c r="S728" s="2" t="s">
        <v>163</v>
      </c>
      <c r="T728" s="2" t="s">
        <v>29</v>
      </c>
    </row>
    <row r="729" spans="1:20" x14ac:dyDescent="0.3">
      <c r="A729" s="2" t="s">
        <v>215</v>
      </c>
      <c r="B729" s="2" t="s">
        <v>216</v>
      </c>
      <c r="C729" s="2">
        <v>21308505</v>
      </c>
      <c r="D729" s="2">
        <v>2015</v>
      </c>
      <c r="E729" s="2" t="s">
        <v>26</v>
      </c>
      <c r="F729" s="4">
        <v>0</v>
      </c>
      <c r="G729" s="2">
        <v>7</v>
      </c>
      <c r="H729" s="2">
        <f>L729+O729+G729*F729</f>
        <v>169.14599999999999</v>
      </c>
      <c r="I729" s="2">
        <v>27</v>
      </c>
      <c r="J729" s="2">
        <v>0.13300000000000001</v>
      </c>
      <c r="K729" s="2">
        <v>6</v>
      </c>
      <c r="L729" s="2">
        <f>I729*J729*K729</f>
        <v>21.545999999999999</v>
      </c>
      <c r="M729" s="2">
        <v>2</v>
      </c>
      <c r="N729" s="2">
        <v>73.8</v>
      </c>
      <c r="O729" s="2">
        <f>M729*N729</f>
        <v>147.6</v>
      </c>
      <c r="P729" s="2">
        <f>H729/C729*100000</f>
        <v>0.79379571678069394</v>
      </c>
      <c r="Q729" s="7">
        <f t="shared" si="60"/>
        <v>0.79065347839567535</v>
      </c>
      <c r="R729" s="2" t="s">
        <v>194</v>
      </c>
      <c r="S729" s="2" t="s">
        <v>28</v>
      </c>
      <c r="T729" s="2" t="s">
        <v>150</v>
      </c>
    </row>
    <row r="730" spans="1:20" x14ac:dyDescent="0.3">
      <c r="A730" s="2" t="s">
        <v>215</v>
      </c>
      <c r="B730" s="2" t="s">
        <v>216</v>
      </c>
      <c r="C730" s="2">
        <v>21308505</v>
      </c>
      <c r="D730" s="2">
        <v>2015</v>
      </c>
      <c r="E730" s="2" t="s">
        <v>151</v>
      </c>
      <c r="F730" s="4">
        <v>0</v>
      </c>
      <c r="G730" s="2">
        <v>7</v>
      </c>
      <c r="H730" s="2">
        <f>L730+O730+G730*F730</f>
        <v>88.962000000000003</v>
      </c>
      <c r="I730" s="2">
        <v>19</v>
      </c>
      <c r="J730" s="2">
        <v>0.13300000000000001</v>
      </c>
      <c r="K730" s="2">
        <v>6</v>
      </c>
      <c r="L730" s="2">
        <f>I730*J730*K730</f>
        <v>15.162000000000001</v>
      </c>
      <c r="M730" s="2">
        <v>1</v>
      </c>
      <c r="N730" s="2">
        <v>73.8</v>
      </c>
      <c r="O730" s="2">
        <f>M730*N730</f>
        <v>73.8</v>
      </c>
      <c r="P730" s="2">
        <f>H730/C730*100000</f>
        <v>0.41749526773464402</v>
      </c>
      <c r="Q730" s="7">
        <f t="shared" si="60"/>
        <v>0.41662496781665892</v>
      </c>
      <c r="R730" s="2" t="s">
        <v>218</v>
      </c>
      <c r="S730" s="2" t="s">
        <v>28</v>
      </c>
      <c r="T730" s="2" t="s">
        <v>32</v>
      </c>
    </row>
    <row r="731" spans="1:20" x14ac:dyDescent="0.3">
      <c r="A731" s="2" t="s">
        <v>215</v>
      </c>
      <c r="B731" s="2" t="s">
        <v>216</v>
      </c>
      <c r="C731" s="2">
        <v>21308505</v>
      </c>
      <c r="D731" s="2">
        <v>2015</v>
      </c>
      <c r="E731" s="2" t="s">
        <v>33</v>
      </c>
      <c r="F731" s="4" t="s">
        <v>29</v>
      </c>
      <c r="G731" s="2">
        <v>8</v>
      </c>
      <c r="H731" s="2" t="s">
        <v>29</v>
      </c>
      <c r="I731" s="2" t="s">
        <v>29</v>
      </c>
      <c r="J731" s="2">
        <v>0.13300000000000001</v>
      </c>
      <c r="K731" s="2">
        <v>7</v>
      </c>
      <c r="L731" s="2" t="s">
        <v>29</v>
      </c>
      <c r="M731" s="2" t="s">
        <v>29</v>
      </c>
      <c r="N731" s="2">
        <v>73.8</v>
      </c>
      <c r="O731" s="2" t="s">
        <v>29</v>
      </c>
      <c r="P731" s="2" t="s">
        <v>29</v>
      </c>
      <c r="Q731" s="7" t="e">
        <f t="shared" si="60"/>
        <v>#VALUE!</v>
      </c>
      <c r="R731" s="2" t="s">
        <v>219</v>
      </c>
      <c r="S731" s="2" t="s">
        <v>35</v>
      </c>
      <c r="T731" s="2" t="s">
        <v>29</v>
      </c>
    </row>
    <row r="732" spans="1:20" x14ac:dyDescent="0.3">
      <c r="A732" s="2" t="s">
        <v>215</v>
      </c>
      <c r="B732" s="2" t="s">
        <v>216</v>
      </c>
      <c r="C732" s="2">
        <v>21308505</v>
      </c>
      <c r="D732" s="2">
        <v>2015</v>
      </c>
      <c r="E732" s="2" t="s">
        <v>37</v>
      </c>
      <c r="F732" s="4">
        <v>6.2200000000000005E-4</v>
      </c>
      <c r="G732" s="2">
        <v>6</v>
      </c>
      <c r="H732" s="2">
        <f>L732+O732+G732*F732</f>
        <v>8861.4437319999997</v>
      </c>
      <c r="I732" s="2">
        <v>13846</v>
      </c>
      <c r="J732" s="2">
        <v>0.128</v>
      </c>
      <c r="K732" s="2">
        <v>5</v>
      </c>
      <c r="L732" s="2">
        <f>I732*J732*K732</f>
        <v>8861.44</v>
      </c>
      <c r="M732" s="2">
        <v>0</v>
      </c>
      <c r="N732" s="2">
        <v>73.8</v>
      </c>
      <c r="O732" s="2">
        <f>M732*N732</f>
        <v>0</v>
      </c>
      <c r="P732" s="2">
        <f>H732/C732*100000</f>
        <v>41.586416935397388</v>
      </c>
      <c r="Q732" s="7">
        <f t="shared" si="60"/>
        <v>34.023011863248612</v>
      </c>
      <c r="R732" s="2" t="s">
        <v>220</v>
      </c>
      <c r="S732" s="2" t="s">
        <v>155</v>
      </c>
      <c r="T732" s="2" t="s">
        <v>156</v>
      </c>
    </row>
    <row r="733" spans="1:20" x14ac:dyDescent="0.3">
      <c r="A733" s="2" t="s">
        <v>215</v>
      </c>
      <c r="B733" s="2" t="s">
        <v>216</v>
      </c>
      <c r="C733" s="2">
        <v>21308505</v>
      </c>
      <c r="D733" s="2">
        <v>2015</v>
      </c>
      <c r="E733" s="2" t="s">
        <v>41</v>
      </c>
      <c r="F733" s="4">
        <v>6.0000000000000002E-6</v>
      </c>
      <c r="G733" s="2">
        <v>6</v>
      </c>
      <c r="H733" s="2">
        <f>L733+O733+G733*F733</f>
        <v>3010.0800359999998</v>
      </c>
      <c r="I733" s="2">
        <v>121</v>
      </c>
      <c r="J733" s="2">
        <v>0.12</v>
      </c>
      <c r="K733" s="2">
        <v>4</v>
      </c>
      <c r="L733" s="2">
        <f>I733*J733*K733</f>
        <v>58.08</v>
      </c>
      <c r="M733" s="2">
        <v>40</v>
      </c>
      <c r="N733" s="2">
        <v>73.8</v>
      </c>
      <c r="O733" s="2">
        <f>M733*N733</f>
        <v>2952</v>
      </c>
      <c r="P733" s="2">
        <f>H733/C733*100000</f>
        <v>14.126190626700463</v>
      </c>
      <c r="Q733" s="7">
        <f t="shared" si="60"/>
        <v>13.173812131152696</v>
      </c>
      <c r="R733" s="2" t="s">
        <v>221</v>
      </c>
      <c r="S733" s="2" t="s">
        <v>158</v>
      </c>
      <c r="T733" s="2" t="s">
        <v>159</v>
      </c>
    </row>
    <row r="734" spans="1:20" x14ac:dyDescent="0.3">
      <c r="A734" s="2" t="s">
        <v>215</v>
      </c>
      <c r="B734" s="2" t="s">
        <v>216</v>
      </c>
      <c r="C734" s="2">
        <v>21393739</v>
      </c>
      <c r="D734" s="2">
        <v>2016</v>
      </c>
      <c r="E734" s="2" t="s">
        <v>22</v>
      </c>
      <c r="F734" s="4" t="s">
        <v>29</v>
      </c>
      <c r="G734" s="2">
        <v>9</v>
      </c>
      <c r="H734" s="2" t="s">
        <v>29</v>
      </c>
      <c r="I734" s="2" t="s">
        <v>29</v>
      </c>
      <c r="J734" s="2">
        <v>0.13300000000000001</v>
      </c>
      <c r="K734" s="2">
        <v>8</v>
      </c>
      <c r="L734" s="2" t="s">
        <v>29</v>
      </c>
      <c r="M734" s="2" t="s">
        <v>29</v>
      </c>
      <c r="N734" s="2">
        <v>73.8</v>
      </c>
      <c r="O734" s="2" t="s">
        <v>29</v>
      </c>
      <c r="P734" s="2" t="s">
        <v>29</v>
      </c>
      <c r="Q734" s="7" t="e">
        <f t="shared" si="60"/>
        <v>#VALUE!</v>
      </c>
      <c r="R734" s="2" t="s">
        <v>217</v>
      </c>
      <c r="S734" s="2" t="s">
        <v>163</v>
      </c>
      <c r="T734" s="2" t="s">
        <v>29</v>
      </c>
    </row>
    <row r="735" spans="1:20" x14ac:dyDescent="0.3">
      <c r="A735" s="2" t="s">
        <v>215</v>
      </c>
      <c r="B735" s="2" t="s">
        <v>216</v>
      </c>
      <c r="C735" s="2">
        <v>21393739</v>
      </c>
      <c r="D735" s="2">
        <v>2016</v>
      </c>
      <c r="E735" s="2" t="s">
        <v>26</v>
      </c>
      <c r="F735" s="4">
        <v>0</v>
      </c>
      <c r="G735" s="2">
        <v>7</v>
      </c>
      <c r="H735" s="2">
        <f>L735+O735+G735*F735</f>
        <v>173.934</v>
      </c>
      <c r="I735" s="2">
        <v>33</v>
      </c>
      <c r="J735" s="2">
        <v>0.13300000000000001</v>
      </c>
      <c r="K735" s="2">
        <v>6</v>
      </c>
      <c r="L735" s="2">
        <f>I735*J735*K735</f>
        <v>26.334000000000003</v>
      </c>
      <c r="M735" s="2">
        <v>2</v>
      </c>
      <c r="N735" s="2">
        <v>73.8</v>
      </c>
      <c r="O735" s="2">
        <f>M735*N735</f>
        <v>147.6</v>
      </c>
      <c r="P735" s="2">
        <f>H735/C735*100000</f>
        <v>0.81301356438909522</v>
      </c>
      <c r="Q735" s="7">
        <f t="shared" si="60"/>
        <v>0.80971754751294478</v>
      </c>
      <c r="R735" s="2" t="s">
        <v>194</v>
      </c>
      <c r="S735" s="2" t="s">
        <v>28</v>
      </c>
      <c r="T735" s="2" t="s">
        <v>150</v>
      </c>
    </row>
    <row r="736" spans="1:20" x14ac:dyDescent="0.3">
      <c r="A736" s="2" t="s">
        <v>215</v>
      </c>
      <c r="B736" s="2" t="s">
        <v>216</v>
      </c>
      <c r="C736" s="2">
        <v>21393739</v>
      </c>
      <c r="D736" s="2">
        <v>2016</v>
      </c>
      <c r="E736" s="2" t="s">
        <v>151</v>
      </c>
      <c r="F736" s="4">
        <v>0</v>
      </c>
      <c r="G736" s="2">
        <v>7</v>
      </c>
      <c r="H736" s="2">
        <f>L736+O736+G736*F736</f>
        <v>90.557999999999993</v>
      </c>
      <c r="I736" s="2">
        <v>21</v>
      </c>
      <c r="J736" s="2">
        <v>0.13300000000000001</v>
      </c>
      <c r="K736" s="2">
        <v>6</v>
      </c>
      <c r="L736" s="2">
        <f>I736*J736*K736</f>
        <v>16.758000000000003</v>
      </c>
      <c r="M736" s="2">
        <v>1</v>
      </c>
      <c r="N736" s="2">
        <v>73.8</v>
      </c>
      <c r="O736" s="2">
        <f>M736*N736</f>
        <v>73.8</v>
      </c>
      <c r="P736" s="2">
        <f>H736/C736*100000</f>
        <v>0.42329206689863791</v>
      </c>
      <c r="Q736" s="7">
        <f t="shared" si="60"/>
        <v>0.42239744875681717</v>
      </c>
      <c r="R736" s="2" t="s">
        <v>218</v>
      </c>
      <c r="S736" s="2" t="s">
        <v>28</v>
      </c>
      <c r="T736" s="2" t="s">
        <v>32</v>
      </c>
    </row>
    <row r="737" spans="1:20" x14ac:dyDescent="0.3">
      <c r="A737" s="2" t="s">
        <v>215</v>
      </c>
      <c r="B737" s="2" t="s">
        <v>216</v>
      </c>
      <c r="C737" s="2">
        <v>21393739</v>
      </c>
      <c r="D737" s="2">
        <v>2016</v>
      </c>
      <c r="E737" s="2" t="s">
        <v>33</v>
      </c>
      <c r="F737" s="4" t="s">
        <v>29</v>
      </c>
      <c r="G737" s="2">
        <v>8</v>
      </c>
      <c r="H737" s="2" t="s">
        <v>29</v>
      </c>
      <c r="I737" s="2" t="s">
        <v>29</v>
      </c>
      <c r="J737" s="2">
        <v>0.13300000000000001</v>
      </c>
      <c r="K737" s="2">
        <v>7</v>
      </c>
      <c r="L737" s="2" t="s">
        <v>29</v>
      </c>
      <c r="M737" s="2" t="s">
        <v>29</v>
      </c>
      <c r="N737" s="2">
        <v>73.8</v>
      </c>
      <c r="O737" s="2" t="s">
        <v>29</v>
      </c>
      <c r="P737" s="2" t="s">
        <v>29</v>
      </c>
      <c r="Q737" s="7" t="e">
        <f t="shared" si="60"/>
        <v>#VALUE!</v>
      </c>
      <c r="R737" s="2" t="s">
        <v>219</v>
      </c>
      <c r="S737" s="2" t="s">
        <v>35</v>
      </c>
      <c r="T737" s="2" t="s">
        <v>29</v>
      </c>
    </row>
    <row r="738" spans="1:20" x14ac:dyDescent="0.3">
      <c r="A738" s="2" t="s">
        <v>215</v>
      </c>
      <c r="B738" s="2" t="s">
        <v>216</v>
      </c>
      <c r="C738" s="2">
        <v>21393739</v>
      </c>
      <c r="D738" s="2">
        <v>2016</v>
      </c>
      <c r="E738" s="2" t="s">
        <v>37</v>
      </c>
      <c r="F738" s="4">
        <v>7.6300000000000001E-4</v>
      </c>
      <c r="G738" s="2">
        <v>6</v>
      </c>
      <c r="H738" s="2">
        <f>L738+O738+G738*F738</f>
        <v>8272.6445779999995</v>
      </c>
      <c r="I738" s="2">
        <v>12926</v>
      </c>
      <c r="J738" s="2">
        <v>0.128</v>
      </c>
      <c r="K738" s="2">
        <v>5</v>
      </c>
      <c r="L738" s="2">
        <f>I738*J738*K738</f>
        <v>8272.64</v>
      </c>
      <c r="M738" s="2">
        <v>0</v>
      </c>
      <c r="N738" s="2">
        <v>73.8</v>
      </c>
      <c r="O738" s="2">
        <f>M738*N738</f>
        <v>0</v>
      </c>
      <c r="P738" s="2">
        <f>H738/C738*100000</f>
        <v>38.668530909907801</v>
      </c>
      <c r="Q738" s="7">
        <f t="shared" si="60"/>
        <v>32.069516765604632</v>
      </c>
      <c r="R738" s="2" t="s">
        <v>220</v>
      </c>
      <c r="S738" s="2" t="s">
        <v>155</v>
      </c>
      <c r="T738" s="2" t="s">
        <v>156</v>
      </c>
    </row>
    <row r="739" spans="1:20" x14ac:dyDescent="0.3">
      <c r="A739" s="2" t="s">
        <v>215</v>
      </c>
      <c r="B739" s="2" t="s">
        <v>216</v>
      </c>
      <c r="C739" s="2">
        <v>21393739</v>
      </c>
      <c r="D739" s="2">
        <v>2016</v>
      </c>
      <c r="E739" s="2" t="s">
        <v>41</v>
      </c>
      <c r="F739" s="4">
        <v>6.0000000000000002E-6</v>
      </c>
      <c r="G739" s="2">
        <v>6</v>
      </c>
      <c r="H739" s="2">
        <f>L739+O739+G739*F739</f>
        <v>3009.6000359999998</v>
      </c>
      <c r="I739" s="2">
        <v>120</v>
      </c>
      <c r="J739" s="2">
        <v>0.12</v>
      </c>
      <c r="K739" s="2">
        <v>4</v>
      </c>
      <c r="L739" s="2">
        <f>I739*J739*K739</f>
        <v>57.599999999999994</v>
      </c>
      <c r="M739" s="2">
        <v>40</v>
      </c>
      <c r="N739" s="2">
        <v>73.8</v>
      </c>
      <c r="O739" s="2">
        <f>M739*N739</f>
        <v>2952</v>
      </c>
      <c r="P739" s="2">
        <f>H739/C739*100000</f>
        <v>14.067667348844443</v>
      </c>
      <c r="Q739" s="7">
        <f t="shared" si="60"/>
        <v>13.122983728201397</v>
      </c>
      <c r="R739" s="2" t="s">
        <v>221</v>
      </c>
      <c r="S739" s="2" t="s">
        <v>158</v>
      </c>
      <c r="T739" s="2" t="s">
        <v>159</v>
      </c>
    </row>
    <row r="740" spans="1:20" x14ac:dyDescent="0.3">
      <c r="A740" s="2" t="s">
        <v>215</v>
      </c>
      <c r="B740" s="2" t="s">
        <v>216</v>
      </c>
      <c r="C740" s="2">
        <v>21479314</v>
      </c>
      <c r="D740" s="2">
        <v>2017</v>
      </c>
      <c r="E740" s="2" t="s">
        <v>22</v>
      </c>
      <c r="F740" s="4" t="s">
        <v>29</v>
      </c>
      <c r="G740" s="2">
        <v>9</v>
      </c>
      <c r="H740" s="2" t="s">
        <v>29</v>
      </c>
      <c r="I740" s="2" t="s">
        <v>29</v>
      </c>
      <c r="J740" s="2">
        <v>0.13300000000000001</v>
      </c>
      <c r="K740" s="2">
        <v>8</v>
      </c>
      <c r="L740" s="2" t="s">
        <v>29</v>
      </c>
      <c r="M740" s="2" t="s">
        <v>29</v>
      </c>
      <c r="N740" s="2">
        <v>73.8</v>
      </c>
      <c r="O740" s="2" t="s">
        <v>29</v>
      </c>
      <c r="P740" s="2" t="s">
        <v>29</v>
      </c>
      <c r="Q740" s="7" t="e">
        <f t="shared" si="60"/>
        <v>#VALUE!</v>
      </c>
      <c r="R740" s="2" t="s">
        <v>217</v>
      </c>
      <c r="S740" s="2" t="s">
        <v>163</v>
      </c>
      <c r="T740" s="2" t="s">
        <v>29</v>
      </c>
    </row>
    <row r="741" spans="1:20" x14ac:dyDescent="0.3">
      <c r="A741" s="2" t="s">
        <v>215</v>
      </c>
      <c r="B741" s="2" t="s">
        <v>216</v>
      </c>
      <c r="C741" s="2">
        <v>21479314</v>
      </c>
      <c r="D741" s="2">
        <v>2017</v>
      </c>
      <c r="E741" s="2" t="s">
        <v>26</v>
      </c>
      <c r="F741" s="4">
        <v>0</v>
      </c>
      <c r="G741" s="2">
        <v>7</v>
      </c>
      <c r="H741" s="2">
        <f>L741+O741+G741*F741</f>
        <v>172.33799999999999</v>
      </c>
      <c r="I741" s="2">
        <v>31</v>
      </c>
      <c r="J741" s="2">
        <v>0.13300000000000001</v>
      </c>
      <c r="K741" s="2">
        <v>6</v>
      </c>
      <c r="L741" s="2">
        <f>I741*J741*K741</f>
        <v>24.738</v>
      </c>
      <c r="M741" s="2">
        <v>2</v>
      </c>
      <c r="N741" s="2">
        <v>73.8</v>
      </c>
      <c r="O741" s="2">
        <f>M741*N741</f>
        <v>147.6</v>
      </c>
      <c r="P741" s="2">
        <f>H741/C741*100000</f>
        <v>0.8023440599639261</v>
      </c>
      <c r="Q741" s="7">
        <f t="shared" si="60"/>
        <v>0.79913387133447866</v>
      </c>
      <c r="R741" s="2" t="s">
        <v>194</v>
      </c>
      <c r="S741" s="2" t="s">
        <v>28</v>
      </c>
      <c r="T741" s="2" t="s">
        <v>150</v>
      </c>
    </row>
    <row r="742" spans="1:20" x14ac:dyDescent="0.3">
      <c r="A742" s="2" t="s">
        <v>215</v>
      </c>
      <c r="B742" s="2" t="s">
        <v>216</v>
      </c>
      <c r="C742" s="2">
        <v>21479314</v>
      </c>
      <c r="D742" s="2">
        <v>2017</v>
      </c>
      <c r="E742" s="2" t="s">
        <v>151</v>
      </c>
      <c r="F742" s="4">
        <v>0</v>
      </c>
      <c r="G742" s="2">
        <v>7</v>
      </c>
      <c r="H742" s="2">
        <f>L742+O742+G742*F742</f>
        <v>89.759999999999991</v>
      </c>
      <c r="I742" s="2">
        <v>20</v>
      </c>
      <c r="J742" s="2">
        <v>0.13300000000000001</v>
      </c>
      <c r="K742" s="2">
        <v>6</v>
      </c>
      <c r="L742" s="2">
        <f>I742*J742*K742</f>
        <v>15.96</v>
      </c>
      <c r="M742" s="2">
        <v>1</v>
      </c>
      <c r="N742" s="2">
        <v>73.8</v>
      </c>
      <c r="O742" s="2">
        <f>M742*N742</f>
        <v>73.8</v>
      </c>
      <c r="P742" s="2">
        <f>H742/C742*100000</f>
        <v>0.41789044100756662</v>
      </c>
      <c r="Q742" s="7">
        <f t="shared" si="60"/>
        <v>0.41701849392150603</v>
      </c>
      <c r="R742" s="2" t="s">
        <v>218</v>
      </c>
      <c r="S742" s="2" t="s">
        <v>28</v>
      </c>
      <c r="T742" s="2" t="s">
        <v>32</v>
      </c>
    </row>
    <row r="743" spans="1:20" x14ac:dyDescent="0.3">
      <c r="A743" s="2" t="s">
        <v>215</v>
      </c>
      <c r="B743" s="2" t="s">
        <v>216</v>
      </c>
      <c r="C743" s="2">
        <v>21479314</v>
      </c>
      <c r="D743" s="2">
        <v>2017</v>
      </c>
      <c r="E743" s="2" t="s">
        <v>33</v>
      </c>
      <c r="F743" s="4" t="s">
        <v>29</v>
      </c>
      <c r="G743" s="2">
        <v>8</v>
      </c>
      <c r="H743" s="2" t="s">
        <v>29</v>
      </c>
      <c r="I743" s="2" t="s">
        <v>29</v>
      </c>
      <c r="J743" s="2">
        <v>0.13300000000000001</v>
      </c>
      <c r="K743" s="2">
        <v>7</v>
      </c>
      <c r="L743" s="2" t="s">
        <v>29</v>
      </c>
      <c r="M743" s="2" t="s">
        <v>29</v>
      </c>
      <c r="N743" s="2">
        <v>73.8</v>
      </c>
      <c r="O743" s="2" t="s">
        <v>29</v>
      </c>
      <c r="P743" s="2" t="s">
        <v>29</v>
      </c>
      <c r="Q743" s="7" t="e">
        <f t="shared" si="60"/>
        <v>#VALUE!</v>
      </c>
      <c r="R743" s="2" t="s">
        <v>219</v>
      </c>
      <c r="S743" s="2" t="s">
        <v>35</v>
      </c>
      <c r="T743" s="2" t="s">
        <v>29</v>
      </c>
    </row>
    <row r="744" spans="1:20" x14ac:dyDescent="0.3">
      <c r="A744" s="2" t="s">
        <v>215</v>
      </c>
      <c r="B744" s="2" t="s">
        <v>216</v>
      </c>
      <c r="C744" s="2">
        <v>21479314</v>
      </c>
      <c r="D744" s="2">
        <v>2017</v>
      </c>
      <c r="E744" s="2" t="s">
        <v>37</v>
      </c>
      <c r="F744" s="4">
        <v>6.2299999999999996E-4</v>
      </c>
      <c r="G744" s="2">
        <v>6</v>
      </c>
      <c r="H744" s="2">
        <f>L744+O744+G744*F744</f>
        <v>7926.403738</v>
      </c>
      <c r="I744" s="2">
        <v>12385</v>
      </c>
      <c r="J744" s="2">
        <v>0.128</v>
      </c>
      <c r="K744" s="2">
        <v>5</v>
      </c>
      <c r="L744" s="2">
        <f>I744*J744*K744</f>
        <v>7926.4</v>
      </c>
      <c r="M744" s="2">
        <v>0</v>
      </c>
      <c r="N744" s="2">
        <v>73.8</v>
      </c>
      <c r="O744" s="2">
        <f>M744*N744</f>
        <v>0</v>
      </c>
      <c r="P744" s="2">
        <f>H744/C744*100000</f>
        <v>36.902499483922064</v>
      </c>
      <c r="Q744" s="7">
        <f t="shared" si="60"/>
        <v>30.859187140067935</v>
      </c>
      <c r="R744" s="2" t="s">
        <v>220</v>
      </c>
      <c r="S744" s="2" t="s">
        <v>155</v>
      </c>
      <c r="T744" s="2" t="s">
        <v>156</v>
      </c>
    </row>
    <row r="745" spans="1:20" x14ac:dyDescent="0.3">
      <c r="A745" s="2" t="s">
        <v>215</v>
      </c>
      <c r="B745" s="2" t="s">
        <v>216</v>
      </c>
      <c r="C745" s="2">
        <v>21479314</v>
      </c>
      <c r="D745" s="2">
        <v>2017</v>
      </c>
      <c r="E745" s="2" t="s">
        <v>41</v>
      </c>
      <c r="F745" s="4">
        <v>1.4E-5</v>
      </c>
      <c r="G745" s="2">
        <v>6</v>
      </c>
      <c r="H745" s="2">
        <f>L745+O745+G745*F745</f>
        <v>7539.3600839999999</v>
      </c>
      <c r="I745" s="2">
        <v>332</v>
      </c>
      <c r="J745" s="2">
        <v>0.12</v>
      </c>
      <c r="K745" s="2">
        <v>4</v>
      </c>
      <c r="L745" s="2">
        <f>I745*J745*K745</f>
        <v>159.35999999999999</v>
      </c>
      <c r="M745" s="2">
        <v>100</v>
      </c>
      <c r="N745" s="2">
        <v>73.8</v>
      </c>
      <c r="O745" s="2">
        <f>M745*N745</f>
        <v>7380</v>
      </c>
      <c r="P745" s="2">
        <f>H745/C745*100000</f>
        <v>35.100562727468855</v>
      </c>
      <c r="Q745" s="7">
        <f t="shared" si="60"/>
        <v>29.602020764319203</v>
      </c>
      <c r="R745" s="2" t="s">
        <v>222</v>
      </c>
      <c r="S745" s="2" t="s">
        <v>158</v>
      </c>
      <c r="T745" s="2" t="s">
        <v>159</v>
      </c>
    </row>
    <row r="746" spans="1:20" x14ac:dyDescent="0.3">
      <c r="A746" s="2" t="s">
        <v>215</v>
      </c>
      <c r="B746" s="2" t="s">
        <v>216</v>
      </c>
      <c r="C746" s="2">
        <v>21565231</v>
      </c>
      <c r="D746" s="2">
        <v>2018</v>
      </c>
      <c r="E746" s="2" t="s">
        <v>22</v>
      </c>
      <c r="F746" s="4" t="s">
        <v>29</v>
      </c>
      <c r="G746" s="2">
        <v>9</v>
      </c>
      <c r="H746" s="2" t="s">
        <v>29</v>
      </c>
      <c r="I746" s="2" t="s">
        <v>29</v>
      </c>
      <c r="J746" s="2">
        <v>0.13300000000000001</v>
      </c>
      <c r="K746" s="2">
        <v>8</v>
      </c>
      <c r="L746" s="2" t="s">
        <v>29</v>
      </c>
      <c r="M746" s="2" t="s">
        <v>29</v>
      </c>
      <c r="N746" s="2">
        <v>73.8</v>
      </c>
      <c r="O746" s="2" t="s">
        <v>29</v>
      </c>
      <c r="P746" s="2" t="s">
        <v>29</v>
      </c>
      <c r="Q746" s="7" t="e">
        <f t="shared" si="60"/>
        <v>#VALUE!</v>
      </c>
      <c r="R746" s="2" t="s">
        <v>217</v>
      </c>
      <c r="S746" s="2" t="s">
        <v>163</v>
      </c>
      <c r="T746" s="2" t="s">
        <v>29</v>
      </c>
    </row>
    <row r="747" spans="1:20" x14ac:dyDescent="0.3">
      <c r="A747" s="2" t="s">
        <v>215</v>
      </c>
      <c r="B747" s="2" t="s">
        <v>216</v>
      </c>
      <c r="C747" s="2">
        <v>21565231</v>
      </c>
      <c r="D747" s="2">
        <v>2018</v>
      </c>
      <c r="E747" s="2" t="s">
        <v>26</v>
      </c>
      <c r="F747" s="4">
        <v>0</v>
      </c>
      <c r="G747" s="2">
        <v>7</v>
      </c>
      <c r="H747" s="2">
        <f>L747+O747+G747*F747</f>
        <v>173.136</v>
      </c>
      <c r="I747" s="2">
        <v>32</v>
      </c>
      <c r="J747" s="2">
        <v>0.13300000000000001</v>
      </c>
      <c r="K747" s="2">
        <v>6</v>
      </c>
      <c r="L747" s="2">
        <f>I747*J747*K747</f>
        <v>25.536000000000001</v>
      </c>
      <c r="M747" s="2">
        <v>2</v>
      </c>
      <c r="N747" s="2">
        <v>73.8</v>
      </c>
      <c r="O747" s="2">
        <f>M747*N747</f>
        <v>147.6</v>
      </c>
      <c r="P747" s="2">
        <f>H747/C747*100000</f>
        <v>0.80284788046091404</v>
      </c>
      <c r="Q747" s="7">
        <f t="shared" si="60"/>
        <v>0.79963366437219019</v>
      </c>
      <c r="R747" s="2" t="s">
        <v>194</v>
      </c>
      <c r="S747" s="2" t="s">
        <v>28</v>
      </c>
      <c r="T747" s="2" t="s">
        <v>150</v>
      </c>
    </row>
    <row r="748" spans="1:20" x14ac:dyDescent="0.3">
      <c r="A748" s="2" t="s">
        <v>215</v>
      </c>
      <c r="B748" s="2" t="s">
        <v>216</v>
      </c>
      <c r="C748" s="2">
        <v>21565231</v>
      </c>
      <c r="D748" s="2">
        <v>2018</v>
      </c>
      <c r="E748" s="2" t="s">
        <v>151</v>
      </c>
      <c r="F748" s="4">
        <v>0</v>
      </c>
      <c r="G748" s="2">
        <v>7</v>
      </c>
      <c r="H748" s="2">
        <f>L748+O748+G748*F748</f>
        <v>268.48199999999997</v>
      </c>
      <c r="I748" s="2">
        <v>59</v>
      </c>
      <c r="J748" s="2">
        <v>0.13300000000000001</v>
      </c>
      <c r="K748" s="2">
        <v>6</v>
      </c>
      <c r="L748" s="2">
        <f>I748*J748*K748</f>
        <v>47.082000000000001</v>
      </c>
      <c r="M748" s="2">
        <v>3</v>
      </c>
      <c r="N748" s="2">
        <v>73.8</v>
      </c>
      <c r="O748" s="2">
        <f>M748*N748</f>
        <v>221.39999999999998</v>
      </c>
      <c r="P748" s="2">
        <f>H748/C748*100000</f>
        <v>1.2449762304887899</v>
      </c>
      <c r="Q748" s="7">
        <f t="shared" si="60"/>
        <v>1.2372584627419747</v>
      </c>
      <c r="R748" s="2" t="s">
        <v>223</v>
      </c>
      <c r="S748" s="2" t="s">
        <v>28</v>
      </c>
      <c r="T748" s="2" t="s">
        <v>32</v>
      </c>
    </row>
    <row r="749" spans="1:20" x14ac:dyDescent="0.3">
      <c r="A749" s="2" t="s">
        <v>215</v>
      </c>
      <c r="B749" s="2" t="s">
        <v>216</v>
      </c>
      <c r="C749" s="2">
        <v>21565231</v>
      </c>
      <c r="D749" s="2">
        <v>2018</v>
      </c>
      <c r="E749" s="2" t="s">
        <v>33</v>
      </c>
      <c r="F749" s="4" t="s">
        <v>29</v>
      </c>
      <c r="G749" s="2">
        <v>8</v>
      </c>
      <c r="H749" s="2" t="s">
        <v>29</v>
      </c>
      <c r="I749" s="2" t="s">
        <v>29</v>
      </c>
      <c r="J749" s="2">
        <v>0.13300000000000001</v>
      </c>
      <c r="K749" s="2">
        <v>7</v>
      </c>
      <c r="L749" s="2" t="s">
        <v>29</v>
      </c>
      <c r="M749" s="2" t="s">
        <v>29</v>
      </c>
      <c r="N749" s="2">
        <v>73.8</v>
      </c>
      <c r="O749" s="2" t="s">
        <v>29</v>
      </c>
      <c r="P749" s="2" t="s">
        <v>29</v>
      </c>
      <c r="Q749" s="7" t="e">
        <f t="shared" si="60"/>
        <v>#VALUE!</v>
      </c>
      <c r="R749" s="2" t="s">
        <v>219</v>
      </c>
      <c r="S749" s="2" t="s">
        <v>35</v>
      </c>
      <c r="T749" s="2" t="s">
        <v>29</v>
      </c>
    </row>
    <row r="750" spans="1:20" x14ac:dyDescent="0.3">
      <c r="A750" s="2" t="s">
        <v>215</v>
      </c>
      <c r="B750" s="2" t="s">
        <v>216</v>
      </c>
      <c r="C750" s="2">
        <v>21565231</v>
      </c>
      <c r="D750" s="2">
        <v>2018</v>
      </c>
      <c r="E750" s="2" t="s">
        <v>37</v>
      </c>
      <c r="F750" s="4">
        <v>7.1699999999999997E-4</v>
      </c>
      <c r="G750" s="2">
        <v>6</v>
      </c>
      <c r="H750" s="2">
        <f>L750+O750+G750*F750</f>
        <v>7239.6843019999997</v>
      </c>
      <c r="I750" s="2">
        <v>11312</v>
      </c>
      <c r="J750" s="2">
        <v>0.128</v>
      </c>
      <c r="K750" s="2">
        <v>5</v>
      </c>
      <c r="L750" s="2">
        <f>I750*J750*K750</f>
        <v>7239.6799999999994</v>
      </c>
      <c r="M750" s="2">
        <v>0</v>
      </c>
      <c r="N750" s="2">
        <v>73.8</v>
      </c>
      <c r="O750" s="2">
        <f>M750*N750</f>
        <v>0</v>
      </c>
      <c r="P750" s="2">
        <f>H750/C750*100000</f>
        <v>33.571095537998175</v>
      </c>
      <c r="Q750" s="7">
        <f t="shared" si="60"/>
        <v>28.517030636475525</v>
      </c>
      <c r="R750" s="2" t="s">
        <v>220</v>
      </c>
      <c r="S750" s="2" t="s">
        <v>155</v>
      </c>
      <c r="T750" s="2" t="s">
        <v>156</v>
      </c>
    </row>
    <row r="751" spans="1:20" x14ac:dyDescent="0.3">
      <c r="A751" s="2" t="s">
        <v>215</v>
      </c>
      <c r="B751" s="2" t="s">
        <v>216</v>
      </c>
      <c r="C751" s="2">
        <v>21565231</v>
      </c>
      <c r="D751" s="2">
        <v>2018</v>
      </c>
      <c r="E751" s="2" t="s">
        <v>41</v>
      </c>
      <c r="F751" s="4">
        <v>6.0000000000000002E-6</v>
      </c>
      <c r="G751" s="2">
        <v>6</v>
      </c>
      <c r="H751" s="2">
        <f>L751+O751+G751*F751</f>
        <v>3003.360036</v>
      </c>
      <c r="I751" s="2">
        <v>107</v>
      </c>
      <c r="J751" s="2">
        <v>0.12</v>
      </c>
      <c r="K751" s="2">
        <v>4</v>
      </c>
      <c r="L751" s="2">
        <f>I751*J751*K751</f>
        <v>51.36</v>
      </c>
      <c r="M751" s="2">
        <v>40</v>
      </c>
      <c r="N751" s="2">
        <v>73.8</v>
      </c>
      <c r="O751" s="2">
        <f>M751*N751</f>
        <v>2952</v>
      </c>
      <c r="P751" s="2">
        <f>H751/C751*100000</f>
        <v>13.926862346153397</v>
      </c>
      <c r="Q751" s="7">
        <f t="shared" si="60"/>
        <v>13.000570381268538</v>
      </c>
      <c r="R751" s="2" t="s">
        <v>221</v>
      </c>
      <c r="S751" s="2" t="s">
        <v>158</v>
      </c>
      <c r="T751" s="2" t="s">
        <v>159</v>
      </c>
    </row>
    <row r="752" spans="1:20" x14ac:dyDescent="0.3">
      <c r="A752" s="2" t="s">
        <v>215</v>
      </c>
      <c r="B752" s="2" t="s">
        <v>216</v>
      </c>
      <c r="C752" s="2">
        <v>21651492</v>
      </c>
      <c r="D752" s="2">
        <v>2019</v>
      </c>
      <c r="E752" s="2" t="s">
        <v>22</v>
      </c>
      <c r="F752" s="4" t="s">
        <v>29</v>
      </c>
      <c r="G752" s="2">
        <v>9</v>
      </c>
      <c r="H752" s="2" t="s">
        <v>29</v>
      </c>
      <c r="I752" s="2" t="s">
        <v>29</v>
      </c>
      <c r="J752" s="2">
        <v>0.13300000000000001</v>
      </c>
      <c r="K752" s="2">
        <v>8</v>
      </c>
      <c r="L752" s="2" t="s">
        <v>29</v>
      </c>
      <c r="M752" s="2" t="s">
        <v>29</v>
      </c>
      <c r="N752" s="2">
        <v>73.8</v>
      </c>
      <c r="O752" s="2" t="s">
        <v>29</v>
      </c>
      <c r="P752" s="2" t="s">
        <v>29</v>
      </c>
      <c r="Q752" s="7" t="e">
        <f t="shared" si="60"/>
        <v>#VALUE!</v>
      </c>
      <c r="R752" s="2" t="s">
        <v>217</v>
      </c>
      <c r="S752" s="2" t="s">
        <v>163</v>
      </c>
      <c r="T752" s="2" t="s">
        <v>29</v>
      </c>
    </row>
    <row r="753" spans="1:20" x14ac:dyDescent="0.3">
      <c r="A753" s="2" t="s">
        <v>215</v>
      </c>
      <c r="B753" s="2" t="s">
        <v>216</v>
      </c>
      <c r="C753" s="2">
        <v>21651492</v>
      </c>
      <c r="D753" s="2">
        <v>2019</v>
      </c>
      <c r="E753" s="2" t="s">
        <v>26</v>
      </c>
      <c r="F753" s="4">
        <v>0</v>
      </c>
      <c r="G753" s="2">
        <v>7</v>
      </c>
      <c r="H753" s="2">
        <f>L753+O753+G753*F753</f>
        <v>171.54</v>
      </c>
      <c r="I753" s="2">
        <v>30</v>
      </c>
      <c r="J753" s="2">
        <v>0.13300000000000001</v>
      </c>
      <c r="K753" s="2">
        <v>6</v>
      </c>
      <c r="L753" s="2">
        <f>I753*J753*K753</f>
        <v>23.94</v>
      </c>
      <c r="M753" s="2">
        <v>2</v>
      </c>
      <c r="N753" s="2">
        <v>73.8</v>
      </c>
      <c r="O753" s="2">
        <f>M753*N753</f>
        <v>147.6</v>
      </c>
      <c r="P753" s="2">
        <f>H753/C753*100000</f>
        <v>0.79227796403130091</v>
      </c>
      <c r="Q753" s="7">
        <f t="shared" si="60"/>
        <v>0.78914771438433062</v>
      </c>
      <c r="R753" s="2" t="s">
        <v>194</v>
      </c>
      <c r="S753" s="2" t="s">
        <v>28</v>
      </c>
      <c r="T753" s="2" t="s">
        <v>150</v>
      </c>
    </row>
    <row r="754" spans="1:20" x14ac:dyDescent="0.3">
      <c r="A754" s="2" t="s">
        <v>215</v>
      </c>
      <c r="B754" s="2" t="s">
        <v>216</v>
      </c>
      <c r="C754" s="2">
        <v>21651492</v>
      </c>
      <c r="D754" s="2">
        <v>2019</v>
      </c>
      <c r="E754" s="2" t="s">
        <v>151</v>
      </c>
      <c r="F754" s="4">
        <v>0</v>
      </c>
      <c r="G754" s="2">
        <v>7</v>
      </c>
      <c r="H754" s="2">
        <f>L754+O754+G754*F754</f>
        <v>91.355999999999995</v>
      </c>
      <c r="I754" s="2">
        <v>22</v>
      </c>
      <c r="J754" s="2">
        <v>0.13300000000000001</v>
      </c>
      <c r="K754" s="2">
        <v>6</v>
      </c>
      <c r="L754" s="2">
        <f>I754*J754*K754</f>
        <v>17.556000000000001</v>
      </c>
      <c r="M754" s="2">
        <v>1</v>
      </c>
      <c r="N754" s="2">
        <v>73.8</v>
      </c>
      <c r="O754" s="2">
        <f>M754*N754</f>
        <v>73.8</v>
      </c>
      <c r="P754" s="2">
        <f>H754/C754*100000</f>
        <v>0.42193858972859699</v>
      </c>
      <c r="Q754" s="7">
        <f t="shared" si="60"/>
        <v>0.42104967951895889</v>
      </c>
      <c r="R754" s="2" t="s">
        <v>218</v>
      </c>
      <c r="S754" s="2" t="s">
        <v>28</v>
      </c>
      <c r="T754" s="2" t="s">
        <v>32</v>
      </c>
    </row>
    <row r="755" spans="1:20" x14ac:dyDescent="0.3">
      <c r="A755" s="2" t="s">
        <v>215</v>
      </c>
      <c r="B755" s="2" t="s">
        <v>216</v>
      </c>
      <c r="C755" s="2">
        <v>21651492</v>
      </c>
      <c r="D755" s="2">
        <v>2019</v>
      </c>
      <c r="E755" s="2" t="s">
        <v>33</v>
      </c>
      <c r="F755" s="4">
        <v>1.2E-5</v>
      </c>
      <c r="G755" s="2">
        <v>8</v>
      </c>
      <c r="H755" s="2">
        <f>L755+O755+G755*F755</f>
        <v>20193.877096</v>
      </c>
      <c r="I755" s="2">
        <v>367</v>
      </c>
      <c r="J755" s="2">
        <v>0.13300000000000001</v>
      </c>
      <c r="K755" s="2">
        <v>7</v>
      </c>
      <c r="L755" s="2">
        <f>I755*J755*K755</f>
        <v>341.67700000000002</v>
      </c>
      <c r="M755" s="2">
        <v>269</v>
      </c>
      <c r="N755" s="2">
        <v>73.8</v>
      </c>
      <c r="O755" s="2">
        <f>M755*N755</f>
        <v>19852.2</v>
      </c>
      <c r="P755" s="2">
        <f>H755/C755*100000</f>
        <v>93.267831593314682</v>
      </c>
      <c r="Q755" s="7">
        <f t="shared" si="60"/>
        <v>60.650161523881692</v>
      </c>
      <c r="R755" s="2" t="s">
        <v>224</v>
      </c>
      <c r="S755" s="2" t="s">
        <v>35</v>
      </c>
      <c r="T755" s="2" t="s">
        <v>28</v>
      </c>
    </row>
    <row r="756" spans="1:20" x14ac:dyDescent="0.3">
      <c r="A756" s="2" t="s">
        <v>215</v>
      </c>
      <c r="B756" s="2" t="s">
        <v>216</v>
      </c>
      <c r="C756" s="2">
        <v>21651492</v>
      </c>
      <c r="D756" s="2">
        <v>2019</v>
      </c>
      <c r="E756" s="2" t="s">
        <v>37</v>
      </c>
      <c r="F756" s="4">
        <v>7.1000000000000002E-4</v>
      </c>
      <c r="G756" s="2">
        <v>6</v>
      </c>
      <c r="H756" s="2">
        <f>L756+O756+G756*F756</f>
        <v>8031.3642599999994</v>
      </c>
      <c r="I756" s="2">
        <v>12549</v>
      </c>
      <c r="J756" s="2">
        <v>0.128</v>
      </c>
      <c r="K756" s="2">
        <v>5</v>
      </c>
      <c r="L756" s="2">
        <f>I756*J756*K756</f>
        <v>8031.36</v>
      </c>
      <c r="M756" s="2">
        <v>0</v>
      </c>
      <c r="N756" s="2">
        <v>73.8</v>
      </c>
      <c r="O756" s="2">
        <f>M756*N756</f>
        <v>0</v>
      </c>
      <c r="P756" s="2">
        <f>H756/C756*100000</f>
        <v>37.093814412420166</v>
      </c>
      <c r="Q756" s="7">
        <f t="shared" si="60"/>
        <v>30.991337384873376</v>
      </c>
      <c r="R756" s="2" t="s">
        <v>220</v>
      </c>
      <c r="S756" s="2" t="s">
        <v>155</v>
      </c>
      <c r="T756" s="2" t="s">
        <v>156</v>
      </c>
    </row>
    <row r="757" spans="1:20" x14ac:dyDescent="0.3">
      <c r="A757" s="2" t="s">
        <v>215</v>
      </c>
      <c r="B757" s="2" t="s">
        <v>216</v>
      </c>
      <c r="C757" s="2">
        <v>21651492</v>
      </c>
      <c r="D757" s="2">
        <v>2019</v>
      </c>
      <c r="E757" s="2" t="s">
        <v>41</v>
      </c>
      <c r="F757" s="4">
        <v>6.0000000000000002E-6</v>
      </c>
      <c r="G757" s="2">
        <v>6</v>
      </c>
      <c r="H757" s="2">
        <f>L757+O757+G757*F757</f>
        <v>3013.440036</v>
      </c>
      <c r="I757" s="2">
        <v>128</v>
      </c>
      <c r="J757" s="2">
        <v>0.12</v>
      </c>
      <c r="K757" s="2">
        <v>4</v>
      </c>
      <c r="L757" s="2">
        <f>I757*J757*K757</f>
        <v>61.44</v>
      </c>
      <c r="M757" s="2">
        <v>40</v>
      </c>
      <c r="N757" s="2">
        <v>73.8</v>
      </c>
      <c r="O757" s="2">
        <f>M757*N757</f>
        <v>2952</v>
      </c>
      <c r="P757" s="2">
        <f>H757/C757*100000</f>
        <v>13.917932473198613</v>
      </c>
      <c r="Q757" s="7">
        <f t="shared" si="60"/>
        <v>12.99280109584371</v>
      </c>
      <c r="R757" s="2" t="s">
        <v>221</v>
      </c>
      <c r="S757" s="2" t="s">
        <v>158</v>
      </c>
      <c r="T757" s="2" t="s">
        <v>159</v>
      </c>
    </row>
    <row r="758" spans="1:20" x14ac:dyDescent="0.3">
      <c r="A758" s="2" t="s">
        <v>215</v>
      </c>
      <c r="B758" s="2" t="s">
        <v>216</v>
      </c>
      <c r="C758" s="2">
        <v>21738098</v>
      </c>
      <c r="D758" s="2">
        <v>2020</v>
      </c>
      <c r="E758" s="2" t="s">
        <v>22</v>
      </c>
      <c r="F758" s="4" t="s">
        <v>29</v>
      </c>
      <c r="G758" s="2">
        <v>9</v>
      </c>
      <c r="H758" s="2" t="s">
        <v>29</v>
      </c>
      <c r="I758" s="2" t="s">
        <v>29</v>
      </c>
      <c r="J758" s="2">
        <v>0.13300000000000001</v>
      </c>
      <c r="K758" s="2">
        <v>8</v>
      </c>
      <c r="L758" s="2" t="s">
        <v>29</v>
      </c>
      <c r="M758" s="2" t="s">
        <v>29</v>
      </c>
      <c r="N758" s="2">
        <v>73.8</v>
      </c>
      <c r="O758" s="2" t="s">
        <v>29</v>
      </c>
      <c r="P758" s="2" t="s">
        <v>29</v>
      </c>
      <c r="Q758" s="7" t="e">
        <f t="shared" si="60"/>
        <v>#VALUE!</v>
      </c>
      <c r="R758" s="2" t="s">
        <v>217</v>
      </c>
      <c r="S758" s="2" t="s">
        <v>163</v>
      </c>
      <c r="T758" s="2" t="s">
        <v>29</v>
      </c>
    </row>
    <row r="759" spans="1:20" x14ac:dyDescent="0.3">
      <c r="A759" s="2" t="s">
        <v>215</v>
      </c>
      <c r="B759" s="2" t="s">
        <v>216</v>
      </c>
      <c r="C759" s="2">
        <v>21738098</v>
      </c>
      <c r="D759" s="2">
        <v>2020</v>
      </c>
      <c r="E759" s="2" t="s">
        <v>26</v>
      </c>
      <c r="F759" s="4">
        <v>0</v>
      </c>
      <c r="G759" s="2">
        <v>7</v>
      </c>
      <c r="H759" s="2">
        <f>L759+O759+G759*F759</f>
        <v>171.54</v>
      </c>
      <c r="I759" s="2">
        <v>30</v>
      </c>
      <c r="J759" s="2">
        <v>0.13300000000000001</v>
      </c>
      <c r="K759" s="2">
        <v>6</v>
      </c>
      <c r="L759" s="2">
        <f>I759*J759*K759</f>
        <v>23.94</v>
      </c>
      <c r="M759" s="2">
        <v>2</v>
      </c>
      <c r="N759" s="2">
        <v>73.8</v>
      </c>
      <c r="O759" s="2">
        <f>M759*N759</f>
        <v>147.6</v>
      </c>
      <c r="P759" s="2">
        <f>H759/C759*100000</f>
        <v>0.78912147695718371</v>
      </c>
      <c r="Q759" s="7">
        <f t="shared" si="60"/>
        <v>0.78601608723137817</v>
      </c>
      <c r="R759" s="2" t="s">
        <v>194</v>
      </c>
      <c r="S759" s="2" t="s">
        <v>28</v>
      </c>
      <c r="T759" s="2" t="s">
        <v>150</v>
      </c>
    </row>
    <row r="760" spans="1:20" x14ac:dyDescent="0.3">
      <c r="A760" s="2" t="s">
        <v>215</v>
      </c>
      <c r="B760" s="2" t="s">
        <v>216</v>
      </c>
      <c r="C760" s="2">
        <v>21738098</v>
      </c>
      <c r="D760" s="2">
        <v>2020</v>
      </c>
      <c r="E760" s="2" t="s">
        <v>151</v>
      </c>
      <c r="F760" s="4">
        <v>0</v>
      </c>
      <c r="G760" s="2">
        <v>7</v>
      </c>
      <c r="H760" s="2">
        <f>L760+O760+G760*F760</f>
        <v>89.759999999999991</v>
      </c>
      <c r="I760" s="2">
        <v>20</v>
      </c>
      <c r="J760" s="2">
        <v>0.13300000000000001</v>
      </c>
      <c r="K760" s="2">
        <v>6</v>
      </c>
      <c r="L760" s="2">
        <f>I760*J760*K760</f>
        <v>15.96</v>
      </c>
      <c r="M760" s="2">
        <v>1</v>
      </c>
      <c r="N760" s="2">
        <v>73.8</v>
      </c>
      <c r="O760" s="2">
        <f>M760*N760</f>
        <v>73.8</v>
      </c>
      <c r="P760" s="2">
        <f>H760/C760*100000</f>
        <v>0.41291561018815903</v>
      </c>
      <c r="Q760" s="7">
        <f t="shared" si="60"/>
        <v>0.41206428583593357</v>
      </c>
      <c r="R760" s="2" t="s">
        <v>218</v>
      </c>
      <c r="S760" s="2" t="s">
        <v>28</v>
      </c>
      <c r="T760" s="2" t="s">
        <v>32</v>
      </c>
    </row>
    <row r="761" spans="1:20" x14ac:dyDescent="0.3">
      <c r="A761" s="2" t="s">
        <v>215</v>
      </c>
      <c r="B761" s="2" t="s">
        <v>216</v>
      </c>
      <c r="C761" s="2">
        <v>21738098</v>
      </c>
      <c r="D761" s="2">
        <v>2020</v>
      </c>
      <c r="E761" s="2" t="s">
        <v>33</v>
      </c>
      <c r="F761" s="4" t="s">
        <v>29</v>
      </c>
      <c r="G761" s="2">
        <v>8</v>
      </c>
      <c r="H761" s="2" t="s">
        <v>29</v>
      </c>
      <c r="I761" s="2" t="s">
        <v>29</v>
      </c>
      <c r="J761" s="2">
        <v>0.13300000000000001</v>
      </c>
      <c r="K761" s="2">
        <v>7</v>
      </c>
      <c r="L761" s="2" t="s">
        <v>29</v>
      </c>
      <c r="M761" s="2" t="s">
        <v>29</v>
      </c>
      <c r="N761" s="2">
        <v>73.8</v>
      </c>
      <c r="O761" s="2" t="s">
        <v>29</v>
      </c>
      <c r="P761" s="2" t="s">
        <v>29</v>
      </c>
      <c r="Q761" s="7" t="e">
        <f t="shared" si="60"/>
        <v>#VALUE!</v>
      </c>
      <c r="R761" s="2" t="s">
        <v>219</v>
      </c>
      <c r="S761" s="2" t="s">
        <v>35</v>
      </c>
      <c r="T761" s="2" t="s">
        <v>29</v>
      </c>
    </row>
    <row r="762" spans="1:20" x14ac:dyDescent="0.3">
      <c r="A762" s="2" t="s">
        <v>215</v>
      </c>
      <c r="B762" s="2" t="s">
        <v>216</v>
      </c>
      <c r="C762" s="2">
        <v>21738098</v>
      </c>
      <c r="D762" s="2">
        <v>2020</v>
      </c>
      <c r="E762" s="2" t="s">
        <v>37</v>
      </c>
      <c r="F762" s="4">
        <v>7.7099999999999998E-4</v>
      </c>
      <c r="G762" s="2">
        <v>6</v>
      </c>
      <c r="H762" s="2">
        <f>L762+O762+G762*F762</f>
        <v>7648.6446260000002</v>
      </c>
      <c r="I762" s="2">
        <v>11951</v>
      </c>
      <c r="J762" s="2">
        <v>0.128</v>
      </c>
      <c r="K762" s="2">
        <v>5</v>
      </c>
      <c r="L762" s="2">
        <f>I762*J762*K762</f>
        <v>7648.64</v>
      </c>
      <c r="M762" s="2">
        <v>0</v>
      </c>
      <c r="N762" s="2">
        <v>73.8</v>
      </c>
      <c r="O762" s="2">
        <f>M762*N762</f>
        <v>0</v>
      </c>
      <c r="P762" s="2">
        <f>H762/C762*100000</f>
        <v>35.18543630634106</v>
      </c>
      <c r="Q762" s="7">
        <f t="shared" si="60"/>
        <v>29.661744700244121</v>
      </c>
      <c r="R762" s="2" t="s">
        <v>220</v>
      </c>
      <c r="S762" s="2" t="s">
        <v>155</v>
      </c>
      <c r="T762" s="2" t="s">
        <v>156</v>
      </c>
    </row>
    <row r="763" spans="1:20" x14ac:dyDescent="0.3">
      <c r="A763" s="2" t="s">
        <v>215</v>
      </c>
      <c r="B763" s="2" t="s">
        <v>216</v>
      </c>
      <c r="C763" s="2">
        <v>21738098</v>
      </c>
      <c r="D763" s="2">
        <v>2020</v>
      </c>
      <c r="E763" s="2" t="s">
        <v>41</v>
      </c>
      <c r="F763" s="4">
        <v>6.0000000000000002E-6</v>
      </c>
      <c r="G763" s="2">
        <v>6</v>
      </c>
      <c r="H763" s="2">
        <f>L763+O763+G763*F763</f>
        <v>3006.7200359999997</v>
      </c>
      <c r="I763" s="2">
        <v>114</v>
      </c>
      <c r="J763" s="2">
        <v>0.12</v>
      </c>
      <c r="K763" s="2">
        <v>4</v>
      </c>
      <c r="L763" s="2">
        <f>I763*J763*K763</f>
        <v>54.72</v>
      </c>
      <c r="M763" s="2">
        <v>40</v>
      </c>
      <c r="N763" s="2">
        <v>73.8</v>
      </c>
      <c r="O763" s="2">
        <f>M763*N763</f>
        <v>2952</v>
      </c>
      <c r="P763" s="2">
        <f>H763/C763*100000</f>
        <v>13.831569054477532</v>
      </c>
      <c r="Q763" s="7">
        <f t="shared" si="60"/>
        <v>12.917626247224501</v>
      </c>
      <c r="R763" s="2" t="s">
        <v>221</v>
      </c>
      <c r="S763" s="2" t="s">
        <v>158</v>
      </c>
      <c r="T763" s="2" t="s">
        <v>159</v>
      </c>
    </row>
    <row r="764" spans="1:20" x14ac:dyDescent="0.3">
      <c r="A764" s="2" t="s">
        <v>215</v>
      </c>
      <c r="B764" s="2" t="s">
        <v>216</v>
      </c>
      <c r="C764" s="2">
        <v>21825050</v>
      </c>
      <c r="D764" s="2">
        <v>2021</v>
      </c>
      <c r="E764" s="2" t="s">
        <v>22</v>
      </c>
      <c r="F764" s="4" t="s">
        <v>29</v>
      </c>
      <c r="G764" s="2">
        <v>9</v>
      </c>
      <c r="H764" s="2" t="s">
        <v>29</v>
      </c>
      <c r="I764" s="2" t="s">
        <v>29</v>
      </c>
      <c r="J764" s="2">
        <v>0.13300000000000001</v>
      </c>
      <c r="K764" s="2">
        <v>8</v>
      </c>
      <c r="L764" s="2" t="s">
        <v>29</v>
      </c>
      <c r="M764" s="2" t="s">
        <v>29</v>
      </c>
      <c r="N764" s="2">
        <v>73.8</v>
      </c>
      <c r="O764" s="2" t="s">
        <v>29</v>
      </c>
      <c r="P764" s="2" t="s">
        <v>29</v>
      </c>
      <c r="Q764" s="7" t="e">
        <f t="shared" si="60"/>
        <v>#VALUE!</v>
      </c>
      <c r="R764" s="2" t="s">
        <v>217</v>
      </c>
      <c r="S764" s="2" t="s">
        <v>163</v>
      </c>
      <c r="T764" s="2" t="s">
        <v>29</v>
      </c>
    </row>
    <row r="765" spans="1:20" x14ac:dyDescent="0.3">
      <c r="A765" s="2" t="s">
        <v>215</v>
      </c>
      <c r="B765" s="2" t="s">
        <v>216</v>
      </c>
      <c r="C765" s="2">
        <v>21825050</v>
      </c>
      <c r="D765" s="2">
        <v>2021</v>
      </c>
      <c r="E765" s="2" t="s">
        <v>26</v>
      </c>
      <c r="F765" s="4">
        <v>0</v>
      </c>
      <c r="G765" s="2">
        <v>7</v>
      </c>
      <c r="H765" s="2">
        <f>L765+O765+G765*F765</f>
        <v>172.33799999999999</v>
      </c>
      <c r="I765" s="2">
        <v>31</v>
      </c>
      <c r="J765" s="2">
        <v>0.13300000000000001</v>
      </c>
      <c r="K765" s="2">
        <v>6</v>
      </c>
      <c r="L765" s="2">
        <f>I765*J765*K765</f>
        <v>24.738</v>
      </c>
      <c r="M765" s="2">
        <v>2</v>
      </c>
      <c r="N765" s="2">
        <v>73.8</v>
      </c>
      <c r="O765" s="2">
        <f>M765*N765</f>
        <v>147.6</v>
      </c>
      <c r="P765" s="2">
        <f>H765/C765*100000</f>
        <v>0.78963392981917568</v>
      </c>
      <c r="Q765" s="7">
        <f t="shared" si="60"/>
        <v>0.78652451082871222</v>
      </c>
      <c r="R765" s="2" t="s">
        <v>194</v>
      </c>
      <c r="S765" s="2" t="s">
        <v>28</v>
      </c>
      <c r="T765" s="2" t="s">
        <v>150</v>
      </c>
    </row>
    <row r="766" spans="1:20" x14ac:dyDescent="0.3">
      <c r="A766" s="2" t="s">
        <v>215</v>
      </c>
      <c r="B766" s="2" t="s">
        <v>216</v>
      </c>
      <c r="C766" s="2">
        <v>21825050</v>
      </c>
      <c r="D766" s="2">
        <v>2021</v>
      </c>
      <c r="E766" s="2" t="s">
        <v>151</v>
      </c>
      <c r="F766" s="4">
        <v>0</v>
      </c>
      <c r="G766" s="2">
        <v>7</v>
      </c>
      <c r="H766" s="2">
        <f>L766+O766+G766*F766</f>
        <v>91.355999999999995</v>
      </c>
      <c r="I766" s="2">
        <v>22</v>
      </c>
      <c r="J766" s="2">
        <v>0.13300000000000001</v>
      </c>
      <c r="K766" s="2">
        <v>6</v>
      </c>
      <c r="L766" s="2">
        <f>I766*J766*K766</f>
        <v>17.556000000000001</v>
      </c>
      <c r="M766" s="2">
        <v>1</v>
      </c>
      <c r="N766" s="2">
        <v>73.8</v>
      </c>
      <c r="O766" s="2">
        <f>M766*N766</f>
        <v>73.8</v>
      </c>
      <c r="P766" s="2">
        <f>H766/C766*100000</f>
        <v>0.41858323348629212</v>
      </c>
      <c r="Q766" s="7">
        <f t="shared" si="60"/>
        <v>0.41770839493767697</v>
      </c>
      <c r="R766" s="2" t="s">
        <v>218</v>
      </c>
      <c r="S766" s="2" t="s">
        <v>28</v>
      </c>
      <c r="T766" s="2" t="s">
        <v>32</v>
      </c>
    </row>
    <row r="767" spans="1:20" x14ac:dyDescent="0.3">
      <c r="A767" s="2" t="s">
        <v>215</v>
      </c>
      <c r="B767" s="2" t="s">
        <v>216</v>
      </c>
      <c r="C767" s="2">
        <v>21825050</v>
      </c>
      <c r="D767" s="2">
        <v>2021</v>
      </c>
      <c r="E767" s="2" t="s">
        <v>33</v>
      </c>
      <c r="F767" s="4" t="s">
        <v>29</v>
      </c>
      <c r="G767" s="2">
        <v>8</v>
      </c>
      <c r="H767" s="2" t="s">
        <v>29</v>
      </c>
      <c r="I767" s="2" t="s">
        <v>29</v>
      </c>
      <c r="J767" s="2">
        <v>0.13300000000000001</v>
      </c>
      <c r="K767" s="2">
        <v>7</v>
      </c>
      <c r="L767" s="2" t="s">
        <v>29</v>
      </c>
      <c r="M767" s="2" t="s">
        <v>29</v>
      </c>
      <c r="N767" s="2">
        <v>73.8</v>
      </c>
      <c r="O767" s="2" t="s">
        <v>29</v>
      </c>
      <c r="P767" s="2" t="s">
        <v>29</v>
      </c>
      <c r="Q767" s="7" t="e">
        <f t="shared" si="60"/>
        <v>#VALUE!</v>
      </c>
      <c r="R767" s="2" t="s">
        <v>219</v>
      </c>
      <c r="S767" s="2" t="s">
        <v>35</v>
      </c>
      <c r="T767" s="2" t="s">
        <v>29</v>
      </c>
    </row>
    <row r="768" spans="1:20" x14ac:dyDescent="0.3">
      <c r="A768" s="2" t="s">
        <v>215</v>
      </c>
      <c r="B768" s="2" t="s">
        <v>216</v>
      </c>
      <c r="C768" s="2">
        <v>21825050</v>
      </c>
      <c r="D768" s="2">
        <v>2021</v>
      </c>
      <c r="E768" s="2" t="s">
        <v>37</v>
      </c>
      <c r="F768" s="4">
        <v>6.4000000000000005E-4</v>
      </c>
      <c r="G768" s="2">
        <v>6</v>
      </c>
      <c r="H768" s="2">
        <f>L768+O768+G768*F768</f>
        <v>6070.4038399999999</v>
      </c>
      <c r="I768" s="2">
        <v>9485</v>
      </c>
      <c r="J768" s="2">
        <v>0.128</v>
      </c>
      <c r="K768" s="2">
        <v>5</v>
      </c>
      <c r="L768" s="2">
        <f>I768*J768*K768</f>
        <v>6070.4</v>
      </c>
      <c r="M768" s="2">
        <v>0</v>
      </c>
      <c r="N768" s="2">
        <v>73.8</v>
      </c>
      <c r="O768" s="2">
        <f>M768*N768</f>
        <v>0</v>
      </c>
      <c r="P768" s="2">
        <f>H768/C768*100000</f>
        <v>27.813928673702925</v>
      </c>
      <c r="Q768" s="7">
        <f t="shared" si="60"/>
        <v>24.280865254315664</v>
      </c>
      <c r="R768" s="2" t="s">
        <v>220</v>
      </c>
      <c r="S768" s="2" t="s">
        <v>155</v>
      </c>
      <c r="T768" s="2" t="s">
        <v>156</v>
      </c>
    </row>
    <row r="769" spans="1:20" x14ac:dyDescent="0.3">
      <c r="A769" s="2" t="s">
        <v>215</v>
      </c>
      <c r="B769" s="2" t="s">
        <v>216</v>
      </c>
      <c r="C769" s="2">
        <v>21825050</v>
      </c>
      <c r="D769" s="2">
        <v>2021</v>
      </c>
      <c r="E769" s="2" t="s">
        <v>41</v>
      </c>
      <c r="F769" s="4">
        <v>5.0000000000000004E-6</v>
      </c>
      <c r="G769" s="2">
        <v>6</v>
      </c>
      <c r="H769" s="2">
        <f>L769+O769+G769*F769</f>
        <v>3012.0000300000002</v>
      </c>
      <c r="I769" s="2">
        <v>125</v>
      </c>
      <c r="J769" s="2">
        <v>0.12</v>
      </c>
      <c r="K769" s="2">
        <v>4</v>
      </c>
      <c r="L769" s="2">
        <f>I769*J769*K769</f>
        <v>60</v>
      </c>
      <c r="M769" s="2">
        <v>40</v>
      </c>
      <c r="N769" s="2">
        <v>73.8</v>
      </c>
      <c r="O769" s="2">
        <f>M769*N769</f>
        <v>2952</v>
      </c>
      <c r="P769" s="2">
        <f>H769/C769*100000</f>
        <v>13.800655806057719</v>
      </c>
      <c r="Q769" s="7">
        <f t="shared" si="60"/>
        <v>12.890702095345874</v>
      </c>
      <c r="R769" s="2" t="s">
        <v>221</v>
      </c>
      <c r="S769" s="2" t="s">
        <v>158</v>
      </c>
      <c r="T769" s="2" t="s">
        <v>159</v>
      </c>
    </row>
    <row r="770" spans="1:20" x14ac:dyDescent="0.3">
      <c r="A770" s="2" t="s">
        <v>215</v>
      </c>
      <c r="B770" s="2" t="s">
        <v>216</v>
      </c>
      <c r="C770" s="2">
        <v>21912351</v>
      </c>
      <c r="D770" s="2">
        <v>2022</v>
      </c>
      <c r="E770" s="2" t="s">
        <v>22</v>
      </c>
      <c r="F770" s="4" t="s">
        <v>29</v>
      </c>
      <c r="G770" s="2">
        <v>9</v>
      </c>
      <c r="H770" s="2" t="s">
        <v>29</v>
      </c>
      <c r="I770" s="2" t="s">
        <v>29</v>
      </c>
      <c r="J770" s="2">
        <v>0.13300000000000001</v>
      </c>
      <c r="K770" s="2">
        <v>8</v>
      </c>
      <c r="L770" s="2" t="s">
        <v>29</v>
      </c>
      <c r="M770" s="2" t="s">
        <v>29</v>
      </c>
      <c r="N770" s="2">
        <v>73.8</v>
      </c>
      <c r="O770" s="2" t="s">
        <v>29</v>
      </c>
      <c r="P770" s="2" t="s">
        <v>29</v>
      </c>
      <c r="Q770" s="7" t="e">
        <f t="shared" ref="Q770:Q833" si="61">100*(1-EXP(-P770/100))</f>
        <v>#VALUE!</v>
      </c>
      <c r="R770" s="2" t="s">
        <v>217</v>
      </c>
      <c r="S770" s="2" t="s">
        <v>163</v>
      </c>
      <c r="T770" s="2" t="s">
        <v>29</v>
      </c>
    </row>
    <row r="771" spans="1:20" x14ac:dyDescent="0.3">
      <c r="A771" s="2" t="s">
        <v>215</v>
      </c>
      <c r="B771" s="2" t="s">
        <v>216</v>
      </c>
      <c r="C771" s="2">
        <v>21912351</v>
      </c>
      <c r="D771" s="2">
        <v>2022</v>
      </c>
      <c r="E771" s="2" t="s">
        <v>26</v>
      </c>
      <c r="F771" s="4">
        <v>9.9999999999999995E-7</v>
      </c>
      <c r="G771" s="2">
        <v>7</v>
      </c>
      <c r="H771" s="2">
        <f>L771+O771+G771*F771</f>
        <v>848.12400700000001</v>
      </c>
      <c r="I771" s="2">
        <v>138</v>
      </c>
      <c r="J771" s="2">
        <v>0.13300000000000001</v>
      </c>
      <c r="K771" s="2">
        <v>6</v>
      </c>
      <c r="L771" s="2">
        <f>I771*J771*K771</f>
        <v>110.124</v>
      </c>
      <c r="M771" s="2">
        <v>10</v>
      </c>
      <c r="N771" s="2">
        <v>73.8</v>
      </c>
      <c r="O771" s="2">
        <f>M771*N771</f>
        <v>738</v>
      </c>
      <c r="P771" s="2">
        <f>H771/C771*100000</f>
        <v>3.870529488141186</v>
      </c>
      <c r="Q771" s="7">
        <f t="shared" si="61"/>
        <v>3.7965816228182181</v>
      </c>
      <c r="R771" s="2" t="s">
        <v>225</v>
      </c>
      <c r="S771" s="2" t="s">
        <v>28</v>
      </c>
      <c r="T771" s="2" t="s">
        <v>150</v>
      </c>
    </row>
    <row r="772" spans="1:20" x14ac:dyDescent="0.3">
      <c r="A772" s="2" t="s">
        <v>215</v>
      </c>
      <c r="B772" s="2" t="s">
        <v>216</v>
      </c>
      <c r="C772" s="2">
        <v>21912351</v>
      </c>
      <c r="D772" s="2">
        <v>2022</v>
      </c>
      <c r="E772" s="2" t="s">
        <v>151</v>
      </c>
      <c r="F772" s="4">
        <v>0</v>
      </c>
      <c r="G772" s="2">
        <v>7</v>
      </c>
      <c r="H772" s="2">
        <f>L772+O772+G772*F772</f>
        <v>88.164000000000001</v>
      </c>
      <c r="I772" s="2">
        <v>18</v>
      </c>
      <c r="J772" s="2">
        <v>0.13300000000000001</v>
      </c>
      <c r="K772" s="2">
        <v>6</v>
      </c>
      <c r="L772" s="2">
        <f>I772*J772*K772</f>
        <v>14.364000000000001</v>
      </c>
      <c r="M772" s="2">
        <v>1</v>
      </c>
      <c r="N772" s="2">
        <v>73.8</v>
      </c>
      <c r="O772" s="2">
        <f>M772*N772</f>
        <v>73.8</v>
      </c>
      <c r="P772" s="2">
        <f>H772/C772*100000</f>
        <v>0.40234842897505618</v>
      </c>
      <c r="Q772" s="7">
        <f t="shared" si="61"/>
        <v>0.4015400921571155</v>
      </c>
      <c r="R772" s="2" t="s">
        <v>218</v>
      </c>
      <c r="S772" s="2" t="s">
        <v>28</v>
      </c>
      <c r="T772" s="2" t="s">
        <v>32</v>
      </c>
    </row>
    <row r="773" spans="1:20" x14ac:dyDescent="0.3">
      <c r="A773" s="2" t="s">
        <v>215</v>
      </c>
      <c r="B773" s="2" t="s">
        <v>216</v>
      </c>
      <c r="C773" s="2">
        <v>21912351</v>
      </c>
      <c r="D773" s="2">
        <v>2022</v>
      </c>
      <c r="E773" s="2" t="s">
        <v>33</v>
      </c>
      <c r="F773" s="4" t="s">
        <v>29</v>
      </c>
      <c r="G773" s="2">
        <v>8</v>
      </c>
      <c r="H773" s="2" t="s">
        <v>29</v>
      </c>
      <c r="I773" s="2" t="s">
        <v>29</v>
      </c>
      <c r="J773" s="2">
        <v>0.13300000000000001</v>
      </c>
      <c r="K773" s="2">
        <v>7</v>
      </c>
      <c r="L773" s="2" t="s">
        <v>29</v>
      </c>
      <c r="M773" s="2" t="s">
        <v>29</v>
      </c>
      <c r="N773" s="2">
        <v>73.8</v>
      </c>
      <c r="O773" s="2" t="s">
        <v>29</v>
      </c>
      <c r="P773" s="2" t="s">
        <v>29</v>
      </c>
      <c r="Q773" s="7" t="e">
        <f t="shared" si="61"/>
        <v>#VALUE!</v>
      </c>
      <c r="R773" s="2" t="s">
        <v>219</v>
      </c>
      <c r="S773" s="2" t="s">
        <v>35</v>
      </c>
      <c r="T773" s="2" t="s">
        <v>29</v>
      </c>
    </row>
    <row r="774" spans="1:20" x14ac:dyDescent="0.3">
      <c r="A774" s="2" t="s">
        <v>215</v>
      </c>
      <c r="B774" s="2" t="s">
        <v>216</v>
      </c>
      <c r="C774" s="2">
        <v>21912351</v>
      </c>
      <c r="D774" s="2">
        <v>2022</v>
      </c>
      <c r="E774" s="2" t="s">
        <v>37</v>
      </c>
      <c r="F774" s="4">
        <v>6.7599999999999995E-4</v>
      </c>
      <c r="G774" s="2">
        <v>6</v>
      </c>
      <c r="H774" s="2">
        <f>L774+O774+G774*F774</f>
        <v>5297.9240559999998</v>
      </c>
      <c r="I774" s="2">
        <v>8278</v>
      </c>
      <c r="J774" s="2">
        <v>0.128</v>
      </c>
      <c r="K774" s="2">
        <v>5</v>
      </c>
      <c r="L774" s="2">
        <f>I774*J774*K774</f>
        <v>5297.92</v>
      </c>
      <c r="M774" s="2">
        <v>0</v>
      </c>
      <c r="N774" s="2">
        <v>73.8</v>
      </c>
      <c r="O774" s="2">
        <f>M774*N774</f>
        <v>0</v>
      </c>
      <c r="P774" s="2">
        <f>H774/C774*100000</f>
        <v>24.177798429753153</v>
      </c>
      <c r="Q774" s="7">
        <f t="shared" si="61"/>
        <v>21.476950829991104</v>
      </c>
      <c r="R774" s="2" t="s">
        <v>220</v>
      </c>
      <c r="S774" s="2" t="s">
        <v>155</v>
      </c>
      <c r="T774" s="2" t="s">
        <v>156</v>
      </c>
    </row>
    <row r="775" spans="1:20" x14ac:dyDescent="0.3">
      <c r="A775" s="2" t="s">
        <v>215</v>
      </c>
      <c r="B775" s="2" t="s">
        <v>216</v>
      </c>
      <c r="C775" s="2">
        <v>21912351</v>
      </c>
      <c r="D775" s="2">
        <v>2022</v>
      </c>
      <c r="E775" s="2" t="s">
        <v>41</v>
      </c>
      <c r="F775" s="4">
        <v>5.0000000000000004E-6</v>
      </c>
      <c r="G775" s="2">
        <v>6</v>
      </c>
      <c r="H775" s="2">
        <f>L775+O775+G775*F775</f>
        <v>3011.0400300000001</v>
      </c>
      <c r="I775" s="2">
        <v>123</v>
      </c>
      <c r="J775" s="2">
        <v>0.12</v>
      </c>
      <c r="K775" s="2">
        <v>4</v>
      </c>
      <c r="L775" s="2">
        <f>I775*J775*K775</f>
        <v>59.04</v>
      </c>
      <c r="M775" s="2">
        <v>40</v>
      </c>
      <c r="N775" s="2">
        <v>73.8</v>
      </c>
      <c r="O775" s="2">
        <f>M775*N775</f>
        <v>2952</v>
      </c>
      <c r="P775" s="2">
        <f>H775/C775*100000</f>
        <v>13.741291520932647</v>
      </c>
      <c r="Q775" s="7">
        <f t="shared" si="61"/>
        <v>12.838974931155789</v>
      </c>
      <c r="R775" s="2" t="s">
        <v>221</v>
      </c>
      <c r="S775" s="2" t="s">
        <v>158</v>
      </c>
      <c r="T775" s="2" t="s">
        <v>159</v>
      </c>
    </row>
    <row r="776" spans="1:20" x14ac:dyDescent="0.3">
      <c r="A776" s="2" t="s">
        <v>215</v>
      </c>
      <c r="B776" s="2" t="s">
        <v>216</v>
      </c>
      <c r="C776" s="2">
        <v>22000000</v>
      </c>
      <c r="D776" s="2">
        <v>2023</v>
      </c>
      <c r="E776" s="2" t="s">
        <v>22</v>
      </c>
      <c r="F776" s="4" t="s">
        <v>29</v>
      </c>
      <c r="G776" s="2">
        <v>9</v>
      </c>
      <c r="H776" s="2" t="s">
        <v>29</v>
      </c>
      <c r="I776" s="2" t="s">
        <v>29</v>
      </c>
      <c r="J776" s="2">
        <v>0.13300000000000001</v>
      </c>
      <c r="K776" s="2">
        <v>8</v>
      </c>
      <c r="L776" s="2" t="s">
        <v>29</v>
      </c>
      <c r="M776" s="2" t="s">
        <v>29</v>
      </c>
      <c r="N776" s="2">
        <v>73.8</v>
      </c>
      <c r="O776" s="2" t="s">
        <v>29</v>
      </c>
      <c r="P776" s="2" t="s">
        <v>29</v>
      </c>
      <c r="Q776" s="7" t="e">
        <f t="shared" si="61"/>
        <v>#VALUE!</v>
      </c>
      <c r="R776" s="2" t="s">
        <v>217</v>
      </c>
      <c r="S776" s="2" t="s">
        <v>163</v>
      </c>
      <c r="T776" s="2" t="s">
        <v>29</v>
      </c>
    </row>
    <row r="777" spans="1:20" x14ac:dyDescent="0.3">
      <c r="A777" s="2" t="s">
        <v>215</v>
      </c>
      <c r="B777" s="2" t="s">
        <v>216</v>
      </c>
      <c r="C777" s="2">
        <v>22000000</v>
      </c>
      <c r="D777" s="2">
        <v>2023</v>
      </c>
      <c r="E777" s="2" t="s">
        <v>26</v>
      </c>
      <c r="F777" s="4">
        <v>0</v>
      </c>
      <c r="G777" s="2">
        <v>7</v>
      </c>
      <c r="H777" s="2">
        <f>L777+O777+G777*F777</f>
        <v>169.94399999999999</v>
      </c>
      <c r="I777" s="2">
        <v>28</v>
      </c>
      <c r="J777" s="2">
        <v>0.13300000000000001</v>
      </c>
      <c r="K777" s="2">
        <v>6</v>
      </c>
      <c r="L777" s="2">
        <f>I777*J777*K777</f>
        <v>22.344000000000001</v>
      </c>
      <c r="M777" s="2">
        <v>2</v>
      </c>
      <c r="N777" s="2">
        <v>73.8</v>
      </c>
      <c r="O777" s="2">
        <f>M777*N777</f>
        <v>147.6</v>
      </c>
      <c r="P777" s="2">
        <f>H777/C777*100000</f>
        <v>0.7724727272727272</v>
      </c>
      <c r="Q777" s="7">
        <f t="shared" si="61"/>
        <v>0.76949682431055599</v>
      </c>
      <c r="R777" s="2" t="s">
        <v>194</v>
      </c>
      <c r="S777" s="2" t="s">
        <v>28</v>
      </c>
      <c r="T777" s="2" t="s">
        <v>150</v>
      </c>
    </row>
    <row r="778" spans="1:20" x14ac:dyDescent="0.3">
      <c r="A778" s="2" t="s">
        <v>215</v>
      </c>
      <c r="B778" s="2" t="s">
        <v>216</v>
      </c>
      <c r="C778" s="2">
        <v>22000000</v>
      </c>
      <c r="D778" s="2">
        <v>2023</v>
      </c>
      <c r="E778" s="2" t="s">
        <v>151</v>
      </c>
      <c r="F778" s="4">
        <v>0</v>
      </c>
      <c r="G778" s="2">
        <v>7</v>
      </c>
      <c r="H778" s="2">
        <f>L778+O778+G778*F778</f>
        <v>90.557999999999993</v>
      </c>
      <c r="I778" s="2">
        <v>21</v>
      </c>
      <c r="J778" s="2">
        <v>0.13300000000000001</v>
      </c>
      <c r="K778" s="2">
        <v>6</v>
      </c>
      <c r="L778" s="2">
        <f>I778*J778*K778</f>
        <v>16.758000000000003</v>
      </c>
      <c r="M778" s="2">
        <v>1</v>
      </c>
      <c r="N778" s="2">
        <v>73.8</v>
      </c>
      <c r="O778" s="2">
        <f>M778*N778</f>
        <v>73.8</v>
      </c>
      <c r="P778" s="2">
        <f>H778/C778*100000</f>
        <v>0.41162727272727268</v>
      </c>
      <c r="Q778" s="7">
        <f t="shared" si="61"/>
        <v>0.41078124888870304</v>
      </c>
      <c r="R778" s="2" t="s">
        <v>218</v>
      </c>
      <c r="S778" s="2" t="s">
        <v>28</v>
      </c>
      <c r="T778" s="2" t="s">
        <v>32</v>
      </c>
    </row>
    <row r="779" spans="1:20" x14ac:dyDescent="0.3">
      <c r="A779" s="2" t="s">
        <v>215</v>
      </c>
      <c r="B779" s="2" t="s">
        <v>216</v>
      </c>
      <c r="C779" s="2">
        <v>22000000</v>
      </c>
      <c r="D779" s="2">
        <v>2023</v>
      </c>
      <c r="E779" s="2" t="s">
        <v>33</v>
      </c>
      <c r="F779" s="4" t="s">
        <v>29</v>
      </c>
      <c r="G779" s="2">
        <v>8</v>
      </c>
      <c r="H779" s="2" t="s">
        <v>29</v>
      </c>
      <c r="I779" s="2" t="s">
        <v>29</v>
      </c>
      <c r="J779" s="2">
        <v>0.13300000000000001</v>
      </c>
      <c r="K779" s="2">
        <v>7</v>
      </c>
      <c r="L779" s="2" t="s">
        <v>29</v>
      </c>
      <c r="M779" s="2" t="s">
        <v>29</v>
      </c>
      <c r="N779" s="2">
        <v>73.8</v>
      </c>
      <c r="O779" s="2" t="s">
        <v>29</v>
      </c>
      <c r="P779" s="2" t="s">
        <v>29</v>
      </c>
      <c r="Q779" s="7" t="e">
        <f t="shared" si="61"/>
        <v>#VALUE!</v>
      </c>
      <c r="R779" s="2" t="s">
        <v>219</v>
      </c>
      <c r="S779" s="2" t="s">
        <v>35</v>
      </c>
      <c r="T779" s="2" t="s">
        <v>29</v>
      </c>
    </row>
    <row r="780" spans="1:20" x14ac:dyDescent="0.3">
      <c r="A780" s="2" t="s">
        <v>215</v>
      </c>
      <c r="B780" s="2" t="s">
        <v>216</v>
      </c>
      <c r="C780" s="2">
        <v>22000000</v>
      </c>
      <c r="D780" s="2">
        <v>2023</v>
      </c>
      <c r="E780" s="2" t="s">
        <v>37</v>
      </c>
      <c r="F780" s="4">
        <v>7.1299999999999998E-4</v>
      </c>
      <c r="G780" s="2">
        <v>6</v>
      </c>
      <c r="H780" s="2">
        <f>L780+O780+G780*F780</f>
        <v>5443.2042780000011</v>
      </c>
      <c r="I780" s="2">
        <v>8505</v>
      </c>
      <c r="J780" s="2">
        <v>0.128</v>
      </c>
      <c r="K780" s="2">
        <v>5</v>
      </c>
      <c r="L780" s="2">
        <f>I780*J780*K780</f>
        <v>5443.2000000000007</v>
      </c>
      <c r="M780" s="2">
        <v>0</v>
      </c>
      <c r="N780" s="2">
        <v>73.8</v>
      </c>
      <c r="O780" s="2">
        <f>M780*N780</f>
        <v>0</v>
      </c>
      <c r="P780" s="2">
        <f>H780/C780*100000</f>
        <v>24.741837627272734</v>
      </c>
      <c r="Q780" s="7">
        <f t="shared" si="61"/>
        <v>21.918604884506397</v>
      </c>
      <c r="R780" s="2" t="s">
        <v>220</v>
      </c>
      <c r="S780" s="2" t="s">
        <v>155</v>
      </c>
      <c r="T780" s="2" t="s">
        <v>156</v>
      </c>
    </row>
    <row r="781" spans="1:20" x14ac:dyDescent="0.3">
      <c r="A781" s="2" t="s">
        <v>215</v>
      </c>
      <c r="B781" s="2" t="s">
        <v>216</v>
      </c>
      <c r="C781" s="2">
        <v>22000000</v>
      </c>
      <c r="D781" s="2">
        <v>2023</v>
      </c>
      <c r="E781" s="2" t="s">
        <v>41</v>
      </c>
      <c r="F781" s="4">
        <v>5.0000000000000004E-6</v>
      </c>
      <c r="G781" s="2">
        <v>6</v>
      </c>
      <c r="H781" s="2">
        <f>L781+O781+G781*F781</f>
        <v>3015.3600300000003</v>
      </c>
      <c r="I781" s="2">
        <v>132</v>
      </c>
      <c r="J781" s="2">
        <v>0.12</v>
      </c>
      <c r="K781" s="2">
        <v>4</v>
      </c>
      <c r="L781" s="2">
        <f>I781*J781*K781</f>
        <v>63.36</v>
      </c>
      <c r="M781" s="2">
        <v>40</v>
      </c>
      <c r="N781" s="2">
        <v>73.8</v>
      </c>
      <c r="O781" s="2">
        <f>M781*N781</f>
        <v>2952</v>
      </c>
      <c r="P781" s="2">
        <f>H781/C781*100000</f>
        <v>13.706181954545457</v>
      </c>
      <c r="Q781" s="7">
        <f t="shared" si="61"/>
        <v>12.808367700476907</v>
      </c>
      <c r="R781" s="2" t="s">
        <v>221</v>
      </c>
      <c r="S781" s="2" t="s">
        <v>158</v>
      </c>
      <c r="T781" s="2" t="s">
        <v>159</v>
      </c>
    </row>
    <row r="782" spans="1:20" x14ac:dyDescent="0.3">
      <c r="A782" s="2" t="s">
        <v>215</v>
      </c>
      <c r="B782" s="2" t="s">
        <v>216</v>
      </c>
      <c r="C782" s="2">
        <v>22088000</v>
      </c>
      <c r="D782" s="2">
        <v>2024</v>
      </c>
      <c r="E782" s="2" t="s">
        <v>22</v>
      </c>
      <c r="F782" s="4" t="s">
        <v>29</v>
      </c>
      <c r="G782" s="2">
        <v>9</v>
      </c>
      <c r="H782" s="2" t="s">
        <v>29</v>
      </c>
      <c r="I782" s="2" t="s">
        <v>29</v>
      </c>
      <c r="J782" s="2">
        <v>0.13300000000000001</v>
      </c>
      <c r="K782" s="2">
        <v>8</v>
      </c>
      <c r="L782" s="2" t="s">
        <v>29</v>
      </c>
      <c r="M782" s="2" t="s">
        <v>29</v>
      </c>
      <c r="N782" s="2">
        <v>73.8</v>
      </c>
      <c r="O782" s="2" t="s">
        <v>29</v>
      </c>
      <c r="P782" s="2" t="s">
        <v>29</v>
      </c>
      <c r="Q782" s="7" t="e">
        <f t="shared" si="61"/>
        <v>#VALUE!</v>
      </c>
      <c r="R782" s="2" t="s">
        <v>217</v>
      </c>
      <c r="S782" s="2" t="s">
        <v>163</v>
      </c>
      <c r="T782" s="2" t="s">
        <v>29</v>
      </c>
    </row>
    <row r="783" spans="1:20" x14ac:dyDescent="0.3">
      <c r="A783" s="2" t="s">
        <v>215</v>
      </c>
      <c r="B783" s="2" t="s">
        <v>216</v>
      </c>
      <c r="C783" s="2">
        <v>22088000</v>
      </c>
      <c r="D783" s="2">
        <v>2024</v>
      </c>
      <c r="E783" s="2" t="s">
        <v>26</v>
      </c>
      <c r="F783" s="4">
        <v>0</v>
      </c>
      <c r="G783" s="2">
        <v>7</v>
      </c>
      <c r="H783" s="2">
        <f>L783+O783+G783*F783</f>
        <v>172.33799999999999</v>
      </c>
      <c r="I783" s="2">
        <v>31</v>
      </c>
      <c r="J783" s="2">
        <v>0.13300000000000001</v>
      </c>
      <c r="K783" s="2">
        <v>6</v>
      </c>
      <c r="L783" s="2">
        <f>I783*J783*K783</f>
        <v>24.738</v>
      </c>
      <c r="M783" s="2">
        <v>2</v>
      </c>
      <c r="N783" s="2">
        <v>73.8</v>
      </c>
      <c r="O783" s="2">
        <f>M783*N783</f>
        <v>147.6</v>
      </c>
      <c r="P783" s="2">
        <f>H783/C783*100000</f>
        <v>0.78023361101050337</v>
      </c>
      <c r="Q783" s="7">
        <f t="shared" si="61"/>
        <v>0.77719768946296064</v>
      </c>
      <c r="R783" s="2" t="s">
        <v>194</v>
      </c>
      <c r="S783" s="2" t="s">
        <v>28</v>
      </c>
      <c r="T783" s="2" t="s">
        <v>150</v>
      </c>
    </row>
    <row r="784" spans="1:20" x14ac:dyDescent="0.3">
      <c r="A784" s="2" t="s">
        <v>215</v>
      </c>
      <c r="B784" s="2" t="s">
        <v>216</v>
      </c>
      <c r="C784" s="2">
        <v>22088000</v>
      </c>
      <c r="D784" s="2">
        <v>2024</v>
      </c>
      <c r="E784" s="2" t="s">
        <v>151</v>
      </c>
      <c r="F784" s="4">
        <v>0</v>
      </c>
      <c r="G784" s="2">
        <v>7</v>
      </c>
      <c r="H784" s="2">
        <f>L784+O784+G784*F784</f>
        <v>91.355999999999995</v>
      </c>
      <c r="I784" s="2">
        <v>22</v>
      </c>
      <c r="J784" s="2">
        <v>0.13300000000000001</v>
      </c>
      <c r="K784" s="2">
        <v>6</v>
      </c>
      <c r="L784" s="2">
        <f>I784*J784*K784</f>
        <v>17.556000000000001</v>
      </c>
      <c r="M784" s="2">
        <v>1</v>
      </c>
      <c r="N784" s="2">
        <v>73.8</v>
      </c>
      <c r="O784" s="2">
        <f>M784*N784</f>
        <v>73.8</v>
      </c>
      <c r="P784" s="2">
        <f>H784/C784*100000</f>
        <v>0.41360014487504526</v>
      </c>
      <c r="Q784" s="7">
        <f t="shared" si="61"/>
        <v>0.41274599746657925</v>
      </c>
      <c r="R784" s="2" t="s">
        <v>218</v>
      </c>
      <c r="S784" s="2" t="s">
        <v>28</v>
      </c>
      <c r="T784" s="2" t="s">
        <v>32</v>
      </c>
    </row>
    <row r="785" spans="1:20" x14ac:dyDescent="0.3">
      <c r="A785" s="2" t="s">
        <v>215</v>
      </c>
      <c r="B785" s="2" t="s">
        <v>216</v>
      </c>
      <c r="C785" s="2">
        <v>22088000</v>
      </c>
      <c r="D785" s="2">
        <v>2024</v>
      </c>
      <c r="E785" s="2" t="s">
        <v>33</v>
      </c>
      <c r="F785" s="4" t="s">
        <v>29</v>
      </c>
      <c r="G785" s="2">
        <v>8</v>
      </c>
      <c r="H785" s="2" t="s">
        <v>29</v>
      </c>
      <c r="I785" s="2" t="s">
        <v>29</v>
      </c>
      <c r="J785" s="2">
        <v>0.13300000000000001</v>
      </c>
      <c r="K785" s="2">
        <v>7</v>
      </c>
      <c r="L785" s="2" t="s">
        <v>29</v>
      </c>
      <c r="M785" s="2" t="s">
        <v>29</v>
      </c>
      <c r="N785" s="2">
        <v>73.8</v>
      </c>
      <c r="O785" s="2" t="s">
        <v>29</v>
      </c>
      <c r="P785" s="2" t="s">
        <v>29</v>
      </c>
      <c r="Q785" s="7" t="e">
        <f t="shared" si="61"/>
        <v>#VALUE!</v>
      </c>
      <c r="R785" s="2" t="s">
        <v>219</v>
      </c>
      <c r="S785" s="2" t="s">
        <v>35</v>
      </c>
      <c r="T785" s="2" t="s">
        <v>29</v>
      </c>
    </row>
    <row r="786" spans="1:20" x14ac:dyDescent="0.3">
      <c r="A786" s="2" t="s">
        <v>215</v>
      </c>
      <c r="B786" s="2" t="s">
        <v>216</v>
      </c>
      <c r="C786" s="2">
        <v>22088000</v>
      </c>
      <c r="D786" s="2">
        <v>2024</v>
      </c>
      <c r="E786" s="2" t="s">
        <v>37</v>
      </c>
      <c r="F786" s="4">
        <v>6.8599999999999998E-4</v>
      </c>
      <c r="G786" s="2">
        <v>6</v>
      </c>
      <c r="H786" s="2">
        <f>L786+O786+G786*F786</f>
        <v>4902.4041159999997</v>
      </c>
      <c r="I786" s="2">
        <v>7660</v>
      </c>
      <c r="J786" s="2">
        <v>0.128</v>
      </c>
      <c r="K786" s="2">
        <v>5</v>
      </c>
      <c r="L786" s="2">
        <f>I786*J786*K786</f>
        <v>4902.3999999999996</v>
      </c>
      <c r="M786" s="2">
        <v>0</v>
      </c>
      <c r="N786" s="2">
        <v>73.8</v>
      </c>
      <c r="O786" s="2">
        <f>M786*N786</f>
        <v>0</v>
      </c>
      <c r="P786" s="2">
        <f>H786/C786*100000</f>
        <v>22.19487557044549</v>
      </c>
      <c r="Q786" s="7">
        <f t="shared" si="61"/>
        <v>19.904359227009326</v>
      </c>
      <c r="R786" s="2" t="s">
        <v>220</v>
      </c>
      <c r="S786" s="2" t="s">
        <v>155</v>
      </c>
      <c r="T786" s="2" t="s">
        <v>156</v>
      </c>
    </row>
    <row r="787" spans="1:20" x14ac:dyDescent="0.3">
      <c r="A787" s="2" t="s">
        <v>215</v>
      </c>
      <c r="B787" s="2" t="s">
        <v>216</v>
      </c>
      <c r="C787" s="2">
        <v>22088000</v>
      </c>
      <c r="D787" s="2">
        <v>2024</v>
      </c>
      <c r="E787" s="2" t="s">
        <v>41</v>
      </c>
      <c r="F787" s="4">
        <v>5.0000000000000004E-6</v>
      </c>
      <c r="G787" s="2">
        <v>6</v>
      </c>
      <c r="H787" s="2">
        <f>L787+O787+G787*F787</f>
        <v>3011.5200300000001</v>
      </c>
      <c r="I787" s="2">
        <v>124</v>
      </c>
      <c r="J787" s="2">
        <v>0.12</v>
      </c>
      <c r="K787" s="2">
        <v>4</v>
      </c>
      <c r="L787" s="2">
        <f>I787*J787*K787</f>
        <v>59.519999999999996</v>
      </c>
      <c r="M787" s="2">
        <v>40</v>
      </c>
      <c r="N787" s="2">
        <v>73.8</v>
      </c>
      <c r="O787" s="2">
        <f>M787*N787</f>
        <v>2952</v>
      </c>
      <c r="P787" s="2">
        <f>H787/C787*100000</f>
        <v>13.634190646504891</v>
      </c>
      <c r="Q787" s="7">
        <f t="shared" si="61"/>
        <v>12.745574703844742</v>
      </c>
      <c r="R787" s="2" t="s">
        <v>221</v>
      </c>
      <c r="S787" s="2" t="s">
        <v>158</v>
      </c>
      <c r="T787" s="2" t="s">
        <v>159</v>
      </c>
    </row>
    <row r="788" spans="1:20" x14ac:dyDescent="0.3">
      <c r="A788" s="2" t="s">
        <v>215</v>
      </c>
      <c r="B788" s="2" t="s">
        <v>216</v>
      </c>
      <c r="C788" s="2">
        <v>22176352</v>
      </c>
      <c r="D788" s="2">
        <v>2025</v>
      </c>
      <c r="E788" s="2" t="s">
        <v>22</v>
      </c>
      <c r="F788" s="4" t="s">
        <v>29</v>
      </c>
      <c r="G788" s="2">
        <v>9</v>
      </c>
      <c r="H788" s="2" t="s">
        <v>29</v>
      </c>
      <c r="I788" s="2" t="s">
        <v>29</v>
      </c>
      <c r="J788" s="2">
        <v>0.13300000000000001</v>
      </c>
      <c r="K788" s="2">
        <v>8</v>
      </c>
      <c r="L788" s="2" t="s">
        <v>29</v>
      </c>
      <c r="M788" s="2" t="s">
        <v>29</v>
      </c>
      <c r="N788" s="2">
        <v>73.8</v>
      </c>
      <c r="O788" s="2" t="s">
        <v>29</v>
      </c>
      <c r="P788" s="2" t="s">
        <v>29</v>
      </c>
      <c r="Q788" s="7" t="e">
        <f t="shared" si="61"/>
        <v>#VALUE!</v>
      </c>
      <c r="R788" s="2" t="s">
        <v>217</v>
      </c>
      <c r="S788" s="2" t="s">
        <v>163</v>
      </c>
      <c r="T788" s="2" t="s">
        <v>29</v>
      </c>
    </row>
    <row r="789" spans="1:20" x14ac:dyDescent="0.3">
      <c r="A789" s="2" t="s">
        <v>215</v>
      </c>
      <c r="B789" s="2" t="s">
        <v>216</v>
      </c>
      <c r="C789" s="2">
        <v>22176352</v>
      </c>
      <c r="D789" s="2">
        <v>2025</v>
      </c>
      <c r="E789" s="2" t="s">
        <v>26</v>
      </c>
      <c r="F789" s="4">
        <v>0</v>
      </c>
      <c r="G789" s="2">
        <v>7</v>
      </c>
      <c r="H789" s="2">
        <f>L789+O789+G789*F789</f>
        <v>173.136</v>
      </c>
      <c r="I789" s="2">
        <v>32</v>
      </c>
      <c r="J789" s="2">
        <v>0.13300000000000001</v>
      </c>
      <c r="K789" s="2">
        <v>6</v>
      </c>
      <c r="L789" s="2">
        <f>I789*J789*K789</f>
        <v>25.536000000000001</v>
      </c>
      <c r="M789" s="2">
        <v>2</v>
      </c>
      <c r="N789" s="2">
        <v>73.8</v>
      </c>
      <c r="O789" s="2">
        <f>M789*N789</f>
        <v>147.6</v>
      </c>
      <c r="P789" s="2">
        <f>H789/C789*100000</f>
        <v>0.78072353829881491</v>
      </c>
      <c r="Q789" s="7">
        <f t="shared" si="61"/>
        <v>0.77768380785689928</v>
      </c>
      <c r="R789" s="2" t="s">
        <v>194</v>
      </c>
      <c r="S789" s="2" t="s">
        <v>28</v>
      </c>
      <c r="T789" s="2" t="s">
        <v>150</v>
      </c>
    </row>
    <row r="790" spans="1:20" x14ac:dyDescent="0.3">
      <c r="A790" s="2" t="s">
        <v>215</v>
      </c>
      <c r="B790" s="2" t="s">
        <v>216</v>
      </c>
      <c r="C790" s="2">
        <v>22176352</v>
      </c>
      <c r="D790" s="2">
        <v>2025</v>
      </c>
      <c r="E790" s="2" t="s">
        <v>151</v>
      </c>
      <c r="F790" s="4">
        <v>0</v>
      </c>
      <c r="G790" s="2">
        <v>7</v>
      </c>
      <c r="H790" s="2">
        <f>L790+O790+G790*F790</f>
        <v>88.164000000000001</v>
      </c>
      <c r="I790" s="2">
        <v>18</v>
      </c>
      <c r="J790" s="2">
        <v>0.13300000000000001</v>
      </c>
      <c r="K790" s="2">
        <v>6</v>
      </c>
      <c r="L790" s="2">
        <f>I790*J790*K790</f>
        <v>14.364000000000001</v>
      </c>
      <c r="M790" s="2">
        <v>1</v>
      </c>
      <c r="N790" s="2">
        <v>73.8</v>
      </c>
      <c r="O790" s="2">
        <f>M790*N790</f>
        <v>73.8</v>
      </c>
      <c r="P790" s="2">
        <f>H790/C790*100000</f>
        <v>0.39755862461057612</v>
      </c>
      <c r="Q790" s="7">
        <f t="shared" si="61"/>
        <v>0.3967694065251548</v>
      </c>
      <c r="R790" s="2" t="s">
        <v>218</v>
      </c>
      <c r="S790" s="2" t="s">
        <v>28</v>
      </c>
      <c r="T790" s="2" t="s">
        <v>32</v>
      </c>
    </row>
    <row r="791" spans="1:20" x14ac:dyDescent="0.3">
      <c r="A791" s="2" t="s">
        <v>215</v>
      </c>
      <c r="B791" s="2" t="s">
        <v>216</v>
      </c>
      <c r="C791" s="2">
        <v>22176352</v>
      </c>
      <c r="D791" s="2">
        <v>2025</v>
      </c>
      <c r="E791" s="2" t="s">
        <v>33</v>
      </c>
      <c r="F791" s="4" t="s">
        <v>29</v>
      </c>
      <c r="G791" s="2">
        <v>8</v>
      </c>
      <c r="H791" s="2" t="s">
        <v>29</v>
      </c>
      <c r="I791" s="2" t="s">
        <v>29</v>
      </c>
      <c r="J791" s="2">
        <v>0.13300000000000001</v>
      </c>
      <c r="K791" s="2">
        <v>7</v>
      </c>
      <c r="L791" s="2" t="s">
        <v>29</v>
      </c>
      <c r="M791" s="2" t="s">
        <v>29</v>
      </c>
      <c r="N791" s="2">
        <v>73.8</v>
      </c>
      <c r="O791" s="2" t="s">
        <v>29</v>
      </c>
      <c r="P791" s="2" t="s">
        <v>29</v>
      </c>
      <c r="Q791" s="7" t="e">
        <f t="shared" si="61"/>
        <v>#VALUE!</v>
      </c>
      <c r="R791" s="2" t="s">
        <v>219</v>
      </c>
      <c r="S791" s="2" t="s">
        <v>35</v>
      </c>
      <c r="T791" s="2" t="s">
        <v>29</v>
      </c>
    </row>
    <row r="792" spans="1:20" x14ac:dyDescent="0.3">
      <c r="A792" s="2" t="s">
        <v>215</v>
      </c>
      <c r="B792" s="2" t="s">
        <v>216</v>
      </c>
      <c r="C792" s="2">
        <v>22176352</v>
      </c>
      <c r="D792" s="2">
        <v>2025</v>
      </c>
      <c r="E792" s="2" t="s">
        <v>37</v>
      </c>
      <c r="F792" s="4">
        <v>7.1699999999999997E-4</v>
      </c>
      <c r="G792" s="2">
        <v>6</v>
      </c>
      <c r="H792" s="2">
        <f t="shared" ref="H792:H823" si="62">L792+O792+G792*F792</f>
        <v>4273.2843020000009</v>
      </c>
      <c r="I792" s="2">
        <v>6677</v>
      </c>
      <c r="J792" s="2">
        <v>0.128</v>
      </c>
      <c r="K792" s="2">
        <v>5</v>
      </c>
      <c r="L792" s="2">
        <f t="shared" ref="L792:L823" si="63">I792*J792*K792</f>
        <v>4273.2800000000007</v>
      </c>
      <c r="M792" s="2">
        <v>0</v>
      </c>
      <c r="N792" s="2">
        <v>73.8</v>
      </c>
      <c r="O792" s="2">
        <f t="shared" ref="O792:O823" si="64">M792*N792</f>
        <v>0</v>
      </c>
      <c r="P792" s="2">
        <f t="shared" ref="P792:P823" si="65">H792/C792*100000</f>
        <v>19.269554803242666</v>
      </c>
      <c r="Q792" s="7">
        <f t="shared" si="61"/>
        <v>17.526697248672875</v>
      </c>
      <c r="R792" s="2" t="s">
        <v>220</v>
      </c>
      <c r="S792" s="2" t="s">
        <v>155</v>
      </c>
      <c r="T792" s="2" t="s">
        <v>156</v>
      </c>
    </row>
    <row r="793" spans="1:20" x14ac:dyDescent="0.3">
      <c r="A793" s="2" t="s">
        <v>215</v>
      </c>
      <c r="B793" s="2" t="s">
        <v>216</v>
      </c>
      <c r="C793" s="2">
        <v>22176352</v>
      </c>
      <c r="D793" s="2">
        <v>2025</v>
      </c>
      <c r="E793" s="2" t="s">
        <v>41</v>
      </c>
      <c r="F793" s="4">
        <v>5.0000000000000004E-6</v>
      </c>
      <c r="G793" s="2">
        <v>6</v>
      </c>
      <c r="H793" s="2">
        <f t="shared" si="62"/>
        <v>3010.5600300000001</v>
      </c>
      <c r="I793" s="2">
        <v>122</v>
      </c>
      <c r="J793" s="2">
        <v>0.12</v>
      </c>
      <c r="K793" s="2">
        <v>4</v>
      </c>
      <c r="L793" s="2">
        <f t="shared" si="63"/>
        <v>58.559999999999995</v>
      </c>
      <c r="M793" s="2">
        <v>40</v>
      </c>
      <c r="N793" s="2">
        <v>73.8</v>
      </c>
      <c r="O793" s="2">
        <f t="shared" si="64"/>
        <v>2952</v>
      </c>
      <c r="P793" s="2">
        <f t="shared" si="65"/>
        <v>13.575542226241719</v>
      </c>
      <c r="Q793" s="7">
        <f t="shared" si="61"/>
        <v>12.694386352686426</v>
      </c>
      <c r="R793" s="2" t="s">
        <v>221</v>
      </c>
      <c r="S793" s="2" t="s">
        <v>158</v>
      </c>
      <c r="T793" s="2" t="s">
        <v>159</v>
      </c>
    </row>
    <row r="794" spans="1:20" x14ac:dyDescent="0.3">
      <c r="A794" s="2" t="s">
        <v>226</v>
      </c>
      <c r="B794" s="2" t="s">
        <v>181</v>
      </c>
      <c r="C794" s="2">
        <v>70099832</v>
      </c>
      <c r="D794" s="2">
        <v>2015</v>
      </c>
      <c r="E794" s="2" t="s">
        <v>22</v>
      </c>
      <c r="F794" s="4">
        <v>5.9999999999999997E-7</v>
      </c>
      <c r="G794" s="2">
        <v>9</v>
      </c>
      <c r="H794" s="2">
        <f t="shared" si="62"/>
        <v>3297.8880054000001</v>
      </c>
      <c r="I794" s="2">
        <v>117</v>
      </c>
      <c r="J794" s="2">
        <v>0.13300000000000001</v>
      </c>
      <c r="K794" s="2">
        <v>8</v>
      </c>
      <c r="L794" s="2">
        <f t="shared" si="63"/>
        <v>124.488</v>
      </c>
      <c r="M794" s="2">
        <v>43</v>
      </c>
      <c r="N794" s="2">
        <v>73.8</v>
      </c>
      <c r="O794" s="2">
        <f t="shared" si="64"/>
        <v>3173.4</v>
      </c>
      <c r="P794" s="2">
        <f t="shared" si="65"/>
        <v>4.7045590714111842</v>
      </c>
      <c r="Q794" s="7">
        <f t="shared" si="61"/>
        <v>4.5956098943883532</v>
      </c>
      <c r="R794" s="2" t="s">
        <v>227</v>
      </c>
      <c r="S794" s="2" t="s">
        <v>28</v>
      </c>
      <c r="T794" s="2" t="s">
        <v>163</v>
      </c>
    </row>
    <row r="795" spans="1:20" x14ac:dyDescent="0.3">
      <c r="A795" s="2" t="s">
        <v>226</v>
      </c>
      <c r="B795" s="2" t="s">
        <v>181</v>
      </c>
      <c r="C795" s="2">
        <v>70099832</v>
      </c>
      <c r="D795" s="2">
        <v>2015</v>
      </c>
      <c r="E795" s="2" t="s">
        <v>26</v>
      </c>
      <c r="F795" s="4">
        <v>0</v>
      </c>
      <c r="G795" s="2">
        <v>7</v>
      </c>
      <c r="H795" s="2">
        <f t="shared" si="62"/>
        <v>90.557999999999993</v>
      </c>
      <c r="I795" s="2">
        <v>21</v>
      </c>
      <c r="J795" s="2">
        <v>0.13300000000000001</v>
      </c>
      <c r="K795" s="2">
        <v>6</v>
      </c>
      <c r="L795" s="2">
        <f t="shared" si="63"/>
        <v>16.758000000000003</v>
      </c>
      <c r="M795" s="2">
        <v>1</v>
      </c>
      <c r="N795" s="2">
        <v>73.8</v>
      </c>
      <c r="O795" s="2">
        <f t="shared" si="64"/>
        <v>73.8</v>
      </c>
      <c r="P795" s="2">
        <f t="shared" si="65"/>
        <v>0.1291843324246483</v>
      </c>
      <c r="Q795" s="7">
        <f t="shared" si="61"/>
        <v>0.12910092538607199</v>
      </c>
      <c r="R795" s="2" t="s">
        <v>228</v>
      </c>
      <c r="S795" s="2" t="s">
        <v>28</v>
      </c>
      <c r="T795" s="2" t="s">
        <v>150</v>
      </c>
    </row>
    <row r="796" spans="1:20" x14ac:dyDescent="0.3">
      <c r="A796" s="2" t="s">
        <v>226</v>
      </c>
      <c r="B796" s="2" t="s">
        <v>181</v>
      </c>
      <c r="C796" s="2">
        <v>70099832</v>
      </c>
      <c r="D796" s="2">
        <v>2015</v>
      </c>
      <c r="E796" s="2" t="s">
        <v>151</v>
      </c>
      <c r="F796" s="4">
        <v>1.3E-6</v>
      </c>
      <c r="G796" s="2">
        <v>7</v>
      </c>
      <c r="H796" s="2">
        <f t="shared" si="62"/>
        <v>1186.8000090999999</v>
      </c>
      <c r="I796" s="2">
        <v>100</v>
      </c>
      <c r="J796" s="2">
        <v>0.13300000000000001</v>
      </c>
      <c r="K796" s="2">
        <v>6</v>
      </c>
      <c r="L796" s="2">
        <f t="shared" si="63"/>
        <v>79.800000000000011</v>
      </c>
      <c r="M796" s="2">
        <v>15</v>
      </c>
      <c r="N796" s="2">
        <v>73.8</v>
      </c>
      <c r="O796" s="2">
        <f t="shared" si="64"/>
        <v>1107</v>
      </c>
      <c r="P796" s="2">
        <f t="shared" si="65"/>
        <v>1.6930140561535154</v>
      </c>
      <c r="Q796" s="7">
        <f t="shared" si="61"/>
        <v>1.6787631100257383</v>
      </c>
      <c r="R796" s="2" t="s">
        <v>229</v>
      </c>
      <c r="S796" s="2" t="s">
        <v>28</v>
      </c>
      <c r="T796" s="2" t="s">
        <v>32</v>
      </c>
    </row>
    <row r="797" spans="1:20" x14ac:dyDescent="0.3">
      <c r="A797" s="2" t="s">
        <v>226</v>
      </c>
      <c r="B797" s="2" t="s">
        <v>181</v>
      </c>
      <c r="C797" s="2">
        <v>70099832</v>
      </c>
      <c r="D797" s="2">
        <v>2015</v>
      </c>
      <c r="E797" s="2" t="s">
        <v>33</v>
      </c>
      <c r="F797" s="4">
        <v>7.9999999999999996E-7</v>
      </c>
      <c r="G797" s="2">
        <v>8</v>
      </c>
      <c r="H797" s="2">
        <f t="shared" si="62"/>
        <v>1673.8740063999999</v>
      </c>
      <c r="I797" s="2">
        <v>54</v>
      </c>
      <c r="J797" s="2">
        <v>0.13300000000000001</v>
      </c>
      <c r="K797" s="2">
        <v>7</v>
      </c>
      <c r="L797" s="2">
        <f t="shared" si="63"/>
        <v>50.274000000000001</v>
      </c>
      <c r="M797" s="2">
        <v>22</v>
      </c>
      <c r="N797" s="2">
        <v>73.8</v>
      </c>
      <c r="O797" s="2">
        <f t="shared" si="64"/>
        <v>1623.6</v>
      </c>
      <c r="P797" s="2">
        <f t="shared" si="65"/>
        <v>2.3878431069563759</v>
      </c>
      <c r="Q797" s="7">
        <f t="shared" si="61"/>
        <v>2.3595597017997294</v>
      </c>
      <c r="R797" s="2" t="s">
        <v>230</v>
      </c>
      <c r="S797" s="2" t="s">
        <v>35</v>
      </c>
      <c r="T797" s="2" t="s">
        <v>28</v>
      </c>
    </row>
    <row r="798" spans="1:20" x14ac:dyDescent="0.3">
      <c r="A798" s="2" t="s">
        <v>226</v>
      </c>
      <c r="B798" s="2" t="s">
        <v>181</v>
      </c>
      <c r="C798" s="2">
        <v>70099832</v>
      </c>
      <c r="D798" s="2">
        <v>2015</v>
      </c>
      <c r="E798" s="2" t="s">
        <v>37</v>
      </c>
      <c r="F798" s="4">
        <v>6.0300000000000002E-5</v>
      </c>
      <c r="G798" s="2">
        <v>6</v>
      </c>
      <c r="H798" s="2">
        <f t="shared" si="62"/>
        <v>2757.1203618</v>
      </c>
      <c r="I798" s="2">
        <v>4308</v>
      </c>
      <c r="J798" s="2">
        <v>0.128</v>
      </c>
      <c r="K798" s="2">
        <v>5</v>
      </c>
      <c r="L798" s="2">
        <f t="shared" si="63"/>
        <v>2757.12</v>
      </c>
      <c r="M798" s="2">
        <v>0</v>
      </c>
      <c r="N798" s="2">
        <v>73.8</v>
      </c>
      <c r="O798" s="2">
        <f t="shared" si="64"/>
        <v>0</v>
      </c>
      <c r="P798" s="2">
        <f t="shared" si="65"/>
        <v>3.933134050592304</v>
      </c>
      <c r="Q798" s="7">
        <f t="shared" si="61"/>
        <v>3.8567905032367178</v>
      </c>
      <c r="R798" s="2" t="s">
        <v>231</v>
      </c>
      <c r="S798" s="2" t="s">
        <v>155</v>
      </c>
      <c r="T798" s="2" t="s">
        <v>156</v>
      </c>
    </row>
    <row r="799" spans="1:20" x14ac:dyDescent="0.3">
      <c r="A799" s="2" t="s">
        <v>226</v>
      </c>
      <c r="B799" s="2" t="s">
        <v>181</v>
      </c>
      <c r="C799" s="2">
        <v>70099832</v>
      </c>
      <c r="D799" s="2">
        <v>2015</v>
      </c>
      <c r="E799" s="2" t="s">
        <v>41</v>
      </c>
      <c r="F799" s="4">
        <v>1.9999999999999999E-6</v>
      </c>
      <c r="G799" s="2">
        <v>6</v>
      </c>
      <c r="H799" s="2">
        <f t="shared" si="62"/>
        <v>4130.5200120000009</v>
      </c>
      <c r="I799" s="2">
        <v>149</v>
      </c>
      <c r="J799" s="2">
        <v>0.12</v>
      </c>
      <c r="K799" s="2">
        <v>4</v>
      </c>
      <c r="L799" s="2">
        <f t="shared" si="63"/>
        <v>71.52</v>
      </c>
      <c r="M799" s="2">
        <v>55</v>
      </c>
      <c r="N799" s="2">
        <v>73.8</v>
      </c>
      <c r="O799" s="2">
        <f t="shared" si="64"/>
        <v>4059</v>
      </c>
      <c r="P799" s="2">
        <f t="shared" si="65"/>
        <v>5.8923393882028146</v>
      </c>
      <c r="Q799" s="7">
        <f t="shared" si="61"/>
        <v>5.7221010970722634</v>
      </c>
      <c r="R799" s="2" t="s">
        <v>232</v>
      </c>
      <c r="S799" s="2" t="s">
        <v>158</v>
      </c>
      <c r="T799" s="2" t="s">
        <v>159</v>
      </c>
    </row>
    <row r="800" spans="1:20" x14ac:dyDescent="0.3">
      <c r="A800" s="2" t="s">
        <v>226</v>
      </c>
      <c r="B800" s="2" t="s">
        <v>181</v>
      </c>
      <c r="C800" s="2">
        <v>70310132</v>
      </c>
      <c r="D800" s="2">
        <v>2016</v>
      </c>
      <c r="E800" s="2" t="s">
        <v>22</v>
      </c>
      <c r="F800" s="4">
        <v>6.9999999999999997E-7</v>
      </c>
      <c r="G800" s="2">
        <v>9</v>
      </c>
      <c r="H800" s="2">
        <f t="shared" si="62"/>
        <v>3862.3680063000002</v>
      </c>
      <c r="I800" s="2">
        <v>162</v>
      </c>
      <c r="J800" s="2">
        <v>0.13300000000000001</v>
      </c>
      <c r="K800" s="2">
        <v>8</v>
      </c>
      <c r="L800" s="2">
        <f t="shared" si="63"/>
        <v>172.36799999999999</v>
      </c>
      <c r="M800" s="2">
        <v>50</v>
      </c>
      <c r="N800" s="2">
        <v>73.8</v>
      </c>
      <c r="O800" s="2">
        <f t="shared" si="64"/>
        <v>3690</v>
      </c>
      <c r="P800" s="2">
        <f t="shared" si="65"/>
        <v>5.4933306145691772</v>
      </c>
      <c r="Q800" s="7">
        <f t="shared" si="61"/>
        <v>5.3451725198890632</v>
      </c>
      <c r="R800" s="2" t="s">
        <v>227</v>
      </c>
      <c r="S800" s="2" t="s">
        <v>28</v>
      </c>
      <c r="T800" s="2" t="s">
        <v>163</v>
      </c>
    </row>
    <row r="801" spans="1:20" x14ac:dyDescent="0.3">
      <c r="A801" s="2" t="s">
        <v>226</v>
      </c>
      <c r="B801" s="2" t="s">
        <v>181</v>
      </c>
      <c r="C801" s="2">
        <v>70310132</v>
      </c>
      <c r="D801" s="2">
        <v>2016</v>
      </c>
      <c r="E801" s="2" t="s">
        <v>26</v>
      </c>
      <c r="F801" s="4">
        <v>0</v>
      </c>
      <c r="G801" s="2">
        <v>7</v>
      </c>
      <c r="H801" s="2">
        <f t="shared" si="62"/>
        <v>91.355999999999995</v>
      </c>
      <c r="I801" s="2">
        <v>22</v>
      </c>
      <c r="J801" s="2">
        <v>0.13300000000000001</v>
      </c>
      <c r="K801" s="2">
        <v>6</v>
      </c>
      <c r="L801" s="2">
        <f t="shared" si="63"/>
        <v>17.556000000000001</v>
      </c>
      <c r="M801" s="2">
        <v>1</v>
      </c>
      <c r="N801" s="2">
        <v>73.8</v>
      </c>
      <c r="O801" s="2">
        <f t="shared" si="64"/>
        <v>73.8</v>
      </c>
      <c r="P801" s="2">
        <f t="shared" si="65"/>
        <v>0.12993290924272477</v>
      </c>
      <c r="Q801" s="7">
        <f t="shared" si="61"/>
        <v>0.12984853298633192</v>
      </c>
      <c r="R801" s="2" t="s">
        <v>228</v>
      </c>
      <c r="S801" s="2" t="s">
        <v>28</v>
      </c>
      <c r="T801" s="2" t="s">
        <v>150</v>
      </c>
    </row>
    <row r="802" spans="1:20" x14ac:dyDescent="0.3">
      <c r="A802" s="2" t="s">
        <v>226</v>
      </c>
      <c r="B802" s="2" t="s">
        <v>181</v>
      </c>
      <c r="C802" s="2">
        <v>70310132</v>
      </c>
      <c r="D802" s="2">
        <v>2016</v>
      </c>
      <c r="E802" s="2" t="s">
        <v>151</v>
      </c>
      <c r="F802" s="4">
        <v>1.1999999999999999E-6</v>
      </c>
      <c r="G802" s="2">
        <v>7</v>
      </c>
      <c r="H802" s="2">
        <f t="shared" si="62"/>
        <v>1261.3980084</v>
      </c>
      <c r="I802" s="2">
        <v>101</v>
      </c>
      <c r="J802" s="2">
        <v>0.13300000000000001</v>
      </c>
      <c r="K802" s="2">
        <v>6</v>
      </c>
      <c r="L802" s="2">
        <f t="shared" si="63"/>
        <v>80.597999999999999</v>
      </c>
      <c r="M802" s="2">
        <v>16</v>
      </c>
      <c r="N802" s="2">
        <v>73.8</v>
      </c>
      <c r="O802" s="2">
        <f t="shared" si="64"/>
        <v>1180.8</v>
      </c>
      <c r="P802" s="2">
        <f t="shared" si="65"/>
        <v>1.7940486989840951</v>
      </c>
      <c r="Q802" s="7">
        <f t="shared" si="61"/>
        <v>1.7780514542860004</v>
      </c>
      <c r="R802" s="2" t="s">
        <v>229</v>
      </c>
      <c r="S802" s="2" t="s">
        <v>28</v>
      </c>
      <c r="T802" s="2" t="s">
        <v>32</v>
      </c>
    </row>
    <row r="803" spans="1:20" x14ac:dyDescent="0.3">
      <c r="A803" s="2" t="s">
        <v>226</v>
      </c>
      <c r="B803" s="2" t="s">
        <v>181</v>
      </c>
      <c r="C803" s="2">
        <v>70310132</v>
      </c>
      <c r="D803" s="2">
        <v>2016</v>
      </c>
      <c r="E803" s="2" t="s">
        <v>33</v>
      </c>
      <c r="F803" s="4">
        <v>8.9999999999999996E-7</v>
      </c>
      <c r="G803" s="2">
        <v>8</v>
      </c>
      <c r="H803" s="2">
        <f t="shared" si="62"/>
        <v>2041.9430072</v>
      </c>
      <c r="I803" s="2">
        <v>53</v>
      </c>
      <c r="J803" s="2">
        <v>0.13300000000000001</v>
      </c>
      <c r="K803" s="2">
        <v>7</v>
      </c>
      <c r="L803" s="2">
        <f t="shared" si="63"/>
        <v>49.343000000000004</v>
      </c>
      <c r="M803" s="2">
        <v>27</v>
      </c>
      <c r="N803" s="2">
        <v>73.8</v>
      </c>
      <c r="O803" s="2">
        <f t="shared" si="64"/>
        <v>1992.6</v>
      </c>
      <c r="P803" s="2">
        <f t="shared" si="65"/>
        <v>2.904194529459851</v>
      </c>
      <c r="Q803" s="7">
        <f t="shared" si="61"/>
        <v>2.862428102862824</v>
      </c>
      <c r="R803" s="2" t="s">
        <v>230</v>
      </c>
      <c r="S803" s="2" t="s">
        <v>35</v>
      </c>
      <c r="T803" s="2" t="s">
        <v>28</v>
      </c>
    </row>
    <row r="804" spans="1:20" x14ac:dyDescent="0.3">
      <c r="A804" s="2" t="s">
        <v>226</v>
      </c>
      <c r="B804" s="2" t="s">
        <v>181</v>
      </c>
      <c r="C804" s="2">
        <v>70310132</v>
      </c>
      <c r="D804" s="2">
        <v>2016</v>
      </c>
      <c r="E804" s="2" t="s">
        <v>37</v>
      </c>
      <c r="F804" s="4">
        <v>7.0400000000000004E-5</v>
      </c>
      <c r="G804" s="2">
        <v>6</v>
      </c>
      <c r="H804" s="2">
        <f t="shared" si="62"/>
        <v>2984.9604224</v>
      </c>
      <c r="I804" s="2">
        <v>4664</v>
      </c>
      <c r="J804" s="2">
        <v>0.128</v>
      </c>
      <c r="K804" s="2">
        <v>5</v>
      </c>
      <c r="L804" s="2">
        <f t="shared" si="63"/>
        <v>2984.96</v>
      </c>
      <c r="M804" s="2">
        <v>0</v>
      </c>
      <c r="N804" s="2">
        <v>73.8</v>
      </c>
      <c r="O804" s="2">
        <f t="shared" si="64"/>
        <v>0</v>
      </c>
      <c r="P804" s="2">
        <f t="shared" si="65"/>
        <v>4.2454200233900856</v>
      </c>
      <c r="Q804" s="7">
        <f t="shared" si="61"/>
        <v>4.156563941471636</v>
      </c>
      <c r="R804" s="2" t="s">
        <v>231</v>
      </c>
      <c r="S804" s="2" t="s">
        <v>155</v>
      </c>
      <c r="T804" s="2" t="s">
        <v>156</v>
      </c>
    </row>
    <row r="805" spans="1:20" x14ac:dyDescent="0.3">
      <c r="A805" s="2" t="s">
        <v>226</v>
      </c>
      <c r="B805" s="2" t="s">
        <v>181</v>
      </c>
      <c r="C805" s="2">
        <v>70310132</v>
      </c>
      <c r="D805" s="2">
        <v>2016</v>
      </c>
      <c r="E805" s="2" t="s">
        <v>41</v>
      </c>
      <c r="F805" s="4">
        <v>1.9999999999999999E-6</v>
      </c>
      <c r="G805" s="2">
        <v>6</v>
      </c>
      <c r="H805" s="2">
        <f t="shared" si="62"/>
        <v>4131.9600120000005</v>
      </c>
      <c r="I805" s="2">
        <v>152</v>
      </c>
      <c r="J805" s="2">
        <v>0.12</v>
      </c>
      <c r="K805" s="2">
        <v>4</v>
      </c>
      <c r="L805" s="2">
        <f t="shared" si="63"/>
        <v>72.959999999999994</v>
      </c>
      <c r="M805" s="2">
        <v>55</v>
      </c>
      <c r="N805" s="2">
        <v>73.8</v>
      </c>
      <c r="O805" s="2">
        <f t="shared" si="64"/>
        <v>4059</v>
      </c>
      <c r="P805" s="2">
        <f t="shared" si="65"/>
        <v>5.8767632693393335</v>
      </c>
      <c r="Q805" s="7">
        <f t="shared" si="61"/>
        <v>5.7074151157538893</v>
      </c>
      <c r="R805" s="2" t="s">
        <v>232</v>
      </c>
      <c r="S805" s="2" t="s">
        <v>158</v>
      </c>
      <c r="T805" s="2" t="s">
        <v>159</v>
      </c>
    </row>
    <row r="806" spans="1:20" x14ac:dyDescent="0.3">
      <c r="A806" s="2" t="s">
        <v>226</v>
      </c>
      <c r="B806" s="2" t="s">
        <v>181</v>
      </c>
      <c r="C806" s="2">
        <v>70521062</v>
      </c>
      <c r="D806" s="2">
        <v>2017</v>
      </c>
      <c r="E806" s="2" t="s">
        <v>22</v>
      </c>
      <c r="F806" s="4">
        <v>6.9999999999999997E-7</v>
      </c>
      <c r="G806" s="2">
        <v>9</v>
      </c>
      <c r="H806" s="2">
        <f t="shared" si="62"/>
        <v>3545.8880063000001</v>
      </c>
      <c r="I806" s="2">
        <v>142</v>
      </c>
      <c r="J806" s="2">
        <v>0.13300000000000001</v>
      </c>
      <c r="K806" s="2">
        <v>8</v>
      </c>
      <c r="L806" s="2">
        <f t="shared" si="63"/>
        <v>151.08800000000002</v>
      </c>
      <c r="M806" s="2">
        <v>46</v>
      </c>
      <c r="N806" s="2">
        <v>73.8</v>
      </c>
      <c r="O806" s="2">
        <f t="shared" si="64"/>
        <v>3394.7999999999997</v>
      </c>
      <c r="P806" s="2">
        <f t="shared" si="65"/>
        <v>5.0281262161083164</v>
      </c>
      <c r="Q806" s="7">
        <f t="shared" si="61"/>
        <v>4.9038082721313714</v>
      </c>
      <c r="R806" s="2" t="s">
        <v>227</v>
      </c>
      <c r="S806" s="2" t="s">
        <v>28</v>
      </c>
      <c r="T806" s="2" t="s">
        <v>163</v>
      </c>
    </row>
    <row r="807" spans="1:20" x14ac:dyDescent="0.3">
      <c r="A807" s="2" t="s">
        <v>226</v>
      </c>
      <c r="B807" s="2" t="s">
        <v>181</v>
      </c>
      <c r="C807" s="2">
        <v>70521062</v>
      </c>
      <c r="D807" s="2">
        <v>2017</v>
      </c>
      <c r="E807" s="2" t="s">
        <v>26</v>
      </c>
      <c r="F807" s="4">
        <v>0</v>
      </c>
      <c r="G807" s="2">
        <v>7</v>
      </c>
      <c r="H807" s="2">
        <f t="shared" si="62"/>
        <v>88.164000000000001</v>
      </c>
      <c r="I807" s="2">
        <v>18</v>
      </c>
      <c r="J807" s="2">
        <v>0.13300000000000001</v>
      </c>
      <c r="K807" s="2">
        <v>6</v>
      </c>
      <c r="L807" s="2">
        <f t="shared" si="63"/>
        <v>14.364000000000001</v>
      </c>
      <c r="M807" s="2">
        <v>1</v>
      </c>
      <c r="N807" s="2">
        <v>73.8</v>
      </c>
      <c r="O807" s="2">
        <f t="shared" si="64"/>
        <v>73.8</v>
      </c>
      <c r="P807" s="2">
        <f t="shared" si="65"/>
        <v>0.12501796980879273</v>
      </c>
      <c r="Q807" s="7">
        <f t="shared" si="61"/>
        <v>0.1249398549008629</v>
      </c>
      <c r="R807" s="2" t="s">
        <v>228</v>
      </c>
      <c r="S807" s="2" t="s">
        <v>28</v>
      </c>
      <c r="T807" s="2" t="s">
        <v>150</v>
      </c>
    </row>
    <row r="808" spans="1:20" x14ac:dyDescent="0.3">
      <c r="A808" s="2" t="s">
        <v>226</v>
      </c>
      <c r="B808" s="2" t="s">
        <v>181</v>
      </c>
      <c r="C808" s="2">
        <v>70521062</v>
      </c>
      <c r="D808" s="2">
        <v>2017</v>
      </c>
      <c r="E808" s="2" t="s">
        <v>151</v>
      </c>
      <c r="F808" s="4">
        <v>1.3E-6</v>
      </c>
      <c r="G808" s="2">
        <v>7</v>
      </c>
      <c r="H808" s="2">
        <f t="shared" si="62"/>
        <v>1102.6260090999999</v>
      </c>
      <c r="I808" s="2">
        <v>87</v>
      </c>
      <c r="J808" s="2">
        <v>0.13300000000000001</v>
      </c>
      <c r="K808" s="2">
        <v>6</v>
      </c>
      <c r="L808" s="2">
        <f t="shared" si="63"/>
        <v>69.426000000000016</v>
      </c>
      <c r="M808" s="2">
        <v>14</v>
      </c>
      <c r="N808" s="2">
        <v>73.8</v>
      </c>
      <c r="O808" s="2">
        <f t="shared" si="64"/>
        <v>1033.2</v>
      </c>
      <c r="P808" s="2">
        <f t="shared" si="65"/>
        <v>1.5635414127767955</v>
      </c>
      <c r="Q808" s="7">
        <f t="shared" si="61"/>
        <v>1.551381561288756</v>
      </c>
      <c r="R808" s="2" t="s">
        <v>229</v>
      </c>
      <c r="S808" s="2" t="s">
        <v>28</v>
      </c>
      <c r="T808" s="2" t="s">
        <v>32</v>
      </c>
    </row>
    <row r="809" spans="1:20" x14ac:dyDescent="0.3">
      <c r="A809" s="2" t="s">
        <v>226</v>
      </c>
      <c r="B809" s="2" t="s">
        <v>181</v>
      </c>
      <c r="C809" s="2">
        <v>70521062</v>
      </c>
      <c r="D809" s="2">
        <v>2017</v>
      </c>
      <c r="E809" s="2" t="s">
        <v>33</v>
      </c>
      <c r="F809" s="4">
        <v>8.9999999999999996E-7</v>
      </c>
      <c r="G809" s="2">
        <v>8</v>
      </c>
      <c r="H809" s="2">
        <f t="shared" si="62"/>
        <v>1831.7150071999999</v>
      </c>
      <c r="I809" s="2">
        <v>65</v>
      </c>
      <c r="J809" s="2">
        <v>0.13300000000000001</v>
      </c>
      <c r="K809" s="2">
        <v>7</v>
      </c>
      <c r="L809" s="2">
        <f t="shared" si="63"/>
        <v>60.515000000000001</v>
      </c>
      <c r="M809" s="2">
        <v>24</v>
      </c>
      <c r="N809" s="2">
        <v>73.8</v>
      </c>
      <c r="O809" s="2">
        <f t="shared" si="64"/>
        <v>1771.1999999999998</v>
      </c>
      <c r="P809" s="2">
        <f t="shared" si="65"/>
        <v>2.5974013369225775</v>
      </c>
      <c r="Q809" s="7">
        <f t="shared" si="61"/>
        <v>2.5639590376037136</v>
      </c>
      <c r="R809" s="2" t="s">
        <v>230</v>
      </c>
      <c r="S809" s="2" t="s">
        <v>35</v>
      </c>
      <c r="T809" s="2" t="s">
        <v>28</v>
      </c>
    </row>
    <row r="810" spans="1:20" x14ac:dyDescent="0.3">
      <c r="A810" s="2" t="s">
        <v>226</v>
      </c>
      <c r="B810" s="2" t="s">
        <v>181</v>
      </c>
      <c r="C810" s="2">
        <v>70521062</v>
      </c>
      <c r="D810" s="2">
        <v>2017</v>
      </c>
      <c r="E810" s="2" t="s">
        <v>37</v>
      </c>
      <c r="F810" s="4">
        <v>7.0599999999999995E-5</v>
      </c>
      <c r="G810" s="2">
        <v>6</v>
      </c>
      <c r="H810" s="2">
        <f t="shared" si="62"/>
        <v>2733.4404236</v>
      </c>
      <c r="I810" s="2">
        <v>4271</v>
      </c>
      <c r="J810" s="2">
        <v>0.128</v>
      </c>
      <c r="K810" s="2">
        <v>5</v>
      </c>
      <c r="L810" s="2">
        <f t="shared" si="63"/>
        <v>2733.44</v>
      </c>
      <c r="M810" s="2">
        <v>0</v>
      </c>
      <c r="N810" s="2">
        <v>73.8</v>
      </c>
      <c r="O810" s="2">
        <f t="shared" si="64"/>
        <v>0</v>
      </c>
      <c r="P810" s="2">
        <f t="shared" si="65"/>
        <v>3.8760624784691982</v>
      </c>
      <c r="Q810" s="7">
        <f t="shared" si="61"/>
        <v>3.801904401396472</v>
      </c>
      <c r="R810" s="2" t="s">
        <v>231</v>
      </c>
      <c r="S810" s="2" t="s">
        <v>155</v>
      </c>
      <c r="T810" s="2" t="s">
        <v>156</v>
      </c>
    </row>
    <row r="811" spans="1:20" x14ac:dyDescent="0.3">
      <c r="A811" s="2" t="s">
        <v>226</v>
      </c>
      <c r="B811" s="2" t="s">
        <v>181</v>
      </c>
      <c r="C811" s="2">
        <v>70521062</v>
      </c>
      <c r="D811" s="2">
        <v>2017</v>
      </c>
      <c r="E811" s="2" t="s">
        <v>41</v>
      </c>
      <c r="F811" s="4">
        <v>1.9999999999999999E-6</v>
      </c>
      <c r="G811" s="2">
        <v>6</v>
      </c>
      <c r="H811" s="2">
        <f t="shared" si="62"/>
        <v>4143.9600120000005</v>
      </c>
      <c r="I811" s="2">
        <v>177</v>
      </c>
      <c r="J811" s="2">
        <v>0.12</v>
      </c>
      <c r="K811" s="2">
        <v>4</v>
      </c>
      <c r="L811" s="2">
        <f t="shared" si="63"/>
        <v>84.96</v>
      </c>
      <c r="M811" s="2">
        <v>55</v>
      </c>
      <c r="N811" s="2">
        <v>73.8</v>
      </c>
      <c r="O811" s="2">
        <f t="shared" si="64"/>
        <v>4059</v>
      </c>
      <c r="P811" s="2">
        <f t="shared" si="65"/>
        <v>5.8762019380819881</v>
      </c>
      <c r="Q811" s="7">
        <f t="shared" si="61"/>
        <v>5.7068858205160282</v>
      </c>
      <c r="R811" s="2" t="s">
        <v>232</v>
      </c>
      <c r="S811" s="2" t="s">
        <v>158</v>
      </c>
      <c r="T811" s="2" t="s">
        <v>159</v>
      </c>
    </row>
    <row r="812" spans="1:20" x14ac:dyDescent="0.3">
      <c r="A812" s="2" t="s">
        <v>226</v>
      </c>
      <c r="B812" s="2" t="s">
        <v>181</v>
      </c>
      <c r="C812" s="2">
        <v>70732626</v>
      </c>
      <c r="D812" s="2">
        <v>2018</v>
      </c>
      <c r="E812" s="2" t="s">
        <v>22</v>
      </c>
      <c r="F812" s="4">
        <v>6.9999999999999997E-7</v>
      </c>
      <c r="G812" s="2">
        <v>9</v>
      </c>
      <c r="H812" s="2">
        <f t="shared" si="62"/>
        <v>3540.5680063</v>
      </c>
      <c r="I812" s="2">
        <v>137</v>
      </c>
      <c r="J812" s="2">
        <v>0.13300000000000001</v>
      </c>
      <c r="K812" s="2">
        <v>8</v>
      </c>
      <c r="L812" s="2">
        <f t="shared" si="63"/>
        <v>145.768</v>
      </c>
      <c r="M812" s="2">
        <v>46</v>
      </c>
      <c r="N812" s="2">
        <v>73.8</v>
      </c>
      <c r="O812" s="2">
        <f t="shared" si="64"/>
        <v>3394.7999999999997</v>
      </c>
      <c r="P812" s="2">
        <f t="shared" si="65"/>
        <v>5.0055656159294859</v>
      </c>
      <c r="Q812" s="7">
        <f t="shared" si="61"/>
        <v>4.882351580242128</v>
      </c>
      <c r="R812" s="2" t="s">
        <v>227</v>
      </c>
      <c r="S812" s="2" t="s">
        <v>28</v>
      </c>
      <c r="T812" s="2" t="s">
        <v>163</v>
      </c>
    </row>
    <row r="813" spans="1:20" x14ac:dyDescent="0.3">
      <c r="A813" s="2" t="s">
        <v>226</v>
      </c>
      <c r="B813" s="2" t="s">
        <v>181</v>
      </c>
      <c r="C813" s="2">
        <v>70732626</v>
      </c>
      <c r="D813" s="2">
        <v>2018</v>
      </c>
      <c r="E813" s="2" t="s">
        <v>26</v>
      </c>
      <c r="F813" s="4">
        <v>0</v>
      </c>
      <c r="G813" s="2">
        <v>7</v>
      </c>
      <c r="H813" s="2">
        <f t="shared" si="62"/>
        <v>88.962000000000003</v>
      </c>
      <c r="I813" s="2">
        <v>19</v>
      </c>
      <c r="J813" s="2">
        <v>0.13300000000000001</v>
      </c>
      <c r="K813" s="2">
        <v>6</v>
      </c>
      <c r="L813" s="2">
        <f t="shared" si="63"/>
        <v>15.162000000000001</v>
      </c>
      <c r="M813" s="2">
        <v>1</v>
      </c>
      <c r="N813" s="2">
        <v>73.8</v>
      </c>
      <c r="O813" s="2">
        <f t="shared" si="64"/>
        <v>73.8</v>
      </c>
      <c r="P813" s="2">
        <f t="shared" si="65"/>
        <v>0.12577222850456593</v>
      </c>
      <c r="Q813" s="7">
        <f t="shared" si="61"/>
        <v>0.12569316838595412</v>
      </c>
      <c r="R813" s="2" t="s">
        <v>228</v>
      </c>
      <c r="S813" s="2" t="s">
        <v>28</v>
      </c>
      <c r="T813" s="2" t="s">
        <v>150</v>
      </c>
    </row>
    <row r="814" spans="1:20" x14ac:dyDescent="0.3">
      <c r="A814" s="2" t="s">
        <v>226</v>
      </c>
      <c r="B814" s="2" t="s">
        <v>181</v>
      </c>
      <c r="C814" s="2">
        <v>70732626</v>
      </c>
      <c r="D814" s="2">
        <v>2018</v>
      </c>
      <c r="E814" s="2" t="s">
        <v>151</v>
      </c>
      <c r="F814" s="4">
        <v>1.3E-6</v>
      </c>
      <c r="G814" s="2">
        <v>7</v>
      </c>
      <c r="H814" s="2">
        <f t="shared" si="62"/>
        <v>1186.8000090999999</v>
      </c>
      <c r="I814" s="2">
        <v>100</v>
      </c>
      <c r="J814" s="2">
        <v>0.13300000000000001</v>
      </c>
      <c r="K814" s="2">
        <v>6</v>
      </c>
      <c r="L814" s="2">
        <f t="shared" si="63"/>
        <v>79.800000000000011</v>
      </c>
      <c r="M814" s="2">
        <v>15</v>
      </c>
      <c r="N814" s="2">
        <v>73.8</v>
      </c>
      <c r="O814" s="2">
        <f t="shared" si="64"/>
        <v>1107</v>
      </c>
      <c r="P814" s="2">
        <f t="shared" si="65"/>
        <v>1.6778678754271048</v>
      </c>
      <c r="Q814" s="7">
        <f t="shared" si="61"/>
        <v>1.6638700699590281</v>
      </c>
      <c r="R814" s="2" t="s">
        <v>229</v>
      </c>
      <c r="S814" s="2" t="s">
        <v>28</v>
      </c>
      <c r="T814" s="2" t="s">
        <v>32</v>
      </c>
    </row>
    <row r="815" spans="1:20" x14ac:dyDescent="0.3">
      <c r="A815" s="2" t="s">
        <v>226</v>
      </c>
      <c r="B815" s="2" t="s">
        <v>181</v>
      </c>
      <c r="C815" s="2">
        <v>70732626</v>
      </c>
      <c r="D815" s="2">
        <v>2018</v>
      </c>
      <c r="E815" s="2" t="s">
        <v>33</v>
      </c>
      <c r="F815" s="4">
        <v>8.9999999999999996E-7</v>
      </c>
      <c r="G815" s="2">
        <v>8</v>
      </c>
      <c r="H815" s="2">
        <f t="shared" si="62"/>
        <v>1981.1770071999999</v>
      </c>
      <c r="I815" s="2">
        <v>67</v>
      </c>
      <c r="J815" s="2">
        <v>0.13300000000000001</v>
      </c>
      <c r="K815" s="2">
        <v>7</v>
      </c>
      <c r="L815" s="2">
        <f t="shared" si="63"/>
        <v>62.37700000000001</v>
      </c>
      <c r="M815" s="2">
        <v>26</v>
      </c>
      <c r="N815" s="2">
        <v>73.8</v>
      </c>
      <c r="O815" s="2">
        <f t="shared" si="64"/>
        <v>1918.8</v>
      </c>
      <c r="P815" s="2">
        <f t="shared" si="65"/>
        <v>2.8009380101341068</v>
      </c>
      <c r="Q815" s="7">
        <f t="shared" si="61"/>
        <v>2.7620754257398294</v>
      </c>
      <c r="R815" s="2" t="s">
        <v>230</v>
      </c>
      <c r="S815" s="2" t="s">
        <v>35</v>
      </c>
      <c r="T815" s="2" t="s">
        <v>28</v>
      </c>
    </row>
    <row r="816" spans="1:20" x14ac:dyDescent="0.3">
      <c r="A816" s="2" t="s">
        <v>226</v>
      </c>
      <c r="B816" s="2" t="s">
        <v>181</v>
      </c>
      <c r="C816" s="2">
        <v>70732626</v>
      </c>
      <c r="D816" s="2">
        <v>2018</v>
      </c>
      <c r="E816" s="2" t="s">
        <v>37</v>
      </c>
      <c r="F816" s="4">
        <v>5.8900000000000002E-5</v>
      </c>
      <c r="G816" s="2">
        <v>6</v>
      </c>
      <c r="H816" s="2">
        <f t="shared" si="62"/>
        <v>2819.8403533999999</v>
      </c>
      <c r="I816" s="2">
        <v>4406</v>
      </c>
      <c r="J816" s="2">
        <v>0.128</v>
      </c>
      <c r="K816" s="2">
        <v>5</v>
      </c>
      <c r="L816" s="2">
        <f t="shared" si="63"/>
        <v>2819.8399999999997</v>
      </c>
      <c r="M816" s="2">
        <v>0</v>
      </c>
      <c r="N816" s="2">
        <v>73.8</v>
      </c>
      <c r="O816" s="2">
        <f t="shared" si="64"/>
        <v>0</v>
      </c>
      <c r="P816" s="2">
        <f t="shared" si="65"/>
        <v>3.9866190651538935</v>
      </c>
      <c r="Q816" s="7">
        <f t="shared" si="61"/>
        <v>3.9081989636992387</v>
      </c>
      <c r="R816" s="2" t="s">
        <v>231</v>
      </c>
      <c r="S816" s="2" t="s">
        <v>155</v>
      </c>
      <c r="T816" s="2" t="s">
        <v>156</v>
      </c>
    </row>
    <row r="817" spans="1:20" x14ac:dyDescent="0.3">
      <c r="A817" s="2" t="s">
        <v>226</v>
      </c>
      <c r="B817" s="2" t="s">
        <v>181</v>
      </c>
      <c r="C817" s="2">
        <v>70732626</v>
      </c>
      <c r="D817" s="2">
        <v>2018</v>
      </c>
      <c r="E817" s="2" t="s">
        <v>41</v>
      </c>
      <c r="F817" s="4">
        <v>1.9999999999999999E-6</v>
      </c>
      <c r="G817" s="2">
        <v>6</v>
      </c>
      <c r="H817" s="2">
        <f t="shared" si="62"/>
        <v>4135.8000120000006</v>
      </c>
      <c r="I817" s="2">
        <v>160</v>
      </c>
      <c r="J817" s="2">
        <v>0.12</v>
      </c>
      <c r="K817" s="2">
        <v>4</v>
      </c>
      <c r="L817" s="2">
        <f t="shared" si="63"/>
        <v>76.8</v>
      </c>
      <c r="M817" s="2">
        <v>55</v>
      </c>
      <c r="N817" s="2">
        <v>73.8</v>
      </c>
      <c r="O817" s="2">
        <f t="shared" si="64"/>
        <v>4059</v>
      </c>
      <c r="P817" s="2">
        <f t="shared" si="65"/>
        <v>5.8470895905943046</v>
      </c>
      <c r="Q817" s="7">
        <f t="shared" si="61"/>
        <v>5.6794308852649689</v>
      </c>
      <c r="R817" s="2" t="s">
        <v>232</v>
      </c>
      <c r="S817" s="2" t="s">
        <v>158</v>
      </c>
      <c r="T817" s="2" t="s">
        <v>159</v>
      </c>
    </row>
    <row r="818" spans="1:20" x14ac:dyDescent="0.3">
      <c r="A818" s="2" t="s">
        <v>226</v>
      </c>
      <c r="B818" s="2" t="s">
        <v>181</v>
      </c>
      <c r="C818" s="2">
        <v>70944823</v>
      </c>
      <c r="D818" s="2">
        <v>2019</v>
      </c>
      <c r="E818" s="2" t="s">
        <v>22</v>
      </c>
      <c r="F818" s="4">
        <v>6.9999999999999997E-7</v>
      </c>
      <c r="G818" s="2">
        <v>9</v>
      </c>
      <c r="H818" s="2">
        <f t="shared" si="62"/>
        <v>3699.8720063000001</v>
      </c>
      <c r="I818" s="2">
        <v>148</v>
      </c>
      <c r="J818" s="2">
        <v>0.13300000000000001</v>
      </c>
      <c r="K818" s="2">
        <v>8</v>
      </c>
      <c r="L818" s="2">
        <f t="shared" si="63"/>
        <v>157.47200000000001</v>
      </c>
      <c r="M818" s="2">
        <v>48</v>
      </c>
      <c r="N818" s="2">
        <v>73.8</v>
      </c>
      <c r="O818" s="2">
        <f t="shared" si="64"/>
        <v>3542.3999999999996</v>
      </c>
      <c r="P818" s="2">
        <f t="shared" si="65"/>
        <v>5.2151402313034172</v>
      </c>
      <c r="Q818" s="7">
        <f t="shared" si="61"/>
        <v>5.0814852863358073</v>
      </c>
      <c r="R818" s="2" t="s">
        <v>227</v>
      </c>
      <c r="S818" s="2" t="s">
        <v>28</v>
      </c>
      <c r="T818" s="2" t="s">
        <v>163</v>
      </c>
    </row>
    <row r="819" spans="1:20" x14ac:dyDescent="0.3">
      <c r="A819" s="2" t="s">
        <v>226</v>
      </c>
      <c r="B819" s="2" t="s">
        <v>181</v>
      </c>
      <c r="C819" s="2">
        <v>70944823</v>
      </c>
      <c r="D819" s="2">
        <v>2019</v>
      </c>
      <c r="E819" s="2" t="s">
        <v>26</v>
      </c>
      <c r="F819" s="4">
        <v>0</v>
      </c>
      <c r="G819" s="2">
        <v>7</v>
      </c>
      <c r="H819" s="2">
        <f t="shared" si="62"/>
        <v>88.962000000000003</v>
      </c>
      <c r="I819" s="2">
        <v>19</v>
      </c>
      <c r="J819" s="2">
        <v>0.13300000000000001</v>
      </c>
      <c r="K819" s="2">
        <v>6</v>
      </c>
      <c r="L819" s="2">
        <f t="shared" si="63"/>
        <v>15.162000000000001</v>
      </c>
      <c r="M819" s="2">
        <v>1</v>
      </c>
      <c r="N819" s="2">
        <v>73.8</v>
      </c>
      <c r="O819" s="2">
        <f t="shared" si="64"/>
        <v>73.8</v>
      </c>
      <c r="P819" s="2">
        <f t="shared" si="65"/>
        <v>0.12539604193529386</v>
      </c>
      <c r="Q819" s="7">
        <f t="shared" si="61"/>
        <v>0.12531745395080174</v>
      </c>
      <c r="R819" s="2" t="s">
        <v>228</v>
      </c>
      <c r="S819" s="2" t="s">
        <v>28</v>
      </c>
      <c r="T819" s="2" t="s">
        <v>150</v>
      </c>
    </row>
    <row r="820" spans="1:20" x14ac:dyDescent="0.3">
      <c r="A820" s="2" t="s">
        <v>226</v>
      </c>
      <c r="B820" s="2" t="s">
        <v>181</v>
      </c>
      <c r="C820" s="2">
        <v>70944823</v>
      </c>
      <c r="D820" s="2">
        <v>2019</v>
      </c>
      <c r="E820" s="2" t="s">
        <v>151</v>
      </c>
      <c r="F820" s="4">
        <v>1.3E-6</v>
      </c>
      <c r="G820" s="2">
        <v>7</v>
      </c>
      <c r="H820" s="2">
        <f t="shared" si="62"/>
        <v>1327.2180090999998</v>
      </c>
      <c r="I820" s="2">
        <v>91</v>
      </c>
      <c r="J820" s="2">
        <v>0.13300000000000001</v>
      </c>
      <c r="K820" s="2">
        <v>6</v>
      </c>
      <c r="L820" s="2">
        <f t="shared" si="63"/>
        <v>72.618000000000009</v>
      </c>
      <c r="M820" s="2">
        <v>17</v>
      </c>
      <c r="N820" s="2">
        <v>73.8</v>
      </c>
      <c r="O820" s="2">
        <f t="shared" si="64"/>
        <v>1254.5999999999999</v>
      </c>
      <c r="P820" s="2">
        <f t="shared" si="65"/>
        <v>1.8707749952382005</v>
      </c>
      <c r="Q820" s="7">
        <f t="shared" si="61"/>
        <v>1.8533846136465582</v>
      </c>
      <c r="R820" s="2" t="s">
        <v>229</v>
      </c>
      <c r="S820" s="2" t="s">
        <v>28</v>
      </c>
      <c r="T820" s="2" t="s">
        <v>32</v>
      </c>
    </row>
    <row r="821" spans="1:20" x14ac:dyDescent="0.3">
      <c r="A821" s="2" t="s">
        <v>226</v>
      </c>
      <c r="B821" s="2" t="s">
        <v>181</v>
      </c>
      <c r="C821" s="2">
        <v>70944823</v>
      </c>
      <c r="D821" s="2">
        <v>2019</v>
      </c>
      <c r="E821" s="2" t="s">
        <v>33</v>
      </c>
      <c r="F821" s="4">
        <v>8.9999999999999996E-7</v>
      </c>
      <c r="G821" s="2">
        <v>8</v>
      </c>
      <c r="H821" s="2">
        <f t="shared" si="62"/>
        <v>1756.0530071999999</v>
      </c>
      <c r="I821" s="2">
        <v>63</v>
      </c>
      <c r="J821" s="2">
        <v>0.13300000000000001</v>
      </c>
      <c r="K821" s="2">
        <v>7</v>
      </c>
      <c r="L821" s="2">
        <f t="shared" si="63"/>
        <v>58.653000000000006</v>
      </c>
      <c r="M821" s="2">
        <v>23</v>
      </c>
      <c r="N821" s="2">
        <v>73.8</v>
      </c>
      <c r="O821" s="2">
        <f t="shared" si="64"/>
        <v>1697.3999999999999</v>
      </c>
      <c r="P821" s="2">
        <f t="shared" si="65"/>
        <v>2.4752377029681223</v>
      </c>
      <c r="Q821" s="7">
        <f t="shared" si="61"/>
        <v>2.4448548930196323</v>
      </c>
      <c r="R821" s="2" t="s">
        <v>230</v>
      </c>
      <c r="S821" s="2" t="s">
        <v>35</v>
      </c>
      <c r="T821" s="2" t="s">
        <v>28</v>
      </c>
    </row>
    <row r="822" spans="1:20" x14ac:dyDescent="0.3">
      <c r="A822" s="2" t="s">
        <v>226</v>
      </c>
      <c r="B822" s="2" t="s">
        <v>181</v>
      </c>
      <c r="C822" s="2">
        <v>70944823</v>
      </c>
      <c r="D822" s="2">
        <v>2019</v>
      </c>
      <c r="E822" s="2" t="s">
        <v>37</v>
      </c>
      <c r="F822" s="4">
        <v>5.9500000000000003E-5</v>
      </c>
      <c r="G822" s="2">
        <v>6</v>
      </c>
      <c r="H822" s="2">
        <f t="shared" si="62"/>
        <v>2955.5203570000003</v>
      </c>
      <c r="I822" s="2">
        <v>4618</v>
      </c>
      <c r="J822" s="2">
        <v>0.128</v>
      </c>
      <c r="K822" s="2">
        <v>5</v>
      </c>
      <c r="L822" s="2">
        <f t="shared" si="63"/>
        <v>2955.5200000000004</v>
      </c>
      <c r="M822" s="2">
        <v>0</v>
      </c>
      <c r="N822" s="2">
        <v>73.8</v>
      </c>
      <c r="O822" s="2">
        <f t="shared" si="64"/>
        <v>0</v>
      </c>
      <c r="P822" s="2">
        <f t="shared" si="65"/>
        <v>4.1659422520512885</v>
      </c>
      <c r="Q822" s="7">
        <f t="shared" si="61"/>
        <v>4.0803594357077255</v>
      </c>
      <c r="R822" s="2" t="s">
        <v>231</v>
      </c>
      <c r="S822" s="2" t="s">
        <v>155</v>
      </c>
      <c r="T822" s="2" t="s">
        <v>156</v>
      </c>
    </row>
    <row r="823" spans="1:20" x14ac:dyDescent="0.3">
      <c r="A823" s="2" t="s">
        <v>226</v>
      </c>
      <c r="B823" s="2" t="s">
        <v>181</v>
      </c>
      <c r="C823" s="2">
        <v>70944823</v>
      </c>
      <c r="D823" s="2">
        <v>2019</v>
      </c>
      <c r="E823" s="2" t="s">
        <v>41</v>
      </c>
      <c r="F823" s="4">
        <v>1.9999999999999999E-6</v>
      </c>
      <c r="G823" s="2">
        <v>6</v>
      </c>
      <c r="H823" s="2">
        <f t="shared" si="62"/>
        <v>4131.480012</v>
      </c>
      <c r="I823" s="2">
        <v>151</v>
      </c>
      <c r="J823" s="2">
        <v>0.12</v>
      </c>
      <c r="K823" s="2">
        <v>4</v>
      </c>
      <c r="L823" s="2">
        <f t="shared" si="63"/>
        <v>72.48</v>
      </c>
      <c r="M823" s="2">
        <v>55</v>
      </c>
      <c r="N823" s="2">
        <v>73.8</v>
      </c>
      <c r="O823" s="2">
        <f t="shared" si="64"/>
        <v>4059</v>
      </c>
      <c r="P823" s="2">
        <f t="shared" si="65"/>
        <v>5.8235116211368938</v>
      </c>
      <c r="Q823" s="7">
        <f t="shared" si="61"/>
        <v>5.6571893883433972</v>
      </c>
      <c r="R823" s="2" t="s">
        <v>232</v>
      </c>
      <c r="S823" s="2" t="s">
        <v>158</v>
      </c>
      <c r="T823" s="2" t="s">
        <v>159</v>
      </c>
    </row>
    <row r="824" spans="1:20" x14ac:dyDescent="0.3">
      <c r="A824" s="2" t="s">
        <v>226</v>
      </c>
      <c r="B824" s="2" t="s">
        <v>181</v>
      </c>
      <c r="C824" s="2">
        <v>71157658</v>
      </c>
      <c r="D824" s="2">
        <v>2020</v>
      </c>
      <c r="E824" s="2" t="s">
        <v>22</v>
      </c>
      <c r="F824" s="4">
        <v>5.9999999999999997E-7</v>
      </c>
      <c r="G824" s="2">
        <v>9</v>
      </c>
      <c r="H824" s="2">
        <f t="shared" ref="H824:H855" si="66">L824+O824+G824*F824</f>
        <v>3543.7600054</v>
      </c>
      <c r="I824" s="2">
        <v>140</v>
      </c>
      <c r="J824" s="2">
        <v>0.13300000000000001</v>
      </c>
      <c r="K824" s="2">
        <v>8</v>
      </c>
      <c r="L824" s="2">
        <f t="shared" ref="L824:L855" si="67">I824*J824*K824</f>
        <v>148.96</v>
      </c>
      <c r="M824" s="2">
        <v>46</v>
      </c>
      <c r="N824" s="2">
        <v>73.8</v>
      </c>
      <c r="O824" s="2">
        <f t="shared" ref="O824:O855" si="68">M824*N824</f>
        <v>3394.7999999999997</v>
      </c>
      <c r="P824" s="2">
        <f t="shared" ref="P824:P855" si="69">H824/C824*100000</f>
        <v>4.9801526708481605</v>
      </c>
      <c r="Q824" s="7">
        <f t="shared" si="61"/>
        <v>4.8581763127929616</v>
      </c>
      <c r="R824" s="2" t="s">
        <v>227</v>
      </c>
      <c r="S824" s="2" t="s">
        <v>28</v>
      </c>
      <c r="T824" s="2" t="s">
        <v>163</v>
      </c>
    </row>
    <row r="825" spans="1:20" x14ac:dyDescent="0.3">
      <c r="A825" s="2" t="s">
        <v>226</v>
      </c>
      <c r="B825" s="2" t="s">
        <v>181</v>
      </c>
      <c r="C825" s="2">
        <v>71157658</v>
      </c>
      <c r="D825" s="2">
        <v>2020</v>
      </c>
      <c r="E825" s="2" t="s">
        <v>26</v>
      </c>
      <c r="F825" s="4">
        <v>0</v>
      </c>
      <c r="G825" s="2">
        <v>7</v>
      </c>
      <c r="H825" s="2">
        <f t="shared" si="66"/>
        <v>264.49199999999996</v>
      </c>
      <c r="I825" s="2">
        <v>54</v>
      </c>
      <c r="J825" s="2">
        <v>0.13300000000000001</v>
      </c>
      <c r="K825" s="2">
        <v>6</v>
      </c>
      <c r="L825" s="2">
        <f t="shared" si="67"/>
        <v>43.091999999999999</v>
      </c>
      <c r="M825" s="2">
        <v>3</v>
      </c>
      <c r="N825" s="2">
        <v>73.8</v>
      </c>
      <c r="O825" s="2">
        <f t="shared" si="68"/>
        <v>221.39999999999998</v>
      </c>
      <c r="P825" s="2">
        <f t="shared" si="69"/>
        <v>0.37169857389066957</v>
      </c>
      <c r="Q825" s="7">
        <f t="shared" si="61"/>
        <v>0.3710086298436166</v>
      </c>
      <c r="R825" s="2" t="s">
        <v>233</v>
      </c>
      <c r="S825" s="2" t="s">
        <v>28</v>
      </c>
      <c r="T825" s="2" t="s">
        <v>150</v>
      </c>
    </row>
    <row r="826" spans="1:20" x14ac:dyDescent="0.3">
      <c r="A826" s="2" t="s">
        <v>226</v>
      </c>
      <c r="B826" s="2" t="s">
        <v>181</v>
      </c>
      <c r="C826" s="2">
        <v>71157658</v>
      </c>
      <c r="D826" s="2">
        <v>2020</v>
      </c>
      <c r="E826" s="2" t="s">
        <v>151</v>
      </c>
      <c r="F826" s="4">
        <v>1.3E-6</v>
      </c>
      <c r="G826" s="2">
        <v>7</v>
      </c>
      <c r="H826" s="2">
        <f t="shared" si="66"/>
        <v>1261.3980090999999</v>
      </c>
      <c r="I826" s="2">
        <v>101</v>
      </c>
      <c r="J826" s="2">
        <v>0.13300000000000001</v>
      </c>
      <c r="K826" s="2">
        <v>6</v>
      </c>
      <c r="L826" s="2">
        <f t="shared" si="67"/>
        <v>80.597999999999999</v>
      </c>
      <c r="M826" s="2">
        <v>16</v>
      </c>
      <c r="N826" s="2">
        <v>73.8</v>
      </c>
      <c r="O826" s="2">
        <f t="shared" si="68"/>
        <v>1180.8</v>
      </c>
      <c r="P826" s="2">
        <f t="shared" si="69"/>
        <v>1.7726806145025178</v>
      </c>
      <c r="Q826" s="7">
        <f t="shared" si="61"/>
        <v>1.7570610627988814</v>
      </c>
      <c r="R826" s="2" t="s">
        <v>229</v>
      </c>
      <c r="S826" s="2" t="s">
        <v>28</v>
      </c>
      <c r="T826" s="2" t="s">
        <v>32</v>
      </c>
    </row>
    <row r="827" spans="1:20" x14ac:dyDescent="0.3">
      <c r="A827" s="2" t="s">
        <v>226</v>
      </c>
      <c r="B827" s="2" t="s">
        <v>181</v>
      </c>
      <c r="C827" s="2">
        <v>71157658</v>
      </c>
      <c r="D827" s="2">
        <v>2020</v>
      </c>
      <c r="E827" s="2" t="s">
        <v>33</v>
      </c>
      <c r="F827" s="4">
        <v>7.9999999999999996E-7</v>
      </c>
      <c r="G827" s="2">
        <v>8</v>
      </c>
      <c r="H827" s="2">
        <f t="shared" si="66"/>
        <v>2042.8740063999999</v>
      </c>
      <c r="I827" s="2">
        <v>54</v>
      </c>
      <c r="J827" s="2">
        <v>0.13300000000000001</v>
      </c>
      <c r="K827" s="2">
        <v>7</v>
      </c>
      <c r="L827" s="2">
        <f t="shared" si="67"/>
        <v>50.274000000000001</v>
      </c>
      <c r="M827" s="2">
        <v>27</v>
      </c>
      <c r="N827" s="2">
        <v>73.8</v>
      </c>
      <c r="O827" s="2">
        <f t="shared" si="68"/>
        <v>1992.6</v>
      </c>
      <c r="P827" s="2">
        <f t="shared" si="69"/>
        <v>2.870912370949589</v>
      </c>
      <c r="Q827" s="7">
        <f t="shared" si="61"/>
        <v>2.8300932416395863</v>
      </c>
      <c r="R827" s="2" t="s">
        <v>230</v>
      </c>
      <c r="S827" s="2" t="s">
        <v>35</v>
      </c>
      <c r="T827" s="2" t="s">
        <v>28</v>
      </c>
    </row>
    <row r="828" spans="1:20" x14ac:dyDescent="0.3">
      <c r="A828" s="2" t="s">
        <v>226</v>
      </c>
      <c r="B828" s="2" t="s">
        <v>181</v>
      </c>
      <c r="C828" s="2">
        <v>71157658</v>
      </c>
      <c r="D828" s="2">
        <v>2020</v>
      </c>
      <c r="E828" s="2" t="s">
        <v>37</v>
      </c>
      <c r="F828" s="4">
        <v>6.3399999999999996E-5</v>
      </c>
      <c r="G828" s="2">
        <v>6</v>
      </c>
      <c r="H828" s="2">
        <f t="shared" si="66"/>
        <v>3029.7603804</v>
      </c>
      <c r="I828" s="2">
        <v>4734</v>
      </c>
      <c r="J828" s="2">
        <v>0.128</v>
      </c>
      <c r="K828" s="2">
        <v>5</v>
      </c>
      <c r="L828" s="2">
        <f t="shared" si="67"/>
        <v>3029.76</v>
      </c>
      <c r="M828" s="2">
        <v>0</v>
      </c>
      <c r="N828" s="2">
        <v>73.8</v>
      </c>
      <c r="O828" s="2">
        <f t="shared" si="68"/>
        <v>0</v>
      </c>
      <c r="P828" s="2">
        <f t="shared" si="69"/>
        <v>4.2578135165718924</v>
      </c>
      <c r="Q828" s="7">
        <f t="shared" si="61"/>
        <v>4.1684415551439429</v>
      </c>
      <c r="R828" s="2" t="s">
        <v>231</v>
      </c>
      <c r="S828" s="2" t="s">
        <v>155</v>
      </c>
      <c r="T828" s="2" t="s">
        <v>156</v>
      </c>
    </row>
    <row r="829" spans="1:20" x14ac:dyDescent="0.3">
      <c r="A829" s="2" t="s">
        <v>226</v>
      </c>
      <c r="B829" s="2" t="s">
        <v>181</v>
      </c>
      <c r="C829" s="2">
        <v>71157658</v>
      </c>
      <c r="D829" s="2">
        <v>2020</v>
      </c>
      <c r="E829" s="2" t="s">
        <v>41</v>
      </c>
      <c r="F829" s="4">
        <v>1.9999999999999999E-6</v>
      </c>
      <c r="G829" s="2">
        <v>6</v>
      </c>
      <c r="H829" s="2">
        <f t="shared" si="66"/>
        <v>4133.8800120000005</v>
      </c>
      <c r="I829" s="2">
        <v>156</v>
      </c>
      <c r="J829" s="2">
        <v>0.12</v>
      </c>
      <c r="K829" s="2">
        <v>4</v>
      </c>
      <c r="L829" s="2">
        <f t="shared" si="67"/>
        <v>74.88</v>
      </c>
      <c r="M829" s="2">
        <v>55</v>
      </c>
      <c r="N829" s="2">
        <v>73.8</v>
      </c>
      <c r="O829" s="2">
        <f t="shared" si="68"/>
        <v>4059</v>
      </c>
      <c r="P829" s="2">
        <f t="shared" si="69"/>
        <v>5.8094660900728359</v>
      </c>
      <c r="Q829" s="7">
        <f t="shared" si="61"/>
        <v>5.6439375089456068</v>
      </c>
      <c r="R829" s="2" t="s">
        <v>232</v>
      </c>
      <c r="S829" s="2" t="s">
        <v>158</v>
      </c>
      <c r="T829" s="2" t="s">
        <v>159</v>
      </c>
    </row>
    <row r="830" spans="1:20" x14ac:dyDescent="0.3">
      <c r="A830" s="2" t="s">
        <v>226</v>
      </c>
      <c r="B830" s="2" t="s">
        <v>181</v>
      </c>
      <c r="C830" s="2">
        <v>71371131</v>
      </c>
      <c r="D830" s="2">
        <v>2021</v>
      </c>
      <c r="E830" s="2" t="s">
        <v>22</v>
      </c>
      <c r="F830" s="4">
        <v>6.9999999999999997E-7</v>
      </c>
      <c r="G830" s="2">
        <v>9</v>
      </c>
      <c r="H830" s="2">
        <f t="shared" si="66"/>
        <v>3790.6960063000001</v>
      </c>
      <c r="I830" s="2">
        <v>164</v>
      </c>
      <c r="J830" s="2">
        <v>0.13300000000000001</v>
      </c>
      <c r="K830" s="2">
        <v>8</v>
      </c>
      <c r="L830" s="2">
        <f t="shared" si="67"/>
        <v>174.49600000000001</v>
      </c>
      <c r="M830" s="2">
        <v>49</v>
      </c>
      <c r="N830" s="2">
        <v>73.8</v>
      </c>
      <c r="O830" s="2">
        <f t="shared" si="68"/>
        <v>3616.2</v>
      </c>
      <c r="P830" s="2">
        <f t="shared" si="69"/>
        <v>5.3112455318944019</v>
      </c>
      <c r="Q830" s="7">
        <f t="shared" si="61"/>
        <v>5.1726631898009412</v>
      </c>
      <c r="R830" s="2" t="s">
        <v>227</v>
      </c>
      <c r="S830" s="2" t="s">
        <v>28</v>
      </c>
      <c r="T830" s="2" t="s">
        <v>163</v>
      </c>
    </row>
    <row r="831" spans="1:20" x14ac:dyDescent="0.3">
      <c r="A831" s="2" t="s">
        <v>226</v>
      </c>
      <c r="B831" s="2" t="s">
        <v>181</v>
      </c>
      <c r="C831" s="2">
        <v>71371131</v>
      </c>
      <c r="D831" s="2">
        <v>2021</v>
      </c>
      <c r="E831" s="2" t="s">
        <v>26</v>
      </c>
      <c r="F831" s="4">
        <v>0</v>
      </c>
      <c r="G831" s="2">
        <v>7</v>
      </c>
      <c r="H831" s="2">
        <f t="shared" si="66"/>
        <v>89.759999999999991</v>
      </c>
      <c r="I831" s="2">
        <v>20</v>
      </c>
      <c r="J831" s="2">
        <v>0.13300000000000001</v>
      </c>
      <c r="K831" s="2">
        <v>6</v>
      </c>
      <c r="L831" s="2">
        <f t="shared" si="67"/>
        <v>15.96</v>
      </c>
      <c r="M831" s="2">
        <v>1</v>
      </c>
      <c r="N831" s="2">
        <v>73.8</v>
      </c>
      <c r="O831" s="2">
        <f t="shared" si="68"/>
        <v>73.8</v>
      </c>
      <c r="P831" s="2">
        <f t="shared" si="69"/>
        <v>0.12576513604639389</v>
      </c>
      <c r="Q831" s="7">
        <f t="shared" si="61"/>
        <v>0.12568608484225807</v>
      </c>
      <c r="R831" s="2" t="s">
        <v>228</v>
      </c>
      <c r="S831" s="2" t="s">
        <v>28</v>
      </c>
      <c r="T831" s="2" t="s">
        <v>150</v>
      </c>
    </row>
    <row r="832" spans="1:20" x14ac:dyDescent="0.3">
      <c r="A832" s="2" t="s">
        <v>226</v>
      </c>
      <c r="B832" s="2" t="s">
        <v>181</v>
      </c>
      <c r="C832" s="2">
        <v>71371131</v>
      </c>
      <c r="D832" s="2">
        <v>2021</v>
      </c>
      <c r="E832" s="2" t="s">
        <v>151</v>
      </c>
      <c r="F832" s="4">
        <v>1.3E-6</v>
      </c>
      <c r="G832" s="2">
        <v>7</v>
      </c>
      <c r="H832" s="2">
        <f t="shared" si="66"/>
        <v>1324.0260090999998</v>
      </c>
      <c r="I832" s="2">
        <v>87</v>
      </c>
      <c r="J832" s="2">
        <v>0.13300000000000001</v>
      </c>
      <c r="K832" s="2">
        <v>6</v>
      </c>
      <c r="L832" s="2">
        <f t="shared" si="67"/>
        <v>69.426000000000016</v>
      </c>
      <c r="M832" s="2">
        <v>17</v>
      </c>
      <c r="N832" s="2">
        <v>73.8</v>
      </c>
      <c r="O832" s="2">
        <f t="shared" si="68"/>
        <v>1254.5999999999999</v>
      </c>
      <c r="P832" s="2">
        <f t="shared" si="69"/>
        <v>1.8551282437993029</v>
      </c>
      <c r="Q832" s="7">
        <f t="shared" si="61"/>
        <v>1.8380266552119107</v>
      </c>
      <c r="R832" s="2" t="s">
        <v>229</v>
      </c>
      <c r="S832" s="2" t="s">
        <v>28</v>
      </c>
      <c r="T832" s="2" t="s">
        <v>32</v>
      </c>
    </row>
    <row r="833" spans="1:20" x14ac:dyDescent="0.3">
      <c r="A833" s="2" t="s">
        <v>226</v>
      </c>
      <c r="B833" s="2" t="s">
        <v>181</v>
      </c>
      <c r="C833" s="2">
        <v>71371131</v>
      </c>
      <c r="D833" s="2">
        <v>2021</v>
      </c>
      <c r="E833" s="2" t="s">
        <v>33</v>
      </c>
      <c r="F833" s="4">
        <v>7.9999999999999996E-7</v>
      </c>
      <c r="G833" s="2">
        <v>8</v>
      </c>
      <c r="H833" s="2">
        <f t="shared" si="66"/>
        <v>2053.1150063999999</v>
      </c>
      <c r="I833" s="2">
        <v>65</v>
      </c>
      <c r="J833" s="2">
        <v>0.13300000000000001</v>
      </c>
      <c r="K833" s="2">
        <v>7</v>
      </c>
      <c r="L833" s="2">
        <f t="shared" si="67"/>
        <v>60.515000000000001</v>
      </c>
      <c r="M833" s="2">
        <v>27</v>
      </c>
      <c r="N833" s="2">
        <v>73.8</v>
      </c>
      <c r="O833" s="2">
        <f t="shared" si="68"/>
        <v>1992.6</v>
      </c>
      <c r="P833" s="2">
        <f t="shared" si="69"/>
        <v>2.8766743326513904</v>
      </c>
      <c r="Q833" s="7">
        <f t="shared" si="61"/>
        <v>2.8356919731527541</v>
      </c>
      <c r="R833" s="2" t="s">
        <v>230</v>
      </c>
      <c r="S833" s="2" t="s">
        <v>35</v>
      </c>
      <c r="T833" s="2" t="s">
        <v>28</v>
      </c>
    </row>
    <row r="834" spans="1:20" x14ac:dyDescent="0.3">
      <c r="A834" s="2" t="s">
        <v>226</v>
      </c>
      <c r="B834" s="2" t="s">
        <v>181</v>
      </c>
      <c r="C834" s="2">
        <v>71371131</v>
      </c>
      <c r="D834" s="2">
        <v>2021</v>
      </c>
      <c r="E834" s="2" t="s">
        <v>37</v>
      </c>
      <c r="F834" s="4">
        <v>6.1799999999999998E-5</v>
      </c>
      <c r="G834" s="2">
        <v>6</v>
      </c>
      <c r="H834" s="2">
        <f t="shared" si="66"/>
        <v>3080.3203707999996</v>
      </c>
      <c r="I834" s="2">
        <v>4813</v>
      </c>
      <c r="J834" s="2">
        <v>0.128</v>
      </c>
      <c r="K834" s="2">
        <v>5</v>
      </c>
      <c r="L834" s="2">
        <f t="shared" si="67"/>
        <v>3080.3199999999997</v>
      </c>
      <c r="M834" s="2">
        <v>0</v>
      </c>
      <c r="N834" s="2">
        <v>73.8</v>
      </c>
      <c r="O834" s="2">
        <f t="shared" si="68"/>
        <v>0</v>
      </c>
      <c r="P834" s="2">
        <f t="shared" si="69"/>
        <v>4.3159192346272333</v>
      </c>
      <c r="Q834" s="7">
        <f t="shared" ref="Q834:Q897" si="70">100*(1-EXP(-P834/100))</f>
        <v>4.2241089957526619</v>
      </c>
      <c r="R834" s="2" t="s">
        <v>231</v>
      </c>
      <c r="S834" s="2" t="s">
        <v>155</v>
      </c>
      <c r="T834" s="2" t="s">
        <v>156</v>
      </c>
    </row>
    <row r="835" spans="1:20" x14ac:dyDescent="0.3">
      <c r="A835" s="2" t="s">
        <v>226</v>
      </c>
      <c r="B835" s="2" t="s">
        <v>181</v>
      </c>
      <c r="C835" s="2">
        <v>71371131</v>
      </c>
      <c r="D835" s="2">
        <v>2021</v>
      </c>
      <c r="E835" s="2" t="s">
        <v>41</v>
      </c>
      <c r="F835" s="4">
        <v>1.9999999999999999E-6</v>
      </c>
      <c r="G835" s="2">
        <v>6</v>
      </c>
      <c r="H835" s="2">
        <f t="shared" si="66"/>
        <v>4146.3600120000001</v>
      </c>
      <c r="I835" s="2">
        <v>182</v>
      </c>
      <c r="J835" s="2">
        <v>0.12</v>
      </c>
      <c r="K835" s="2">
        <v>4</v>
      </c>
      <c r="L835" s="2">
        <f t="shared" si="67"/>
        <v>87.36</v>
      </c>
      <c r="M835" s="2">
        <v>55</v>
      </c>
      <c r="N835" s="2">
        <v>73.8</v>
      </c>
      <c r="O835" s="2">
        <f t="shared" si="68"/>
        <v>4059</v>
      </c>
      <c r="P835" s="2">
        <f t="shared" si="69"/>
        <v>5.8095758801972748</v>
      </c>
      <c r="Q835" s="7">
        <f t="shared" si="70"/>
        <v>5.6440411025271642</v>
      </c>
      <c r="R835" s="2" t="s">
        <v>232</v>
      </c>
      <c r="S835" s="2" t="s">
        <v>158</v>
      </c>
      <c r="T835" s="2" t="s">
        <v>159</v>
      </c>
    </row>
    <row r="836" spans="1:20" x14ac:dyDescent="0.3">
      <c r="A836" s="2" t="s">
        <v>226</v>
      </c>
      <c r="B836" s="2" t="s">
        <v>181</v>
      </c>
      <c r="C836" s="2">
        <v>71585244</v>
      </c>
      <c r="D836" s="2">
        <v>2022</v>
      </c>
      <c r="E836" s="2" t="s">
        <v>22</v>
      </c>
      <c r="F836" s="4">
        <v>5.9999999999999997E-7</v>
      </c>
      <c r="G836" s="2">
        <v>9</v>
      </c>
      <c r="H836" s="2">
        <f t="shared" si="66"/>
        <v>3475.2800054000004</v>
      </c>
      <c r="I836" s="2">
        <v>145</v>
      </c>
      <c r="J836" s="2">
        <v>0.13300000000000001</v>
      </c>
      <c r="K836" s="2">
        <v>8</v>
      </c>
      <c r="L836" s="2">
        <f t="shared" si="67"/>
        <v>154.28</v>
      </c>
      <c r="M836" s="2">
        <v>45</v>
      </c>
      <c r="N836" s="2">
        <v>73.8</v>
      </c>
      <c r="O836" s="2">
        <f t="shared" si="68"/>
        <v>3321</v>
      </c>
      <c r="P836" s="2">
        <f t="shared" si="69"/>
        <v>4.8547435354135278</v>
      </c>
      <c r="Q836" s="7">
        <f t="shared" si="70"/>
        <v>4.7387849260648318</v>
      </c>
      <c r="R836" s="2" t="s">
        <v>227</v>
      </c>
      <c r="S836" s="2" t="s">
        <v>28</v>
      </c>
      <c r="T836" s="2" t="s">
        <v>163</v>
      </c>
    </row>
    <row r="837" spans="1:20" x14ac:dyDescent="0.3">
      <c r="A837" s="2" t="s">
        <v>226</v>
      </c>
      <c r="B837" s="2" t="s">
        <v>181</v>
      </c>
      <c r="C837" s="2">
        <v>71585244</v>
      </c>
      <c r="D837" s="2">
        <v>2022</v>
      </c>
      <c r="E837" s="2" t="s">
        <v>26</v>
      </c>
      <c r="F837" s="4">
        <v>0</v>
      </c>
      <c r="G837" s="2">
        <v>7</v>
      </c>
      <c r="H837" s="2">
        <f t="shared" si="66"/>
        <v>88.962000000000003</v>
      </c>
      <c r="I837" s="2">
        <v>19</v>
      </c>
      <c r="J837" s="2">
        <v>0.13300000000000001</v>
      </c>
      <c r="K837" s="2">
        <v>6</v>
      </c>
      <c r="L837" s="2">
        <f t="shared" si="67"/>
        <v>15.162000000000001</v>
      </c>
      <c r="M837" s="2">
        <v>1</v>
      </c>
      <c r="N837" s="2">
        <v>73.8</v>
      </c>
      <c r="O837" s="2">
        <f t="shared" si="68"/>
        <v>73.8</v>
      </c>
      <c r="P837" s="2">
        <f t="shared" si="69"/>
        <v>0.12427421494854442</v>
      </c>
      <c r="Q837" s="7">
        <f t="shared" si="70"/>
        <v>0.12419702652445297</v>
      </c>
      <c r="R837" s="2" t="s">
        <v>228</v>
      </c>
      <c r="S837" s="2" t="s">
        <v>28</v>
      </c>
      <c r="T837" s="2" t="s">
        <v>150</v>
      </c>
    </row>
    <row r="838" spans="1:20" x14ac:dyDescent="0.3">
      <c r="A838" s="2" t="s">
        <v>226</v>
      </c>
      <c r="B838" s="2" t="s">
        <v>181</v>
      </c>
      <c r="C838" s="2">
        <v>71585244</v>
      </c>
      <c r="D838" s="2">
        <v>2022</v>
      </c>
      <c r="E838" s="2" t="s">
        <v>151</v>
      </c>
      <c r="F838" s="4">
        <v>1.3E-6</v>
      </c>
      <c r="G838" s="2">
        <v>7</v>
      </c>
      <c r="H838" s="2">
        <f t="shared" si="66"/>
        <v>1328.0160090999998</v>
      </c>
      <c r="I838" s="2">
        <v>92</v>
      </c>
      <c r="J838" s="2">
        <v>0.13300000000000001</v>
      </c>
      <c r="K838" s="2">
        <v>6</v>
      </c>
      <c r="L838" s="2">
        <f t="shared" si="67"/>
        <v>73.415999999999997</v>
      </c>
      <c r="M838" s="2">
        <v>17</v>
      </c>
      <c r="N838" s="2">
        <v>73.8</v>
      </c>
      <c r="O838" s="2">
        <f t="shared" si="68"/>
        <v>1254.5999999999999</v>
      </c>
      <c r="P838" s="2">
        <f t="shared" si="69"/>
        <v>1.8551532898316303</v>
      </c>
      <c r="Q838" s="7">
        <f t="shared" si="70"/>
        <v>1.8380512408884053</v>
      </c>
      <c r="R838" s="2" t="s">
        <v>229</v>
      </c>
      <c r="S838" s="2" t="s">
        <v>28</v>
      </c>
      <c r="T838" s="2" t="s">
        <v>32</v>
      </c>
    </row>
    <row r="839" spans="1:20" x14ac:dyDescent="0.3">
      <c r="A839" s="2" t="s">
        <v>226</v>
      </c>
      <c r="B839" s="2" t="s">
        <v>181</v>
      </c>
      <c r="C839" s="2">
        <v>71585244</v>
      </c>
      <c r="D839" s="2">
        <v>2022</v>
      </c>
      <c r="E839" s="2" t="s">
        <v>33</v>
      </c>
      <c r="F839" s="4">
        <v>7.9999999999999996E-7</v>
      </c>
      <c r="G839" s="2">
        <v>8</v>
      </c>
      <c r="H839" s="2">
        <f t="shared" si="66"/>
        <v>1896.2050064</v>
      </c>
      <c r="I839" s="2">
        <v>55</v>
      </c>
      <c r="J839" s="2">
        <v>0.13300000000000001</v>
      </c>
      <c r="K839" s="2">
        <v>7</v>
      </c>
      <c r="L839" s="2">
        <f t="shared" si="67"/>
        <v>51.205000000000005</v>
      </c>
      <c r="M839" s="2">
        <v>25</v>
      </c>
      <c r="N839" s="2">
        <v>73.8</v>
      </c>
      <c r="O839" s="2">
        <f t="shared" si="68"/>
        <v>1845</v>
      </c>
      <c r="P839" s="2">
        <f t="shared" si="69"/>
        <v>2.648876919941769</v>
      </c>
      <c r="Q839" s="7">
        <f t="shared" si="70"/>
        <v>2.6141019009870758</v>
      </c>
      <c r="R839" s="2" t="s">
        <v>230</v>
      </c>
      <c r="S839" s="2" t="s">
        <v>35</v>
      </c>
      <c r="T839" s="2" t="s">
        <v>28</v>
      </c>
    </row>
    <row r="840" spans="1:20" x14ac:dyDescent="0.3">
      <c r="A840" s="2" t="s">
        <v>226</v>
      </c>
      <c r="B840" s="2" t="s">
        <v>181</v>
      </c>
      <c r="C840" s="2">
        <v>71585244</v>
      </c>
      <c r="D840" s="2">
        <v>2022</v>
      </c>
      <c r="E840" s="2" t="s">
        <v>37</v>
      </c>
      <c r="F840" s="4">
        <v>6.3499999999999999E-5</v>
      </c>
      <c r="G840" s="2">
        <v>6</v>
      </c>
      <c r="H840" s="2">
        <f t="shared" si="66"/>
        <v>2915.840381</v>
      </c>
      <c r="I840" s="2">
        <v>4556</v>
      </c>
      <c r="J840" s="2">
        <v>0.128</v>
      </c>
      <c r="K840" s="2">
        <v>5</v>
      </c>
      <c r="L840" s="2">
        <f t="shared" si="67"/>
        <v>2915.84</v>
      </c>
      <c r="M840" s="2">
        <v>0</v>
      </c>
      <c r="N840" s="2">
        <v>73.8</v>
      </c>
      <c r="O840" s="2">
        <f t="shared" si="68"/>
        <v>0</v>
      </c>
      <c r="P840" s="2">
        <f t="shared" si="69"/>
        <v>4.0732422187455279</v>
      </c>
      <c r="Q840" s="7">
        <f t="shared" si="70"/>
        <v>3.9914006709259819</v>
      </c>
      <c r="R840" s="2" t="s">
        <v>231</v>
      </c>
      <c r="S840" s="2" t="s">
        <v>155</v>
      </c>
      <c r="T840" s="2" t="s">
        <v>156</v>
      </c>
    </row>
    <row r="841" spans="1:20" x14ac:dyDescent="0.3">
      <c r="A841" s="2" t="s">
        <v>226</v>
      </c>
      <c r="B841" s="2" t="s">
        <v>181</v>
      </c>
      <c r="C841" s="2">
        <v>71585244</v>
      </c>
      <c r="D841" s="2">
        <v>2022</v>
      </c>
      <c r="E841" s="2" t="s">
        <v>41</v>
      </c>
      <c r="F841" s="4">
        <v>1.9999999999999999E-6</v>
      </c>
      <c r="G841" s="2">
        <v>6</v>
      </c>
      <c r="H841" s="2">
        <f t="shared" si="66"/>
        <v>4137.2400120000002</v>
      </c>
      <c r="I841" s="2">
        <v>163</v>
      </c>
      <c r="J841" s="2">
        <v>0.12</v>
      </c>
      <c r="K841" s="2">
        <v>4</v>
      </c>
      <c r="L841" s="2">
        <f t="shared" si="67"/>
        <v>78.239999999999995</v>
      </c>
      <c r="M841" s="2">
        <v>55</v>
      </c>
      <c r="N841" s="2">
        <v>73.8</v>
      </c>
      <c r="O841" s="2">
        <f t="shared" si="68"/>
        <v>4059</v>
      </c>
      <c r="P841" s="2">
        <f t="shared" si="69"/>
        <v>5.7794592583912969</v>
      </c>
      <c r="Q841" s="7">
        <f t="shared" si="70"/>
        <v>5.6156199957107962</v>
      </c>
      <c r="R841" s="2" t="s">
        <v>232</v>
      </c>
      <c r="S841" s="2" t="s">
        <v>158</v>
      </c>
      <c r="T841" s="2" t="s">
        <v>159</v>
      </c>
    </row>
    <row r="842" spans="1:20" x14ac:dyDescent="0.3">
      <c r="A842" s="2" t="s">
        <v>226</v>
      </c>
      <c r="B842" s="2" t="s">
        <v>181</v>
      </c>
      <c r="C842" s="2">
        <v>71800000</v>
      </c>
      <c r="D842" s="2">
        <v>2023</v>
      </c>
      <c r="E842" s="2" t="s">
        <v>22</v>
      </c>
      <c r="F842" s="4">
        <v>5.9999999999999997E-7</v>
      </c>
      <c r="G842" s="2">
        <v>9</v>
      </c>
      <c r="H842" s="2">
        <f t="shared" si="66"/>
        <v>3300.0160054000003</v>
      </c>
      <c r="I842" s="2">
        <v>119</v>
      </c>
      <c r="J842" s="2">
        <v>0.13300000000000001</v>
      </c>
      <c r="K842" s="2">
        <v>8</v>
      </c>
      <c r="L842" s="2">
        <f t="shared" si="67"/>
        <v>126.61600000000001</v>
      </c>
      <c r="M842" s="2">
        <v>43</v>
      </c>
      <c r="N842" s="2">
        <v>73.8</v>
      </c>
      <c r="O842" s="2">
        <f t="shared" si="68"/>
        <v>3173.4</v>
      </c>
      <c r="P842" s="2">
        <f t="shared" si="69"/>
        <v>4.5961225701949866</v>
      </c>
      <c r="Q842" s="7">
        <f t="shared" si="70"/>
        <v>4.4921006009656654</v>
      </c>
      <c r="R842" s="2" t="s">
        <v>227</v>
      </c>
      <c r="S842" s="2" t="s">
        <v>28</v>
      </c>
      <c r="T842" s="2" t="s">
        <v>163</v>
      </c>
    </row>
    <row r="843" spans="1:20" x14ac:dyDescent="0.3">
      <c r="A843" s="2" t="s">
        <v>226</v>
      </c>
      <c r="B843" s="2" t="s">
        <v>181</v>
      </c>
      <c r="C843" s="2">
        <v>71800000</v>
      </c>
      <c r="D843" s="2">
        <v>2023</v>
      </c>
      <c r="E843" s="2" t="s">
        <v>26</v>
      </c>
      <c r="F843" s="4">
        <v>0</v>
      </c>
      <c r="G843" s="2">
        <v>7</v>
      </c>
      <c r="H843" s="2">
        <f t="shared" si="66"/>
        <v>89.759999999999991</v>
      </c>
      <c r="I843" s="2">
        <v>20</v>
      </c>
      <c r="J843" s="2">
        <v>0.13300000000000001</v>
      </c>
      <c r="K843" s="2">
        <v>6</v>
      </c>
      <c r="L843" s="2">
        <f t="shared" si="67"/>
        <v>15.96</v>
      </c>
      <c r="M843" s="2">
        <v>1</v>
      </c>
      <c r="N843" s="2">
        <v>73.8</v>
      </c>
      <c r="O843" s="2">
        <f t="shared" si="68"/>
        <v>73.8</v>
      </c>
      <c r="P843" s="2">
        <f t="shared" si="69"/>
        <v>0.12501392757660165</v>
      </c>
      <c r="Q843" s="7">
        <f t="shared" si="70"/>
        <v>0.1249358177189519</v>
      </c>
      <c r="R843" s="2" t="s">
        <v>228</v>
      </c>
      <c r="S843" s="2" t="s">
        <v>28</v>
      </c>
      <c r="T843" s="2" t="s">
        <v>150</v>
      </c>
    </row>
    <row r="844" spans="1:20" x14ac:dyDescent="0.3">
      <c r="A844" s="2" t="s">
        <v>226</v>
      </c>
      <c r="B844" s="2" t="s">
        <v>181</v>
      </c>
      <c r="C844" s="2">
        <v>71800000</v>
      </c>
      <c r="D844" s="2">
        <v>2023</v>
      </c>
      <c r="E844" s="2" t="s">
        <v>151</v>
      </c>
      <c r="F844" s="4">
        <v>1.1000000000000001E-6</v>
      </c>
      <c r="G844" s="2">
        <v>7</v>
      </c>
      <c r="H844" s="2">
        <f t="shared" si="66"/>
        <v>1247.8320076999998</v>
      </c>
      <c r="I844" s="2">
        <v>84</v>
      </c>
      <c r="J844" s="2">
        <v>0.13300000000000001</v>
      </c>
      <c r="K844" s="2">
        <v>6</v>
      </c>
      <c r="L844" s="2">
        <f t="shared" si="67"/>
        <v>67.032000000000011</v>
      </c>
      <c r="M844" s="2">
        <v>16</v>
      </c>
      <c r="N844" s="2">
        <v>73.8</v>
      </c>
      <c r="O844" s="2">
        <f t="shared" si="68"/>
        <v>1180.8</v>
      </c>
      <c r="P844" s="2">
        <f t="shared" si="69"/>
        <v>1.7379275873259052</v>
      </c>
      <c r="Q844" s="7">
        <f t="shared" si="70"/>
        <v>1.7229127340856465</v>
      </c>
      <c r="R844" s="2" t="s">
        <v>229</v>
      </c>
      <c r="S844" s="2" t="s">
        <v>28</v>
      </c>
      <c r="T844" s="2" t="s">
        <v>32</v>
      </c>
    </row>
    <row r="845" spans="1:20" x14ac:dyDescent="0.3">
      <c r="A845" s="2" t="s">
        <v>226</v>
      </c>
      <c r="B845" s="2" t="s">
        <v>181</v>
      </c>
      <c r="C845" s="2">
        <v>71800000</v>
      </c>
      <c r="D845" s="2">
        <v>2023</v>
      </c>
      <c r="E845" s="2" t="s">
        <v>33</v>
      </c>
      <c r="F845" s="4">
        <v>8.9999999999999996E-7</v>
      </c>
      <c r="G845" s="2">
        <v>8</v>
      </c>
      <c r="H845" s="2">
        <f t="shared" si="66"/>
        <v>1978.3840072</v>
      </c>
      <c r="I845" s="2">
        <v>64</v>
      </c>
      <c r="J845" s="2">
        <v>0.13300000000000001</v>
      </c>
      <c r="K845" s="2">
        <v>7</v>
      </c>
      <c r="L845" s="2">
        <f t="shared" si="67"/>
        <v>59.584000000000003</v>
      </c>
      <c r="M845" s="2">
        <v>26</v>
      </c>
      <c r="N845" s="2">
        <v>73.8</v>
      </c>
      <c r="O845" s="2">
        <f t="shared" si="68"/>
        <v>1918.8</v>
      </c>
      <c r="P845" s="2">
        <f t="shared" si="69"/>
        <v>2.7554094807799441</v>
      </c>
      <c r="Q845" s="7">
        <f t="shared" si="70"/>
        <v>2.7177943492100898</v>
      </c>
      <c r="R845" s="2" t="s">
        <v>230</v>
      </c>
      <c r="S845" s="2" t="s">
        <v>35</v>
      </c>
      <c r="T845" s="2" t="s">
        <v>28</v>
      </c>
    </row>
    <row r="846" spans="1:20" x14ac:dyDescent="0.3">
      <c r="A846" s="2" t="s">
        <v>226</v>
      </c>
      <c r="B846" s="2" t="s">
        <v>181</v>
      </c>
      <c r="C846" s="2">
        <v>71800000</v>
      </c>
      <c r="D846" s="2">
        <v>2023</v>
      </c>
      <c r="E846" s="2" t="s">
        <v>37</v>
      </c>
      <c r="F846" s="4">
        <v>6.5099999999999997E-5</v>
      </c>
      <c r="G846" s="2">
        <v>6</v>
      </c>
      <c r="H846" s="2">
        <f t="shared" si="66"/>
        <v>2801.2803905999999</v>
      </c>
      <c r="I846" s="2">
        <v>4377</v>
      </c>
      <c r="J846" s="2">
        <v>0.128</v>
      </c>
      <c r="K846" s="2">
        <v>5</v>
      </c>
      <c r="L846" s="2">
        <f t="shared" si="67"/>
        <v>2801.2799999999997</v>
      </c>
      <c r="M846" s="2">
        <v>0</v>
      </c>
      <c r="N846" s="2">
        <v>73.8</v>
      </c>
      <c r="O846" s="2">
        <f t="shared" si="68"/>
        <v>0</v>
      </c>
      <c r="P846" s="2">
        <f t="shared" si="69"/>
        <v>3.9015047222841224</v>
      </c>
      <c r="Q846" s="7">
        <f t="shared" si="70"/>
        <v>3.8263762421992809</v>
      </c>
      <c r="R846" s="2" t="s">
        <v>231</v>
      </c>
      <c r="S846" s="2" t="s">
        <v>155</v>
      </c>
      <c r="T846" s="2" t="s">
        <v>156</v>
      </c>
    </row>
    <row r="847" spans="1:20" x14ac:dyDescent="0.3">
      <c r="A847" s="2" t="s">
        <v>226</v>
      </c>
      <c r="B847" s="2" t="s">
        <v>181</v>
      </c>
      <c r="C847" s="2">
        <v>71800000</v>
      </c>
      <c r="D847" s="2">
        <v>2023</v>
      </c>
      <c r="E847" s="2" t="s">
        <v>41</v>
      </c>
      <c r="F847" s="4">
        <v>1.9999999999999999E-6</v>
      </c>
      <c r="G847" s="2">
        <v>6</v>
      </c>
      <c r="H847" s="2">
        <f t="shared" si="66"/>
        <v>4144.440012</v>
      </c>
      <c r="I847" s="2">
        <v>178</v>
      </c>
      <c r="J847" s="2">
        <v>0.12</v>
      </c>
      <c r="K847" s="2">
        <v>4</v>
      </c>
      <c r="L847" s="2">
        <f t="shared" si="67"/>
        <v>85.44</v>
      </c>
      <c r="M847" s="2">
        <v>55</v>
      </c>
      <c r="N847" s="2">
        <v>73.8</v>
      </c>
      <c r="O847" s="2">
        <f t="shared" si="68"/>
        <v>4059</v>
      </c>
      <c r="P847" s="2">
        <f t="shared" si="69"/>
        <v>5.7722005738161561</v>
      </c>
      <c r="Q847" s="7">
        <f t="shared" si="70"/>
        <v>5.6087686826234879</v>
      </c>
      <c r="R847" s="2" t="s">
        <v>232</v>
      </c>
      <c r="S847" s="2" t="s">
        <v>158</v>
      </c>
      <c r="T847" s="2" t="s">
        <v>159</v>
      </c>
    </row>
    <row r="848" spans="1:20" x14ac:dyDescent="0.3">
      <c r="A848" s="2" t="s">
        <v>226</v>
      </c>
      <c r="B848" s="2" t="s">
        <v>181</v>
      </c>
      <c r="C848" s="2">
        <v>72015400</v>
      </c>
      <c r="D848" s="2">
        <v>2024</v>
      </c>
      <c r="E848" s="2" t="s">
        <v>22</v>
      </c>
      <c r="F848" s="4">
        <v>6.9999999999999997E-7</v>
      </c>
      <c r="G848" s="2">
        <v>9</v>
      </c>
      <c r="H848" s="2">
        <f t="shared" si="66"/>
        <v>3849.6000063000001</v>
      </c>
      <c r="I848" s="2">
        <v>150</v>
      </c>
      <c r="J848" s="2">
        <v>0.13300000000000001</v>
      </c>
      <c r="K848" s="2">
        <v>8</v>
      </c>
      <c r="L848" s="2">
        <f t="shared" si="67"/>
        <v>159.60000000000002</v>
      </c>
      <c r="M848" s="2">
        <v>50</v>
      </c>
      <c r="N848" s="2">
        <v>73.8</v>
      </c>
      <c r="O848" s="2">
        <f t="shared" si="68"/>
        <v>3690</v>
      </c>
      <c r="P848" s="2">
        <f t="shared" si="69"/>
        <v>5.3455233273716454</v>
      </c>
      <c r="Q848" s="7">
        <f t="shared" si="70"/>
        <v>5.2051623400549136</v>
      </c>
      <c r="R848" s="2" t="s">
        <v>227</v>
      </c>
      <c r="S848" s="2" t="s">
        <v>28</v>
      </c>
      <c r="T848" s="2" t="s">
        <v>163</v>
      </c>
    </row>
    <row r="849" spans="1:20" x14ac:dyDescent="0.3">
      <c r="A849" s="2" t="s">
        <v>226</v>
      </c>
      <c r="B849" s="2" t="s">
        <v>181</v>
      </c>
      <c r="C849" s="2">
        <v>72015400</v>
      </c>
      <c r="D849" s="2">
        <v>2024</v>
      </c>
      <c r="E849" s="2" t="s">
        <v>26</v>
      </c>
      <c r="F849" s="4">
        <v>0</v>
      </c>
      <c r="G849" s="2">
        <v>7</v>
      </c>
      <c r="H849" s="2">
        <f t="shared" si="66"/>
        <v>89.759999999999991</v>
      </c>
      <c r="I849" s="2">
        <v>20</v>
      </c>
      <c r="J849" s="2">
        <v>0.13300000000000001</v>
      </c>
      <c r="K849" s="2">
        <v>6</v>
      </c>
      <c r="L849" s="2">
        <f t="shared" si="67"/>
        <v>15.96</v>
      </c>
      <c r="M849" s="2">
        <v>1</v>
      </c>
      <c r="N849" s="2">
        <v>73.8</v>
      </c>
      <c r="O849" s="2">
        <f t="shared" si="68"/>
        <v>73.8</v>
      </c>
      <c r="P849" s="2">
        <f t="shared" si="69"/>
        <v>0.12464000755393984</v>
      </c>
      <c r="Q849" s="7">
        <f t="shared" si="70"/>
        <v>0.12456236415812061</v>
      </c>
      <c r="R849" s="2" t="s">
        <v>228</v>
      </c>
      <c r="S849" s="2" t="s">
        <v>28</v>
      </c>
      <c r="T849" s="2" t="s">
        <v>150</v>
      </c>
    </row>
    <row r="850" spans="1:20" x14ac:dyDescent="0.3">
      <c r="A850" s="2" t="s">
        <v>226</v>
      </c>
      <c r="B850" s="2" t="s">
        <v>181</v>
      </c>
      <c r="C850" s="2">
        <v>72015400</v>
      </c>
      <c r="D850" s="2">
        <v>2024</v>
      </c>
      <c r="E850" s="2" t="s">
        <v>151</v>
      </c>
      <c r="F850" s="4">
        <v>1.3999999999999999E-6</v>
      </c>
      <c r="G850" s="2">
        <v>7</v>
      </c>
      <c r="H850" s="2">
        <f t="shared" si="66"/>
        <v>1254.2160097999999</v>
      </c>
      <c r="I850" s="2">
        <v>92</v>
      </c>
      <c r="J850" s="2">
        <v>0.13300000000000001</v>
      </c>
      <c r="K850" s="2">
        <v>6</v>
      </c>
      <c r="L850" s="2">
        <f t="shared" si="67"/>
        <v>73.415999999999997</v>
      </c>
      <c r="M850" s="2">
        <v>16</v>
      </c>
      <c r="N850" s="2">
        <v>73.8</v>
      </c>
      <c r="O850" s="2">
        <f t="shared" si="68"/>
        <v>1180.8</v>
      </c>
      <c r="P850" s="2">
        <f t="shared" si="69"/>
        <v>1.7415941726352975</v>
      </c>
      <c r="Q850" s="7">
        <f t="shared" si="70"/>
        <v>1.7265160812695357</v>
      </c>
      <c r="R850" s="2" t="s">
        <v>229</v>
      </c>
      <c r="S850" s="2" t="s">
        <v>28</v>
      </c>
      <c r="T850" s="2" t="s">
        <v>32</v>
      </c>
    </row>
    <row r="851" spans="1:20" x14ac:dyDescent="0.3">
      <c r="A851" s="2" t="s">
        <v>226</v>
      </c>
      <c r="B851" s="2" t="s">
        <v>181</v>
      </c>
      <c r="C851" s="2">
        <v>72015400</v>
      </c>
      <c r="D851" s="2">
        <v>2024</v>
      </c>
      <c r="E851" s="2" t="s">
        <v>33</v>
      </c>
      <c r="F851" s="4">
        <v>7.9999999999999996E-7</v>
      </c>
      <c r="G851" s="2">
        <v>8</v>
      </c>
      <c r="H851" s="2">
        <f t="shared" si="66"/>
        <v>1899.9290064000002</v>
      </c>
      <c r="I851" s="2">
        <v>59</v>
      </c>
      <c r="J851" s="2">
        <v>0.13300000000000001</v>
      </c>
      <c r="K851" s="2">
        <v>7</v>
      </c>
      <c r="L851" s="2">
        <f t="shared" si="67"/>
        <v>54.929000000000002</v>
      </c>
      <c r="M851" s="2">
        <v>25</v>
      </c>
      <c r="N851" s="2">
        <v>73.8</v>
      </c>
      <c r="O851" s="2">
        <f t="shared" si="68"/>
        <v>1845</v>
      </c>
      <c r="P851" s="2">
        <f t="shared" si="69"/>
        <v>2.6382259994390092</v>
      </c>
      <c r="Q851" s="7">
        <f t="shared" si="70"/>
        <v>2.6037288539969672</v>
      </c>
      <c r="R851" s="2" t="s">
        <v>230</v>
      </c>
      <c r="S851" s="2" t="s">
        <v>35</v>
      </c>
      <c r="T851" s="2" t="s">
        <v>28</v>
      </c>
    </row>
    <row r="852" spans="1:20" x14ac:dyDescent="0.3">
      <c r="A852" s="2" t="s">
        <v>226</v>
      </c>
      <c r="B852" s="2" t="s">
        <v>181</v>
      </c>
      <c r="C852" s="2">
        <v>72015400</v>
      </c>
      <c r="D852" s="2">
        <v>2024</v>
      </c>
      <c r="E852" s="2" t="s">
        <v>37</v>
      </c>
      <c r="F852" s="4">
        <v>6.1099999999999994E-5</v>
      </c>
      <c r="G852" s="2">
        <v>6</v>
      </c>
      <c r="H852" s="2">
        <f t="shared" si="66"/>
        <v>3033.6003666000001</v>
      </c>
      <c r="I852" s="2">
        <v>4740</v>
      </c>
      <c r="J852" s="2">
        <v>0.128</v>
      </c>
      <c r="K852" s="2">
        <v>5</v>
      </c>
      <c r="L852" s="2">
        <f t="shared" si="67"/>
        <v>3033.6000000000004</v>
      </c>
      <c r="M852" s="2">
        <v>0</v>
      </c>
      <c r="N852" s="2">
        <v>73.8</v>
      </c>
      <c r="O852" s="2">
        <f t="shared" si="68"/>
        <v>0</v>
      </c>
      <c r="P852" s="2">
        <f t="shared" si="69"/>
        <v>4.212432849918212</v>
      </c>
      <c r="Q852" s="7">
        <f t="shared" si="70"/>
        <v>4.1249426857651095</v>
      </c>
      <c r="R852" s="2" t="s">
        <v>231</v>
      </c>
      <c r="S852" s="2" t="s">
        <v>155</v>
      </c>
      <c r="T852" s="2" t="s">
        <v>156</v>
      </c>
    </row>
    <row r="853" spans="1:20" x14ac:dyDescent="0.3">
      <c r="A853" s="2" t="s">
        <v>226</v>
      </c>
      <c r="B853" s="2" t="s">
        <v>181</v>
      </c>
      <c r="C853" s="2">
        <v>72015400</v>
      </c>
      <c r="D853" s="2">
        <v>2024</v>
      </c>
      <c r="E853" s="2" t="s">
        <v>41</v>
      </c>
      <c r="F853" s="4">
        <v>1.9999999999999999E-6</v>
      </c>
      <c r="G853" s="2">
        <v>6</v>
      </c>
      <c r="H853" s="2">
        <f t="shared" si="66"/>
        <v>4141.0800120000004</v>
      </c>
      <c r="I853" s="2">
        <v>171</v>
      </c>
      <c r="J853" s="2">
        <v>0.12</v>
      </c>
      <c r="K853" s="2">
        <v>4</v>
      </c>
      <c r="L853" s="2">
        <f t="shared" si="67"/>
        <v>82.08</v>
      </c>
      <c r="M853" s="2">
        <v>55</v>
      </c>
      <c r="N853" s="2">
        <v>73.8</v>
      </c>
      <c r="O853" s="2">
        <f t="shared" si="68"/>
        <v>4059</v>
      </c>
      <c r="P853" s="2">
        <f t="shared" si="69"/>
        <v>5.7502700977846413</v>
      </c>
      <c r="Q853" s="7">
        <f t="shared" si="70"/>
        <v>5.588065966244427</v>
      </c>
      <c r="R853" s="2" t="s">
        <v>232</v>
      </c>
      <c r="S853" s="2" t="s">
        <v>158</v>
      </c>
      <c r="T853" s="2" t="s">
        <v>159</v>
      </c>
    </row>
    <row r="854" spans="1:20" x14ac:dyDescent="0.3">
      <c r="A854" s="2" t="s">
        <v>226</v>
      </c>
      <c r="B854" s="2" t="s">
        <v>181</v>
      </c>
      <c r="C854" s="2">
        <v>72231446</v>
      </c>
      <c r="D854" s="2">
        <v>2025</v>
      </c>
      <c r="E854" s="2" t="s">
        <v>22</v>
      </c>
      <c r="F854" s="4">
        <v>5.9999999999999997E-7</v>
      </c>
      <c r="G854" s="2">
        <v>9</v>
      </c>
      <c r="H854" s="2">
        <f t="shared" si="66"/>
        <v>3155.6080053999999</v>
      </c>
      <c r="I854" s="2">
        <v>122</v>
      </c>
      <c r="J854" s="2">
        <v>0.13300000000000001</v>
      </c>
      <c r="K854" s="2">
        <v>8</v>
      </c>
      <c r="L854" s="2">
        <f t="shared" si="67"/>
        <v>129.80799999999999</v>
      </c>
      <c r="M854" s="2">
        <v>41</v>
      </c>
      <c r="N854" s="2">
        <v>73.8</v>
      </c>
      <c r="O854" s="2">
        <f t="shared" si="68"/>
        <v>3025.7999999999997</v>
      </c>
      <c r="P854" s="2">
        <f t="shared" si="69"/>
        <v>4.3687454428089394</v>
      </c>
      <c r="Q854" s="7">
        <f t="shared" si="70"/>
        <v>4.274690406025627</v>
      </c>
      <c r="R854" s="2" t="s">
        <v>227</v>
      </c>
      <c r="S854" s="2" t="s">
        <v>28</v>
      </c>
      <c r="T854" s="2" t="s">
        <v>163</v>
      </c>
    </row>
    <row r="855" spans="1:20" x14ac:dyDescent="0.3">
      <c r="A855" s="2" t="s">
        <v>226</v>
      </c>
      <c r="B855" s="2" t="s">
        <v>181</v>
      </c>
      <c r="C855" s="2">
        <v>72231446</v>
      </c>
      <c r="D855" s="2">
        <v>2025</v>
      </c>
      <c r="E855" s="2" t="s">
        <v>26</v>
      </c>
      <c r="F855" s="4">
        <v>0</v>
      </c>
      <c r="G855" s="2">
        <v>7</v>
      </c>
      <c r="H855" s="2">
        <f t="shared" si="66"/>
        <v>88.962000000000003</v>
      </c>
      <c r="I855" s="2">
        <v>19</v>
      </c>
      <c r="J855" s="2">
        <v>0.13300000000000001</v>
      </c>
      <c r="K855" s="2">
        <v>6</v>
      </c>
      <c r="L855" s="2">
        <f t="shared" si="67"/>
        <v>15.162000000000001</v>
      </c>
      <c r="M855" s="2">
        <v>1</v>
      </c>
      <c r="N855" s="2">
        <v>73.8</v>
      </c>
      <c r="O855" s="2">
        <f t="shared" si="68"/>
        <v>73.8</v>
      </c>
      <c r="P855" s="2">
        <f t="shared" si="69"/>
        <v>0.12316242429924497</v>
      </c>
      <c r="Q855" s="7">
        <f t="shared" si="70"/>
        <v>0.12308661051334546</v>
      </c>
      <c r="R855" s="2" t="s">
        <v>228</v>
      </c>
      <c r="S855" s="2" t="s">
        <v>28</v>
      </c>
      <c r="T855" s="2" t="s">
        <v>150</v>
      </c>
    </row>
    <row r="856" spans="1:20" x14ac:dyDescent="0.3">
      <c r="A856" s="2" t="s">
        <v>226</v>
      </c>
      <c r="B856" s="2" t="s">
        <v>181</v>
      </c>
      <c r="C856" s="2">
        <v>72231446</v>
      </c>
      <c r="D856" s="2">
        <v>2025</v>
      </c>
      <c r="E856" s="2" t="s">
        <v>151</v>
      </c>
      <c r="F856" s="4">
        <v>1.3999999999999999E-6</v>
      </c>
      <c r="G856" s="2">
        <v>7</v>
      </c>
      <c r="H856" s="2">
        <f t="shared" ref="H856:H887" si="71">L856+O856+G856*F856</f>
        <v>1255.8120097999999</v>
      </c>
      <c r="I856" s="2">
        <v>94</v>
      </c>
      <c r="J856" s="2">
        <v>0.13300000000000001</v>
      </c>
      <c r="K856" s="2">
        <v>6</v>
      </c>
      <c r="L856" s="2">
        <f t="shared" ref="L856:L887" si="72">I856*J856*K856</f>
        <v>75.012</v>
      </c>
      <c r="M856" s="2">
        <v>16</v>
      </c>
      <c r="N856" s="2">
        <v>73.8</v>
      </c>
      <c r="O856" s="2">
        <f t="shared" ref="O856:O887" si="73">M856*N856</f>
        <v>1180.8</v>
      </c>
      <c r="P856" s="2">
        <f t="shared" ref="P856:P871" si="74">H856/C856*100000</f>
        <v>1.7385945863523207</v>
      </c>
      <c r="Q856" s="7">
        <f t="shared" si="70"/>
        <v>1.7235682391147922</v>
      </c>
      <c r="R856" s="2" t="s">
        <v>229</v>
      </c>
      <c r="S856" s="2" t="s">
        <v>28</v>
      </c>
      <c r="T856" s="2" t="s">
        <v>32</v>
      </c>
    </row>
    <row r="857" spans="1:20" x14ac:dyDescent="0.3">
      <c r="A857" s="2" t="s">
        <v>226</v>
      </c>
      <c r="B857" s="2" t="s">
        <v>181</v>
      </c>
      <c r="C857" s="2">
        <v>72231446</v>
      </c>
      <c r="D857" s="2">
        <v>2025</v>
      </c>
      <c r="E857" s="2" t="s">
        <v>33</v>
      </c>
      <c r="F857" s="4">
        <v>7.9999999999999996E-7</v>
      </c>
      <c r="G857" s="2">
        <v>8</v>
      </c>
      <c r="H857" s="2">
        <f t="shared" si="71"/>
        <v>2053.1150063999999</v>
      </c>
      <c r="I857" s="2">
        <v>65</v>
      </c>
      <c r="J857" s="2">
        <v>0.13300000000000001</v>
      </c>
      <c r="K857" s="2">
        <v>7</v>
      </c>
      <c r="L857" s="2">
        <f t="shared" si="72"/>
        <v>60.515000000000001</v>
      </c>
      <c r="M857" s="2">
        <v>27</v>
      </c>
      <c r="N857" s="2">
        <v>73.8</v>
      </c>
      <c r="O857" s="2">
        <f t="shared" si="73"/>
        <v>1992.6</v>
      </c>
      <c r="P857" s="2">
        <f t="shared" si="74"/>
        <v>2.8424116089272253</v>
      </c>
      <c r="Q857" s="7">
        <f t="shared" si="70"/>
        <v>2.802395130858204</v>
      </c>
      <c r="R857" s="2" t="s">
        <v>230</v>
      </c>
      <c r="S857" s="2" t="s">
        <v>35</v>
      </c>
      <c r="T857" s="2" t="s">
        <v>28</v>
      </c>
    </row>
    <row r="858" spans="1:20" x14ac:dyDescent="0.3">
      <c r="A858" s="2" t="s">
        <v>226</v>
      </c>
      <c r="B858" s="2" t="s">
        <v>181</v>
      </c>
      <c r="C858" s="2">
        <v>72231446</v>
      </c>
      <c r="D858" s="2">
        <v>2025</v>
      </c>
      <c r="E858" s="2" t="s">
        <v>37</v>
      </c>
      <c r="F858" s="4">
        <v>6.5599999999999995E-5</v>
      </c>
      <c r="G858" s="2">
        <v>6</v>
      </c>
      <c r="H858" s="2">
        <f t="shared" si="71"/>
        <v>2753.2803936</v>
      </c>
      <c r="I858" s="2">
        <v>4302</v>
      </c>
      <c r="J858" s="2">
        <v>0.128</v>
      </c>
      <c r="K858" s="2">
        <v>5</v>
      </c>
      <c r="L858" s="2">
        <f t="shared" si="72"/>
        <v>2753.28</v>
      </c>
      <c r="M858" s="2">
        <v>0</v>
      </c>
      <c r="N858" s="2">
        <v>73.8</v>
      </c>
      <c r="O858" s="2">
        <f t="shared" si="73"/>
        <v>0</v>
      </c>
      <c r="P858" s="2">
        <f t="shared" si="74"/>
        <v>3.8117475781946828</v>
      </c>
      <c r="Q858" s="7">
        <f t="shared" si="70"/>
        <v>3.7400147921593629</v>
      </c>
      <c r="R858" s="2" t="s">
        <v>231</v>
      </c>
      <c r="S858" s="2" t="s">
        <v>155</v>
      </c>
      <c r="T858" s="2" t="s">
        <v>156</v>
      </c>
    </row>
    <row r="859" spans="1:20" x14ac:dyDescent="0.3">
      <c r="A859" s="2" t="s">
        <v>226</v>
      </c>
      <c r="B859" s="2" t="s">
        <v>181</v>
      </c>
      <c r="C859" s="2">
        <v>72231446</v>
      </c>
      <c r="D859" s="2">
        <v>2025</v>
      </c>
      <c r="E859" s="2" t="s">
        <v>41</v>
      </c>
      <c r="F859" s="4">
        <v>1.9999999999999999E-6</v>
      </c>
      <c r="G859" s="2">
        <v>6</v>
      </c>
      <c r="H859" s="2">
        <f t="shared" si="71"/>
        <v>4143.0000120000004</v>
      </c>
      <c r="I859" s="2">
        <v>175</v>
      </c>
      <c r="J859" s="2">
        <v>0.12</v>
      </c>
      <c r="K859" s="2">
        <v>4</v>
      </c>
      <c r="L859" s="2">
        <f t="shared" si="72"/>
        <v>84</v>
      </c>
      <c r="M859" s="2">
        <v>55</v>
      </c>
      <c r="N859" s="2">
        <v>73.8</v>
      </c>
      <c r="O859" s="2">
        <f t="shared" si="73"/>
        <v>4059</v>
      </c>
      <c r="P859" s="2">
        <f t="shared" si="74"/>
        <v>5.7357290230628921</v>
      </c>
      <c r="Q859" s="7">
        <f t="shared" si="70"/>
        <v>5.5743364581855026</v>
      </c>
      <c r="R859" s="2" t="s">
        <v>232</v>
      </c>
      <c r="S859" s="2" t="s">
        <v>158</v>
      </c>
      <c r="T859" s="2" t="s">
        <v>159</v>
      </c>
    </row>
    <row r="860" spans="1:20" x14ac:dyDescent="0.3">
      <c r="A860" s="2" t="s">
        <v>234</v>
      </c>
      <c r="B860" s="2" t="s">
        <v>129</v>
      </c>
      <c r="C860" s="2">
        <v>11356134</v>
      </c>
      <c r="D860" s="2">
        <v>2015</v>
      </c>
      <c r="E860" s="2" t="s">
        <v>22</v>
      </c>
      <c r="F860" s="4">
        <v>6.9999999999999999E-6</v>
      </c>
      <c r="G860" s="2">
        <v>9</v>
      </c>
      <c r="H860" s="2">
        <f t="shared" si="71"/>
        <v>1210.5920629999998</v>
      </c>
      <c r="I860" s="2">
        <v>28</v>
      </c>
      <c r="J860" s="2">
        <v>0.13300000000000001</v>
      </c>
      <c r="K860" s="2">
        <v>8</v>
      </c>
      <c r="L860" s="2">
        <f t="shared" si="72"/>
        <v>29.792000000000002</v>
      </c>
      <c r="M860" s="2">
        <v>16</v>
      </c>
      <c r="N860" s="2">
        <v>73.8</v>
      </c>
      <c r="O860" s="2">
        <f t="shared" si="73"/>
        <v>1180.8</v>
      </c>
      <c r="P860" s="2">
        <f t="shared" si="74"/>
        <v>10.660248135501041</v>
      </c>
      <c r="Q860" s="7">
        <f t="shared" si="70"/>
        <v>10.11170752992755</v>
      </c>
      <c r="R860" s="2" t="s">
        <v>235</v>
      </c>
      <c r="S860" s="2" t="s">
        <v>28</v>
      </c>
      <c r="T860" s="2" t="s">
        <v>163</v>
      </c>
    </row>
    <row r="861" spans="1:20" x14ac:dyDescent="0.3">
      <c r="A861" s="2" t="s">
        <v>234</v>
      </c>
      <c r="B861" s="2" t="s">
        <v>129</v>
      </c>
      <c r="C861" s="2">
        <v>11356134</v>
      </c>
      <c r="D861" s="2">
        <v>2015</v>
      </c>
      <c r="E861" s="2" t="s">
        <v>26</v>
      </c>
      <c r="F861" s="4">
        <v>0</v>
      </c>
      <c r="G861" s="2">
        <v>7</v>
      </c>
      <c r="H861" s="2">
        <f t="shared" si="71"/>
        <v>106.518</v>
      </c>
      <c r="I861" s="2">
        <v>41</v>
      </c>
      <c r="J861" s="2">
        <v>0.13300000000000001</v>
      </c>
      <c r="K861" s="2">
        <v>6</v>
      </c>
      <c r="L861" s="2">
        <f t="shared" si="72"/>
        <v>32.718000000000004</v>
      </c>
      <c r="M861" s="2">
        <v>1</v>
      </c>
      <c r="N861" s="2">
        <v>73.8</v>
      </c>
      <c r="O861" s="2">
        <f t="shared" si="73"/>
        <v>73.8</v>
      </c>
      <c r="P861" s="2">
        <f t="shared" si="74"/>
        <v>0.9379776603551877</v>
      </c>
      <c r="Q861" s="7">
        <f t="shared" si="70"/>
        <v>0.93359237161859676</v>
      </c>
      <c r="R861" s="2" t="s">
        <v>236</v>
      </c>
      <c r="S861" s="2" t="s">
        <v>28</v>
      </c>
      <c r="T861" s="2" t="s">
        <v>150</v>
      </c>
    </row>
    <row r="862" spans="1:20" x14ac:dyDescent="0.3">
      <c r="A862" s="2" t="s">
        <v>234</v>
      </c>
      <c r="B862" s="2" t="s">
        <v>129</v>
      </c>
      <c r="C862" s="2">
        <v>11356134</v>
      </c>
      <c r="D862" s="2">
        <v>2015</v>
      </c>
      <c r="E862" s="2" t="s">
        <v>151</v>
      </c>
      <c r="F862" s="4">
        <v>1.9999999999999999E-6</v>
      </c>
      <c r="G862" s="2">
        <v>7</v>
      </c>
      <c r="H862" s="2">
        <f t="shared" si="71"/>
        <v>165.156014</v>
      </c>
      <c r="I862" s="2">
        <v>22</v>
      </c>
      <c r="J862" s="2">
        <v>0.13300000000000001</v>
      </c>
      <c r="K862" s="2">
        <v>6</v>
      </c>
      <c r="L862" s="2">
        <f t="shared" si="72"/>
        <v>17.556000000000001</v>
      </c>
      <c r="M862" s="2">
        <v>2</v>
      </c>
      <c r="N862" s="2">
        <v>73.8</v>
      </c>
      <c r="O862" s="2">
        <f t="shared" si="73"/>
        <v>147.6</v>
      </c>
      <c r="P862" s="2">
        <f t="shared" si="74"/>
        <v>1.4543330855377368</v>
      </c>
      <c r="Q862" s="7">
        <f t="shared" si="70"/>
        <v>1.4438087433557123</v>
      </c>
      <c r="R862" s="2" t="s">
        <v>237</v>
      </c>
      <c r="S862" s="2" t="s">
        <v>28</v>
      </c>
      <c r="T862" s="2" t="s">
        <v>32</v>
      </c>
    </row>
    <row r="863" spans="1:20" x14ac:dyDescent="0.3">
      <c r="A863" s="2" t="s">
        <v>234</v>
      </c>
      <c r="B863" s="2" t="s">
        <v>129</v>
      </c>
      <c r="C863" s="2">
        <v>11356134</v>
      </c>
      <c r="D863" s="2">
        <v>2015</v>
      </c>
      <c r="E863" s="2" t="s">
        <v>33</v>
      </c>
      <c r="F863" s="4">
        <v>2.5999999999999998E-5</v>
      </c>
      <c r="G863" s="2">
        <v>8</v>
      </c>
      <c r="H863" s="2">
        <f t="shared" si="71"/>
        <v>4537.8582080000006</v>
      </c>
      <c r="I863" s="2">
        <v>118</v>
      </c>
      <c r="J863" s="2">
        <v>0.13300000000000001</v>
      </c>
      <c r="K863" s="2">
        <v>7</v>
      </c>
      <c r="L863" s="2">
        <f t="shared" si="72"/>
        <v>109.858</v>
      </c>
      <c r="M863" s="2">
        <v>60</v>
      </c>
      <c r="N863" s="2">
        <v>73.8</v>
      </c>
      <c r="O863" s="2">
        <f t="shared" si="73"/>
        <v>4428</v>
      </c>
      <c r="P863" s="2">
        <f t="shared" si="74"/>
        <v>39.959533834313689</v>
      </c>
      <c r="Q863" s="7">
        <f t="shared" si="70"/>
        <v>32.940864625369173</v>
      </c>
      <c r="R863" s="2" t="s">
        <v>238</v>
      </c>
      <c r="S863" s="2" t="s">
        <v>35</v>
      </c>
      <c r="T863" s="2" t="s">
        <v>28</v>
      </c>
    </row>
    <row r="864" spans="1:20" x14ac:dyDescent="0.3">
      <c r="A864" s="2" t="s">
        <v>234</v>
      </c>
      <c r="B864" s="2" t="s">
        <v>129</v>
      </c>
      <c r="C864" s="2">
        <v>11356134</v>
      </c>
      <c r="D864" s="2">
        <v>2015</v>
      </c>
      <c r="E864" s="2" t="s">
        <v>37</v>
      </c>
      <c r="F864" s="4">
        <v>3.6400000000000001E-4</v>
      </c>
      <c r="G864" s="2">
        <v>6</v>
      </c>
      <c r="H864" s="2">
        <f t="shared" si="71"/>
        <v>2313.6021840000003</v>
      </c>
      <c r="I864" s="2">
        <v>3615</v>
      </c>
      <c r="J864" s="2">
        <v>0.128</v>
      </c>
      <c r="K864" s="2">
        <v>5</v>
      </c>
      <c r="L864" s="2">
        <f t="shared" si="72"/>
        <v>2313.6000000000004</v>
      </c>
      <c r="M864" s="2">
        <v>0</v>
      </c>
      <c r="N864" s="2">
        <v>73.8</v>
      </c>
      <c r="O864" s="2">
        <f t="shared" si="73"/>
        <v>0</v>
      </c>
      <c r="P864" s="2">
        <f t="shared" si="74"/>
        <v>20.37314973564067</v>
      </c>
      <c r="Q864" s="7">
        <f t="shared" si="70"/>
        <v>18.431864561282431</v>
      </c>
      <c r="R864" s="2" t="s">
        <v>239</v>
      </c>
      <c r="S864" s="2" t="s">
        <v>155</v>
      </c>
      <c r="T864" s="2" t="s">
        <v>156</v>
      </c>
    </row>
    <row r="865" spans="1:20" x14ac:dyDescent="0.3">
      <c r="A865" s="2" t="s">
        <v>234</v>
      </c>
      <c r="B865" s="2" t="s">
        <v>129</v>
      </c>
      <c r="C865" s="2">
        <v>11356134</v>
      </c>
      <c r="D865" s="2">
        <v>2015</v>
      </c>
      <c r="E865" s="2" t="s">
        <v>41</v>
      </c>
      <c r="F865" s="4">
        <v>3.0000000000000001E-6</v>
      </c>
      <c r="G865" s="2">
        <v>6</v>
      </c>
      <c r="H865" s="2">
        <f t="shared" si="71"/>
        <v>753.84001799999999</v>
      </c>
      <c r="I865" s="2">
        <v>33</v>
      </c>
      <c r="J865" s="2">
        <v>0.12</v>
      </c>
      <c r="K865" s="2">
        <v>4</v>
      </c>
      <c r="L865" s="2">
        <f t="shared" si="72"/>
        <v>15.84</v>
      </c>
      <c r="M865" s="2">
        <v>10</v>
      </c>
      <c r="N865" s="2">
        <v>73.8</v>
      </c>
      <c r="O865" s="2">
        <f t="shared" si="73"/>
        <v>738</v>
      </c>
      <c r="P865" s="2">
        <f t="shared" si="74"/>
        <v>6.6381747344650917</v>
      </c>
      <c r="Q865" s="7">
        <f t="shared" si="70"/>
        <v>6.4226432977089303</v>
      </c>
      <c r="R865" s="2" t="s">
        <v>240</v>
      </c>
      <c r="S865" s="2" t="s">
        <v>158</v>
      </c>
      <c r="T865" s="2" t="s">
        <v>159</v>
      </c>
    </row>
    <row r="866" spans="1:20" x14ac:dyDescent="0.3">
      <c r="A866" s="2" t="s">
        <v>234</v>
      </c>
      <c r="B866" s="2" t="s">
        <v>129</v>
      </c>
      <c r="C866" s="2">
        <v>11458339</v>
      </c>
      <c r="D866" s="2">
        <v>2016</v>
      </c>
      <c r="E866" s="2" t="s">
        <v>22</v>
      </c>
      <c r="F866" s="4">
        <v>6.9999999999999999E-6</v>
      </c>
      <c r="G866" s="2">
        <v>9</v>
      </c>
      <c r="H866" s="2">
        <f t="shared" si="71"/>
        <v>1139.9840629999999</v>
      </c>
      <c r="I866" s="2">
        <v>31</v>
      </c>
      <c r="J866" s="2">
        <v>0.13300000000000001</v>
      </c>
      <c r="K866" s="2">
        <v>8</v>
      </c>
      <c r="L866" s="2">
        <f t="shared" si="72"/>
        <v>32.984000000000002</v>
      </c>
      <c r="M866" s="2">
        <v>15</v>
      </c>
      <c r="N866" s="2">
        <v>73.8</v>
      </c>
      <c r="O866" s="2">
        <f t="shared" si="73"/>
        <v>1107</v>
      </c>
      <c r="P866" s="2">
        <f t="shared" si="74"/>
        <v>9.9489469023389852</v>
      </c>
      <c r="Q866" s="7">
        <f t="shared" si="70"/>
        <v>9.4700516494005456</v>
      </c>
      <c r="R866" s="2" t="s">
        <v>235</v>
      </c>
      <c r="S866" s="2" t="s">
        <v>28</v>
      </c>
      <c r="T866" s="2" t="s">
        <v>163</v>
      </c>
    </row>
    <row r="867" spans="1:20" x14ac:dyDescent="0.3">
      <c r="A867" s="2" t="s">
        <v>234</v>
      </c>
      <c r="B867" s="2" t="s">
        <v>129</v>
      </c>
      <c r="C867" s="2">
        <v>11458339</v>
      </c>
      <c r="D867" s="2">
        <v>2016</v>
      </c>
      <c r="E867" s="2" t="s">
        <v>26</v>
      </c>
      <c r="F867" s="4">
        <v>0</v>
      </c>
      <c r="G867" s="2">
        <v>7</v>
      </c>
      <c r="H867" s="2">
        <f t="shared" si="71"/>
        <v>102.52799999999999</v>
      </c>
      <c r="I867" s="2">
        <v>36</v>
      </c>
      <c r="J867" s="2">
        <v>0.13300000000000001</v>
      </c>
      <c r="K867" s="2">
        <v>6</v>
      </c>
      <c r="L867" s="2">
        <f t="shared" si="72"/>
        <v>28.728000000000002</v>
      </c>
      <c r="M867" s="2">
        <v>1</v>
      </c>
      <c r="N867" s="2">
        <v>73.8</v>
      </c>
      <c r="O867" s="2">
        <f t="shared" si="73"/>
        <v>73.8</v>
      </c>
      <c r="P867" s="2">
        <f t="shared" si="74"/>
        <v>0.8947893756677997</v>
      </c>
      <c r="Q867" s="7">
        <f t="shared" si="70"/>
        <v>0.89079804906073701</v>
      </c>
      <c r="R867" s="2" t="s">
        <v>236</v>
      </c>
      <c r="S867" s="2" t="s">
        <v>28</v>
      </c>
      <c r="T867" s="2" t="s">
        <v>150</v>
      </c>
    </row>
    <row r="868" spans="1:20" x14ac:dyDescent="0.3">
      <c r="A868" s="2" t="s">
        <v>234</v>
      </c>
      <c r="B868" s="2" t="s">
        <v>129</v>
      </c>
      <c r="C868" s="2">
        <v>11458339</v>
      </c>
      <c r="D868" s="2">
        <v>2016</v>
      </c>
      <c r="E868" s="2" t="s">
        <v>151</v>
      </c>
      <c r="F868" s="4">
        <v>1.9999999999999999E-6</v>
      </c>
      <c r="G868" s="2">
        <v>7</v>
      </c>
      <c r="H868" s="2">
        <f t="shared" si="71"/>
        <v>164.358014</v>
      </c>
      <c r="I868" s="2">
        <v>21</v>
      </c>
      <c r="J868" s="2">
        <v>0.13300000000000001</v>
      </c>
      <c r="K868" s="2">
        <v>6</v>
      </c>
      <c r="L868" s="2">
        <f t="shared" si="72"/>
        <v>16.758000000000003</v>
      </c>
      <c r="M868" s="2">
        <v>2</v>
      </c>
      <c r="N868" s="2">
        <v>73.8</v>
      </c>
      <c r="O868" s="2">
        <f t="shared" si="73"/>
        <v>147.6</v>
      </c>
      <c r="P868" s="2">
        <f t="shared" si="74"/>
        <v>1.4343965037166382</v>
      </c>
      <c r="Q868" s="7">
        <f t="shared" si="70"/>
        <v>1.4241580488727701</v>
      </c>
      <c r="R868" s="2" t="s">
        <v>237</v>
      </c>
      <c r="S868" s="2" t="s">
        <v>28</v>
      </c>
      <c r="T868" s="2" t="s">
        <v>32</v>
      </c>
    </row>
    <row r="869" spans="1:20" x14ac:dyDescent="0.3">
      <c r="A869" s="2" t="s">
        <v>234</v>
      </c>
      <c r="B869" s="2" t="s">
        <v>129</v>
      </c>
      <c r="C869" s="2">
        <v>11458339</v>
      </c>
      <c r="D869" s="2">
        <v>2016</v>
      </c>
      <c r="E869" s="2" t="s">
        <v>33</v>
      </c>
      <c r="F869" s="4">
        <v>6.0000000000000002E-6</v>
      </c>
      <c r="G869" s="2">
        <v>8</v>
      </c>
      <c r="H869" s="2">
        <f t="shared" si="71"/>
        <v>1057.4060480000001</v>
      </c>
      <c r="I869" s="2">
        <v>26</v>
      </c>
      <c r="J869" s="2">
        <v>0.13300000000000001</v>
      </c>
      <c r="K869" s="2">
        <v>7</v>
      </c>
      <c r="L869" s="2">
        <f t="shared" si="72"/>
        <v>24.206000000000003</v>
      </c>
      <c r="M869" s="2">
        <v>14</v>
      </c>
      <c r="N869" s="2">
        <v>73.8</v>
      </c>
      <c r="O869" s="2">
        <f t="shared" si="73"/>
        <v>1033.2</v>
      </c>
      <c r="P869" s="2">
        <f t="shared" si="74"/>
        <v>9.2282664005664348</v>
      </c>
      <c r="Q869" s="7">
        <f t="shared" si="70"/>
        <v>8.8152633315382705</v>
      </c>
      <c r="R869" s="2" t="s">
        <v>241</v>
      </c>
      <c r="S869" s="2" t="s">
        <v>35</v>
      </c>
      <c r="T869" s="2" t="s">
        <v>28</v>
      </c>
    </row>
    <row r="870" spans="1:20" x14ac:dyDescent="0.3">
      <c r="A870" s="2" t="s">
        <v>234</v>
      </c>
      <c r="B870" s="2" t="s">
        <v>129</v>
      </c>
      <c r="C870" s="2">
        <v>11458339</v>
      </c>
      <c r="D870" s="2">
        <v>2016</v>
      </c>
      <c r="E870" s="2" t="s">
        <v>37</v>
      </c>
      <c r="F870" s="4">
        <v>3.5500000000000001E-4</v>
      </c>
      <c r="G870" s="2">
        <v>6</v>
      </c>
      <c r="H870" s="2">
        <f t="shared" si="71"/>
        <v>2579.2021300000001</v>
      </c>
      <c r="I870" s="2">
        <v>4030</v>
      </c>
      <c r="J870" s="2">
        <v>0.128</v>
      </c>
      <c r="K870" s="2">
        <v>5</v>
      </c>
      <c r="L870" s="2">
        <f t="shared" si="72"/>
        <v>2579.2000000000003</v>
      </c>
      <c r="M870" s="2">
        <v>0</v>
      </c>
      <c r="N870" s="2">
        <v>73.8</v>
      </c>
      <c r="O870" s="2">
        <f t="shared" si="73"/>
        <v>0</v>
      </c>
      <c r="P870" s="2">
        <f t="shared" si="74"/>
        <v>22.509389275356579</v>
      </c>
      <c r="Q870" s="7">
        <f t="shared" si="70"/>
        <v>20.155875260748012</v>
      </c>
      <c r="R870" s="2" t="s">
        <v>239</v>
      </c>
      <c r="S870" s="2" t="s">
        <v>155</v>
      </c>
      <c r="T870" s="2" t="s">
        <v>156</v>
      </c>
    </row>
    <row r="871" spans="1:20" x14ac:dyDescent="0.3">
      <c r="A871" s="2" t="s">
        <v>234</v>
      </c>
      <c r="B871" s="2" t="s">
        <v>129</v>
      </c>
      <c r="C871" s="2">
        <v>11458339</v>
      </c>
      <c r="D871" s="2">
        <v>2016</v>
      </c>
      <c r="E871" s="2" t="s">
        <v>41</v>
      </c>
      <c r="F871" s="4">
        <v>3.0000000000000001E-6</v>
      </c>
      <c r="G871" s="2">
        <v>6</v>
      </c>
      <c r="H871" s="2">
        <f t="shared" si="71"/>
        <v>753.36001799999997</v>
      </c>
      <c r="I871" s="2">
        <v>32</v>
      </c>
      <c r="J871" s="2">
        <v>0.12</v>
      </c>
      <c r="K871" s="2">
        <v>4</v>
      </c>
      <c r="L871" s="2">
        <f t="shared" si="72"/>
        <v>15.36</v>
      </c>
      <c r="M871" s="2">
        <v>10</v>
      </c>
      <c r="N871" s="2">
        <v>73.8</v>
      </c>
      <c r="O871" s="2">
        <f t="shared" si="73"/>
        <v>738</v>
      </c>
      <c r="P871" s="2">
        <f t="shared" si="74"/>
        <v>6.5747750873839568</v>
      </c>
      <c r="Q871" s="7">
        <f t="shared" si="70"/>
        <v>6.3632967730561045</v>
      </c>
      <c r="R871" s="2" t="s">
        <v>240</v>
      </c>
      <c r="S871" s="2" t="s">
        <v>158</v>
      </c>
      <c r="T871" s="2" t="s">
        <v>159</v>
      </c>
    </row>
    <row r="872" spans="1:20" x14ac:dyDescent="0.3">
      <c r="A872" s="2" t="s">
        <v>234</v>
      </c>
      <c r="B872" s="2" t="s">
        <v>129</v>
      </c>
      <c r="C872" s="2">
        <v>11561464</v>
      </c>
      <c r="D872" s="2">
        <v>2017</v>
      </c>
      <c r="E872" s="2" t="s">
        <v>22</v>
      </c>
      <c r="F872" s="4" t="s">
        <v>29</v>
      </c>
      <c r="G872" s="2">
        <v>9</v>
      </c>
      <c r="H872" s="2" t="s">
        <v>29</v>
      </c>
      <c r="I872" s="2" t="s">
        <v>29</v>
      </c>
      <c r="J872" s="2">
        <v>0.13300000000000001</v>
      </c>
      <c r="K872" s="2">
        <v>8</v>
      </c>
      <c r="L872" s="2" t="s">
        <v>29</v>
      </c>
      <c r="M872" s="2" t="s">
        <v>29</v>
      </c>
      <c r="N872" s="2">
        <v>73.8</v>
      </c>
      <c r="O872" s="2" t="s">
        <v>29</v>
      </c>
      <c r="P872" s="2" t="s">
        <v>29</v>
      </c>
      <c r="Q872" s="7" t="e">
        <f t="shared" si="70"/>
        <v>#VALUE!</v>
      </c>
      <c r="R872" s="2" t="s">
        <v>120</v>
      </c>
      <c r="S872" s="2" t="s">
        <v>28</v>
      </c>
      <c r="T872" s="2" t="s">
        <v>29</v>
      </c>
    </row>
    <row r="873" spans="1:20" x14ac:dyDescent="0.3">
      <c r="A873" s="2" t="s">
        <v>234</v>
      </c>
      <c r="B873" s="2" t="s">
        <v>129</v>
      </c>
      <c r="C873" s="2">
        <v>11561464</v>
      </c>
      <c r="D873" s="2">
        <v>2017</v>
      </c>
      <c r="E873" s="2" t="s">
        <v>26</v>
      </c>
      <c r="F873" s="4">
        <v>0</v>
      </c>
      <c r="G873" s="2">
        <v>7</v>
      </c>
      <c r="H873" s="2">
        <f>L873+O873+G873*F873</f>
        <v>102.52799999999999</v>
      </c>
      <c r="I873" s="2">
        <v>36</v>
      </c>
      <c r="J873" s="2">
        <v>0.13300000000000001</v>
      </c>
      <c r="K873" s="2">
        <v>6</v>
      </c>
      <c r="L873" s="2">
        <f>I873*J873*K873</f>
        <v>28.728000000000002</v>
      </c>
      <c r="M873" s="2">
        <v>1</v>
      </c>
      <c r="N873" s="2">
        <v>73.8</v>
      </c>
      <c r="O873" s="2">
        <f>M873*N873</f>
        <v>73.8</v>
      </c>
      <c r="P873" s="2">
        <f>H873/C873*100000</f>
        <v>0.88680810665500487</v>
      </c>
      <c r="Q873" s="7">
        <f t="shared" si="70"/>
        <v>0.88288756136214452</v>
      </c>
      <c r="R873" s="2" t="s">
        <v>236</v>
      </c>
      <c r="S873" s="2" t="s">
        <v>28</v>
      </c>
      <c r="T873" s="2" t="s">
        <v>150</v>
      </c>
    </row>
    <row r="874" spans="1:20" x14ac:dyDescent="0.3">
      <c r="A874" s="2" t="s">
        <v>234</v>
      </c>
      <c r="B874" s="2" t="s">
        <v>129</v>
      </c>
      <c r="C874" s="2">
        <v>11561464</v>
      </c>
      <c r="D874" s="2">
        <v>2017</v>
      </c>
      <c r="E874" s="2" t="s">
        <v>151</v>
      </c>
      <c r="F874" s="4">
        <v>1.9999999999999999E-6</v>
      </c>
      <c r="G874" s="2">
        <v>7</v>
      </c>
      <c r="H874" s="2">
        <f>L874+O874+G874*F874</f>
        <v>165.156014</v>
      </c>
      <c r="I874" s="2">
        <v>22</v>
      </c>
      <c r="J874" s="2">
        <v>0.13300000000000001</v>
      </c>
      <c r="K874" s="2">
        <v>6</v>
      </c>
      <c r="L874" s="2">
        <f>I874*J874*K874</f>
        <v>17.556000000000001</v>
      </c>
      <c r="M874" s="2">
        <v>2</v>
      </c>
      <c r="N874" s="2">
        <v>73.8</v>
      </c>
      <c r="O874" s="2">
        <f>M874*N874</f>
        <v>147.6</v>
      </c>
      <c r="P874" s="2">
        <f>H874/C874*100000</f>
        <v>1.4285043312853805</v>
      </c>
      <c r="Q874" s="7">
        <f t="shared" si="70"/>
        <v>1.4183496191697786</v>
      </c>
      <c r="R874" s="2" t="s">
        <v>237</v>
      </c>
      <c r="S874" s="2" t="s">
        <v>28</v>
      </c>
      <c r="T874" s="2" t="s">
        <v>32</v>
      </c>
    </row>
    <row r="875" spans="1:20" x14ac:dyDescent="0.3">
      <c r="A875" s="2" t="s">
        <v>234</v>
      </c>
      <c r="B875" s="2" t="s">
        <v>129</v>
      </c>
      <c r="C875" s="2">
        <v>11561464</v>
      </c>
      <c r="D875" s="2">
        <v>2017</v>
      </c>
      <c r="E875" s="2" t="s">
        <v>33</v>
      </c>
      <c r="F875" s="4">
        <v>0</v>
      </c>
      <c r="G875" s="2">
        <v>8</v>
      </c>
      <c r="H875" s="2">
        <f>L875+O875+G875*F875</f>
        <v>75.661999999999992</v>
      </c>
      <c r="I875" s="2">
        <v>2</v>
      </c>
      <c r="J875" s="2">
        <v>0.13300000000000001</v>
      </c>
      <c r="K875" s="2">
        <v>7</v>
      </c>
      <c r="L875" s="2">
        <f>I875*J875*K875</f>
        <v>1.8620000000000001</v>
      </c>
      <c r="M875" s="2">
        <v>1</v>
      </c>
      <c r="N875" s="2">
        <v>73.8</v>
      </c>
      <c r="O875" s="2">
        <f>M875*N875</f>
        <v>73.8</v>
      </c>
      <c r="P875" s="2">
        <f>H875/C875*100000</f>
        <v>0.65443269122318759</v>
      </c>
      <c r="Q875" s="7">
        <f t="shared" si="70"/>
        <v>0.65229594421770676</v>
      </c>
      <c r="R875" s="2" t="s">
        <v>242</v>
      </c>
      <c r="S875" s="2" t="s">
        <v>35</v>
      </c>
      <c r="T875" s="2" t="s">
        <v>28</v>
      </c>
    </row>
    <row r="876" spans="1:20" x14ac:dyDescent="0.3">
      <c r="A876" s="2" t="s">
        <v>234</v>
      </c>
      <c r="B876" s="2" t="s">
        <v>129</v>
      </c>
      <c r="C876" s="2">
        <v>11561464</v>
      </c>
      <c r="D876" s="2">
        <v>2017</v>
      </c>
      <c r="E876" s="2" t="s">
        <v>37</v>
      </c>
      <c r="F876" s="4">
        <v>3.2600000000000001E-4</v>
      </c>
      <c r="G876" s="2">
        <v>6</v>
      </c>
      <c r="H876" s="2">
        <f>L876+O876+G876*F876</f>
        <v>2536.3219560000002</v>
      </c>
      <c r="I876" s="2">
        <v>3963</v>
      </c>
      <c r="J876" s="2">
        <v>0.128</v>
      </c>
      <c r="K876" s="2">
        <v>5</v>
      </c>
      <c r="L876" s="2">
        <f>I876*J876*K876</f>
        <v>2536.3200000000002</v>
      </c>
      <c r="M876" s="2">
        <v>0</v>
      </c>
      <c r="N876" s="2">
        <v>73.8</v>
      </c>
      <c r="O876" s="2">
        <f>M876*N876</f>
        <v>0</v>
      </c>
      <c r="P876" s="2">
        <f>H876/C876*100000</f>
        <v>21.937723077285025</v>
      </c>
      <c r="Q876" s="7">
        <f t="shared" si="70"/>
        <v>19.69812623685787</v>
      </c>
      <c r="R876" s="2" t="s">
        <v>239</v>
      </c>
      <c r="S876" s="2" t="s">
        <v>155</v>
      </c>
      <c r="T876" s="2" t="s">
        <v>156</v>
      </c>
    </row>
    <row r="877" spans="1:20" x14ac:dyDescent="0.3">
      <c r="A877" s="2" t="s">
        <v>234</v>
      </c>
      <c r="B877" s="2" t="s">
        <v>129</v>
      </c>
      <c r="C877" s="2">
        <v>11561464</v>
      </c>
      <c r="D877" s="2">
        <v>2017</v>
      </c>
      <c r="E877" s="2" t="s">
        <v>41</v>
      </c>
      <c r="F877" s="4">
        <v>3.0000000000000001E-6</v>
      </c>
      <c r="G877" s="2">
        <v>6</v>
      </c>
      <c r="H877" s="2">
        <f>L877+O877+G877*F877</f>
        <v>751.44001800000001</v>
      </c>
      <c r="I877" s="2">
        <v>28</v>
      </c>
      <c r="J877" s="2">
        <v>0.12</v>
      </c>
      <c r="K877" s="2">
        <v>4</v>
      </c>
      <c r="L877" s="2">
        <f>I877*J877*K877</f>
        <v>13.44</v>
      </c>
      <c r="M877" s="2">
        <v>10</v>
      </c>
      <c r="N877" s="2">
        <v>73.8</v>
      </c>
      <c r="O877" s="2">
        <f>M877*N877</f>
        <v>738</v>
      </c>
      <c r="P877" s="2">
        <f>H877/C877*100000</f>
        <v>6.4995230534818083</v>
      </c>
      <c r="Q877" s="7">
        <f t="shared" si="70"/>
        <v>6.2928067301298736</v>
      </c>
      <c r="R877" s="2" t="s">
        <v>240</v>
      </c>
      <c r="S877" s="2" t="s">
        <v>158</v>
      </c>
      <c r="T877" s="2" t="s">
        <v>159</v>
      </c>
    </row>
    <row r="878" spans="1:20" x14ac:dyDescent="0.3">
      <c r="A878" s="2" t="s">
        <v>234</v>
      </c>
      <c r="B878" s="2" t="s">
        <v>129</v>
      </c>
      <c r="C878" s="2">
        <v>11665517</v>
      </c>
      <c r="D878" s="2">
        <v>2018</v>
      </c>
      <c r="E878" s="2" t="s">
        <v>22</v>
      </c>
      <c r="F878" s="4" t="s">
        <v>29</v>
      </c>
      <c r="G878" s="2">
        <v>9</v>
      </c>
      <c r="H878" s="2" t="s">
        <v>29</v>
      </c>
      <c r="I878" s="2" t="s">
        <v>29</v>
      </c>
      <c r="J878" s="2">
        <v>0.13300000000000001</v>
      </c>
      <c r="K878" s="2">
        <v>8</v>
      </c>
      <c r="L878" s="2" t="s">
        <v>29</v>
      </c>
      <c r="M878" s="2" t="s">
        <v>29</v>
      </c>
      <c r="N878" s="2">
        <v>73.8</v>
      </c>
      <c r="O878" s="2" t="s">
        <v>29</v>
      </c>
      <c r="P878" s="2" t="s">
        <v>29</v>
      </c>
      <c r="Q878" s="7" t="e">
        <f t="shared" si="70"/>
        <v>#VALUE!</v>
      </c>
      <c r="R878" s="2" t="s">
        <v>120</v>
      </c>
      <c r="S878" s="2" t="s">
        <v>28</v>
      </c>
      <c r="T878" s="2" t="s">
        <v>29</v>
      </c>
    </row>
    <row r="879" spans="1:20" x14ac:dyDescent="0.3">
      <c r="A879" s="2" t="s">
        <v>234</v>
      </c>
      <c r="B879" s="2" t="s">
        <v>129</v>
      </c>
      <c r="C879" s="2">
        <v>11665517</v>
      </c>
      <c r="D879" s="2">
        <v>2018</v>
      </c>
      <c r="E879" s="2" t="s">
        <v>26</v>
      </c>
      <c r="F879" s="4">
        <v>0</v>
      </c>
      <c r="G879" s="2">
        <v>7</v>
      </c>
      <c r="H879" s="2">
        <f>L879+O879+G879*F879</f>
        <v>108.114</v>
      </c>
      <c r="I879" s="2">
        <v>43</v>
      </c>
      <c r="J879" s="2">
        <v>0.13300000000000001</v>
      </c>
      <c r="K879" s="2">
        <v>6</v>
      </c>
      <c r="L879" s="2">
        <f>I879*J879*K879</f>
        <v>34.314</v>
      </c>
      <c r="M879" s="2">
        <v>1</v>
      </c>
      <c r="N879" s="2">
        <v>73.8</v>
      </c>
      <c r="O879" s="2">
        <f>M879*N879</f>
        <v>73.8</v>
      </c>
      <c r="P879" s="2">
        <f>H879/C879*100000</f>
        <v>0.92678275639219421</v>
      </c>
      <c r="Q879" s="7">
        <f t="shared" si="70"/>
        <v>0.92250136162264074</v>
      </c>
      <c r="R879" s="2" t="s">
        <v>236</v>
      </c>
      <c r="S879" s="2" t="s">
        <v>28</v>
      </c>
      <c r="T879" s="2" t="s">
        <v>150</v>
      </c>
    </row>
    <row r="880" spans="1:20" x14ac:dyDescent="0.3">
      <c r="A880" s="2" t="s">
        <v>234</v>
      </c>
      <c r="B880" s="2" t="s">
        <v>129</v>
      </c>
      <c r="C880" s="2">
        <v>11665517</v>
      </c>
      <c r="D880" s="2">
        <v>2018</v>
      </c>
      <c r="E880" s="2" t="s">
        <v>151</v>
      </c>
      <c r="F880" s="4">
        <v>1.9999999999999999E-6</v>
      </c>
      <c r="G880" s="2">
        <v>7</v>
      </c>
      <c r="H880" s="2">
        <f>L880+O880+G880*F880</f>
        <v>165.156014</v>
      </c>
      <c r="I880" s="2">
        <v>22</v>
      </c>
      <c r="J880" s="2">
        <v>0.13300000000000001</v>
      </c>
      <c r="K880" s="2">
        <v>6</v>
      </c>
      <c r="L880" s="2">
        <f>I880*J880*K880</f>
        <v>17.556000000000001</v>
      </c>
      <c r="M880" s="2">
        <v>2</v>
      </c>
      <c r="N880" s="2">
        <v>73.8</v>
      </c>
      <c r="O880" s="2">
        <f>M880*N880</f>
        <v>147.6</v>
      </c>
      <c r="P880" s="2">
        <f>H880/C880*100000</f>
        <v>1.4157624904236992</v>
      </c>
      <c r="Q880" s="7">
        <f t="shared" si="70"/>
        <v>1.4057877018666787</v>
      </c>
      <c r="R880" s="2" t="s">
        <v>237</v>
      </c>
      <c r="S880" s="2" t="s">
        <v>28</v>
      </c>
      <c r="T880" s="2" t="s">
        <v>32</v>
      </c>
    </row>
    <row r="881" spans="1:20" x14ac:dyDescent="0.3">
      <c r="A881" s="2" t="s">
        <v>234</v>
      </c>
      <c r="B881" s="2" t="s">
        <v>129</v>
      </c>
      <c r="C881" s="2">
        <v>11665517</v>
      </c>
      <c r="D881" s="2">
        <v>2018</v>
      </c>
      <c r="E881" s="2" t="s">
        <v>33</v>
      </c>
      <c r="F881" s="4">
        <v>0</v>
      </c>
      <c r="G881" s="2">
        <v>8</v>
      </c>
      <c r="H881" s="2">
        <f>L881+O881+G881*F881</f>
        <v>75.661999999999992</v>
      </c>
      <c r="I881" s="2">
        <v>2</v>
      </c>
      <c r="J881" s="2">
        <v>0.13300000000000001</v>
      </c>
      <c r="K881" s="2">
        <v>7</v>
      </c>
      <c r="L881" s="2">
        <f>I881*J881*K881</f>
        <v>1.8620000000000001</v>
      </c>
      <c r="M881" s="2">
        <v>1</v>
      </c>
      <c r="N881" s="2">
        <v>73.8</v>
      </c>
      <c r="O881" s="2">
        <f>M881*N881</f>
        <v>73.8</v>
      </c>
      <c r="P881" s="2">
        <f>H881/C881*100000</f>
        <v>0.64859534300965827</v>
      </c>
      <c r="Q881" s="7">
        <f t="shared" si="70"/>
        <v>0.64649650352469612</v>
      </c>
      <c r="R881" s="2" t="s">
        <v>242</v>
      </c>
      <c r="S881" s="2" t="s">
        <v>35</v>
      </c>
      <c r="T881" s="2" t="s">
        <v>28</v>
      </c>
    </row>
    <row r="882" spans="1:20" x14ac:dyDescent="0.3">
      <c r="A882" s="2" t="s">
        <v>234</v>
      </c>
      <c r="B882" s="2" t="s">
        <v>129</v>
      </c>
      <c r="C882" s="2">
        <v>11665517</v>
      </c>
      <c r="D882" s="2">
        <v>2018</v>
      </c>
      <c r="E882" s="2" t="s">
        <v>37</v>
      </c>
      <c r="F882" s="4">
        <v>3.5399999999999999E-4</v>
      </c>
      <c r="G882" s="2">
        <v>6</v>
      </c>
      <c r="H882" s="2">
        <f>L882+O882+G882*F882</f>
        <v>2613.7621240000003</v>
      </c>
      <c r="I882" s="2">
        <v>4084</v>
      </c>
      <c r="J882" s="2">
        <v>0.128</v>
      </c>
      <c r="K882" s="2">
        <v>5</v>
      </c>
      <c r="L882" s="2">
        <f>I882*J882*K882</f>
        <v>2613.7600000000002</v>
      </c>
      <c r="M882" s="2">
        <v>0</v>
      </c>
      <c r="N882" s="2">
        <v>73.8</v>
      </c>
      <c r="O882" s="2">
        <f>M882*N882</f>
        <v>0</v>
      </c>
      <c r="P882" s="2">
        <f>H882/C882*100000</f>
        <v>22.405883288327473</v>
      </c>
      <c r="Q882" s="7">
        <f t="shared" si="70"/>
        <v>20.073189026132411</v>
      </c>
      <c r="R882" s="2" t="s">
        <v>239</v>
      </c>
      <c r="S882" s="2" t="s">
        <v>155</v>
      </c>
      <c r="T882" s="2" t="s">
        <v>156</v>
      </c>
    </row>
    <row r="883" spans="1:20" x14ac:dyDescent="0.3">
      <c r="A883" s="2" t="s">
        <v>234</v>
      </c>
      <c r="B883" s="2" t="s">
        <v>129</v>
      </c>
      <c r="C883" s="2">
        <v>11665517</v>
      </c>
      <c r="D883" s="2">
        <v>2018</v>
      </c>
      <c r="E883" s="2" t="s">
        <v>41</v>
      </c>
      <c r="F883" s="4">
        <v>3.0000000000000001E-6</v>
      </c>
      <c r="G883" s="2">
        <v>6</v>
      </c>
      <c r="H883" s="2">
        <f>L883+O883+G883*F883</f>
        <v>751.92001799999991</v>
      </c>
      <c r="I883" s="2">
        <v>29</v>
      </c>
      <c r="J883" s="2">
        <v>0.12</v>
      </c>
      <c r="K883" s="2">
        <v>4</v>
      </c>
      <c r="L883" s="2">
        <f>I883*J883*K883</f>
        <v>13.92</v>
      </c>
      <c r="M883" s="2">
        <v>10</v>
      </c>
      <c r="N883" s="2">
        <v>73.8</v>
      </c>
      <c r="O883" s="2">
        <f>M883*N883</f>
        <v>738</v>
      </c>
      <c r="P883" s="2">
        <f>H883/C883*100000</f>
        <v>6.4456638998511586</v>
      </c>
      <c r="Q883" s="7">
        <f t="shared" si="70"/>
        <v>6.2423232351724867</v>
      </c>
      <c r="R883" s="2" t="s">
        <v>240</v>
      </c>
      <c r="S883" s="2" t="s">
        <v>158</v>
      </c>
      <c r="T883" s="2" t="s">
        <v>159</v>
      </c>
    </row>
    <row r="884" spans="1:20" x14ac:dyDescent="0.3">
      <c r="A884" s="2" t="s">
        <v>234</v>
      </c>
      <c r="B884" s="2" t="s">
        <v>129</v>
      </c>
      <c r="C884" s="2">
        <v>11770507</v>
      </c>
      <c r="D884" s="2">
        <v>2019</v>
      </c>
      <c r="E884" s="2" t="s">
        <v>22</v>
      </c>
      <c r="F884" s="4" t="s">
        <v>29</v>
      </c>
      <c r="G884" s="2">
        <v>9</v>
      </c>
      <c r="H884" s="2" t="s">
        <v>29</v>
      </c>
      <c r="I884" s="2" t="s">
        <v>29</v>
      </c>
      <c r="J884" s="2">
        <v>0.13300000000000001</v>
      </c>
      <c r="K884" s="2">
        <v>8</v>
      </c>
      <c r="L884" s="2" t="s">
        <v>29</v>
      </c>
      <c r="M884" s="2" t="s">
        <v>29</v>
      </c>
      <c r="N884" s="2">
        <v>73.8</v>
      </c>
      <c r="O884" s="2" t="s">
        <v>29</v>
      </c>
      <c r="P884" s="2" t="s">
        <v>29</v>
      </c>
      <c r="Q884" s="7" t="e">
        <f t="shared" si="70"/>
        <v>#VALUE!</v>
      </c>
      <c r="R884" s="2" t="s">
        <v>120</v>
      </c>
      <c r="S884" s="2" t="s">
        <v>28</v>
      </c>
      <c r="T884" s="2" t="s">
        <v>29</v>
      </c>
    </row>
    <row r="885" spans="1:20" x14ac:dyDescent="0.3">
      <c r="A885" s="2" t="s">
        <v>234</v>
      </c>
      <c r="B885" s="2" t="s">
        <v>129</v>
      </c>
      <c r="C885" s="2">
        <v>11770507</v>
      </c>
      <c r="D885" s="2">
        <v>2019</v>
      </c>
      <c r="E885" s="2" t="s">
        <v>26</v>
      </c>
      <c r="F885" s="4">
        <v>0</v>
      </c>
      <c r="G885" s="2">
        <v>7</v>
      </c>
      <c r="H885" s="2">
        <f>L885+O885+G885*F885</f>
        <v>108.114</v>
      </c>
      <c r="I885" s="2">
        <v>43</v>
      </c>
      <c r="J885" s="2">
        <v>0.13300000000000001</v>
      </c>
      <c r="K885" s="2">
        <v>6</v>
      </c>
      <c r="L885" s="2">
        <f>I885*J885*K885</f>
        <v>34.314</v>
      </c>
      <c r="M885" s="2">
        <v>1</v>
      </c>
      <c r="N885" s="2">
        <v>73.8</v>
      </c>
      <c r="O885" s="2">
        <f>M885*N885</f>
        <v>73.8</v>
      </c>
      <c r="P885" s="2">
        <f>H885/C885*100000</f>
        <v>0.91851608431140652</v>
      </c>
      <c r="Q885" s="7">
        <f t="shared" si="70"/>
        <v>0.914310611157787</v>
      </c>
      <c r="R885" s="2" t="s">
        <v>236</v>
      </c>
      <c r="S885" s="2" t="s">
        <v>28</v>
      </c>
      <c r="T885" s="2" t="s">
        <v>150</v>
      </c>
    </row>
    <row r="886" spans="1:20" x14ac:dyDescent="0.3">
      <c r="A886" s="2" t="s">
        <v>234</v>
      </c>
      <c r="B886" s="2" t="s">
        <v>129</v>
      </c>
      <c r="C886" s="2">
        <v>11770507</v>
      </c>
      <c r="D886" s="2">
        <v>2019</v>
      </c>
      <c r="E886" s="2" t="s">
        <v>151</v>
      </c>
      <c r="F886" s="4">
        <v>1.9999999999999999E-6</v>
      </c>
      <c r="G886" s="2">
        <v>7</v>
      </c>
      <c r="H886" s="2">
        <f>L886+O886+G886*F886</f>
        <v>162.76201399999999</v>
      </c>
      <c r="I886" s="2">
        <v>19</v>
      </c>
      <c r="J886" s="2">
        <v>0.13300000000000001</v>
      </c>
      <c r="K886" s="2">
        <v>6</v>
      </c>
      <c r="L886" s="2">
        <f>I886*J886*K886</f>
        <v>15.162000000000001</v>
      </c>
      <c r="M886" s="2">
        <v>2</v>
      </c>
      <c r="N886" s="2">
        <v>73.8</v>
      </c>
      <c r="O886" s="2">
        <f>M886*N886</f>
        <v>147.6</v>
      </c>
      <c r="P886" s="2">
        <f>H886/C886*100000</f>
        <v>1.3827952695665529</v>
      </c>
      <c r="Q886" s="7">
        <f t="shared" si="70"/>
        <v>1.3732785717620599</v>
      </c>
      <c r="R886" s="2" t="s">
        <v>237</v>
      </c>
      <c r="S886" s="2" t="s">
        <v>28</v>
      </c>
      <c r="T886" s="2" t="s">
        <v>32</v>
      </c>
    </row>
    <row r="887" spans="1:20" x14ac:dyDescent="0.3">
      <c r="A887" s="2" t="s">
        <v>234</v>
      </c>
      <c r="B887" s="2" t="s">
        <v>129</v>
      </c>
      <c r="C887" s="2">
        <v>11770507</v>
      </c>
      <c r="D887" s="2">
        <v>2019</v>
      </c>
      <c r="E887" s="2" t="s">
        <v>33</v>
      </c>
      <c r="F887" s="4">
        <v>0</v>
      </c>
      <c r="G887" s="2">
        <v>8</v>
      </c>
      <c r="H887" s="2">
        <f>L887+O887+G887*F887</f>
        <v>75.661999999999992</v>
      </c>
      <c r="I887" s="2">
        <v>2</v>
      </c>
      <c r="J887" s="2">
        <v>0.13300000000000001</v>
      </c>
      <c r="K887" s="2">
        <v>7</v>
      </c>
      <c r="L887" s="2">
        <f>I887*J887*K887</f>
        <v>1.8620000000000001</v>
      </c>
      <c r="M887" s="2">
        <v>1</v>
      </c>
      <c r="N887" s="2">
        <v>73.8</v>
      </c>
      <c r="O887" s="2">
        <f>M887*N887</f>
        <v>73.8</v>
      </c>
      <c r="P887" s="2">
        <f>H887/C887*100000</f>
        <v>0.64281003358648858</v>
      </c>
      <c r="Q887" s="7">
        <f t="shared" si="70"/>
        <v>0.64074842965434753</v>
      </c>
      <c r="R887" s="2" t="s">
        <v>242</v>
      </c>
      <c r="S887" s="2" t="s">
        <v>35</v>
      </c>
      <c r="T887" s="2" t="s">
        <v>28</v>
      </c>
    </row>
    <row r="888" spans="1:20" x14ac:dyDescent="0.3">
      <c r="A888" s="2" t="s">
        <v>234</v>
      </c>
      <c r="B888" s="2" t="s">
        <v>129</v>
      </c>
      <c r="C888" s="2">
        <v>11770507</v>
      </c>
      <c r="D888" s="2">
        <v>2019</v>
      </c>
      <c r="E888" s="2" t="s">
        <v>37</v>
      </c>
      <c r="F888" s="4">
        <v>3.8000000000000002E-4</v>
      </c>
      <c r="G888" s="2">
        <v>6</v>
      </c>
      <c r="H888" s="2">
        <f>L888+O888+G888*F888</f>
        <v>2606.0822800000001</v>
      </c>
      <c r="I888" s="2">
        <v>4072</v>
      </c>
      <c r="J888" s="2">
        <v>0.128</v>
      </c>
      <c r="K888" s="2">
        <v>5</v>
      </c>
      <c r="L888" s="2">
        <f>I888*J888*K888</f>
        <v>2606.08</v>
      </c>
      <c r="M888" s="2">
        <v>0</v>
      </c>
      <c r="N888" s="2">
        <v>73.8</v>
      </c>
      <c r="O888" s="2">
        <f>M888*N888</f>
        <v>0</v>
      </c>
      <c r="P888" s="2">
        <f>H888/C888*100000</f>
        <v>22.140781871163238</v>
      </c>
      <c r="Q888" s="7">
        <f t="shared" si="70"/>
        <v>19.861020811332054</v>
      </c>
      <c r="R888" s="2" t="s">
        <v>239</v>
      </c>
      <c r="S888" s="2" t="s">
        <v>155</v>
      </c>
      <c r="T888" s="2" t="s">
        <v>156</v>
      </c>
    </row>
    <row r="889" spans="1:20" x14ac:dyDescent="0.3">
      <c r="A889" s="2" t="s">
        <v>234</v>
      </c>
      <c r="B889" s="2" t="s">
        <v>129</v>
      </c>
      <c r="C889" s="2">
        <v>11770507</v>
      </c>
      <c r="D889" s="2">
        <v>2019</v>
      </c>
      <c r="E889" s="2" t="s">
        <v>41</v>
      </c>
      <c r="F889" s="4">
        <v>3.0000000000000001E-6</v>
      </c>
      <c r="G889" s="2">
        <v>6</v>
      </c>
      <c r="H889" s="2">
        <f>L889+O889+G889*F889</f>
        <v>751.92001799999991</v>
      </c>
      <c r="I889" s="2">
        <v>29</v>
      </c>
      <c r="J889" s="2">
        <v>0.12</v>
      </c>
      <c r="K889" s="2">
        <v>4</v>
      </c>
      <c r="L889" s="2">
        <f>I889*J889*K889</f>
        <v>13.92</v>
      </c>
      <c r="M889" s="2">
        <v>10</v>
      </c>
      <c r="N889" s="2">
        <v>73.8</v>
      </c>
      <c r="O889" s="2">
        <f>M889*N889</f>
        <v>738</v>
      </c>
      <c r="P889" s="2">
        <f>H889/C889*100000</f>
        <v>6.388170178225967</v>
      </c>
      <c r="Q889" s="7">
        <f t="shared" si="70"/>
        <v>6.1884029585895117</v>
      </c>
      <c r="R889" s="2" t="s">
        <v>240</v>
      </c>
      <c r="S889" s="2" t="s">
        <v>158</v>
      </c>
      <c r="T889" s="2" t="s">
        <v>159</v>
      </c>
    </row>
    <row r="890" spans="1:20" x14ac:dyDescent="0.3">
      <c r="A890" s="2" t="s">
        <v>234</v>
      </c>
      <c r="B890" s="2" t="s">
        <v>129</v>
      </c>
      <c r="C890" s="2">
        <v>11876441</v>
      </c>
      <c r="D890" s="2">
        <v>2020</v>
      </c>
      <c r="E890" s="2" t="s">
        <v>22</v>
      </c>
      <c r="F890" s="4" t="s">
        <v>29</v>
      </c>
      <c r="G890" s="2">
        <v>9</v>
      </c>
      <c r="H890" s="2" t="s">
        <v>29</v>
      </c>
      <c r="I890" s="2" t="s">
        <v>29</v>
      </c>
      <c r="J890" s="2">
        <v>0.13300000000000001</v>
      </c>
      <c r="K890" s="2">
        <v>8</v>
      </c>
      <c r="L890" s="2" t="s">
        <v>29</v>
      </c>
      <c r="M890" s="2" t="s">
        <v>29</v>
      </c>
      <c r="N890" s="2">
        <v>73.8</v>
      </c>
      <c r="O890" s="2" t="s">
        <v>29</v>
      </c>
      <c r="P890" s="2" t="s">
        <v>29</v>
      </c>
      <c r="Q890" s="7" t="e">
        <f t="shared" si="70"/>
        <v>#VALUE!</v>
      </c>
      <c r="R890" s="2" t="s">
        <v>120</v>
      </c>
      <c r="S890" s="2" t="s">
        <v>28</v>
      </c>
      <c r="T890" s="2" t="s">
        <v>29</v>
      </c>
    </row>
    <row r="891" spans="1:20" x14ac:dyDescent="0.3">
      <c r="A891" s="2" t="s">
        <v>234</v>
      </c>
      <c r="B891" s="2" t="s">
        <v>129</v>
      </c>
      <c r="C891" s="2">
        <v>11876441</v>
      </c>
      <c r="D891" s="2">
        <v>2020</v>
      </c>
      <c r="E891" s="2" t="s">
        <v>26</v>
      </c>
      <c r="F891" s="4">
        <v>0</v>
      </c>
      <c r="G891" s="2">
        <v>7</v>
      </c>
      <c r="H891" s="2">
        <f>L891+O891+G891*F891</f>
        <v>107.316</v>
      </c>
      <c r="I891" s="2">
        <v>42</v>
      </c>
      <c r="J891" s="2">
        <v>0.13300000000000001</v>
      </c>
      <c r="K891" s="2">
        <v>6</v>
      </c>
      <c r="L891" s="2">
        <f>I891*J891*K891</f>
        <v>33.516000000000005</v>
      </c>
      <c r="M891" s="2">
        <v>1</v>
      </c>
      <c r="N891" s="2">
        <v>73.8</v>
      </c>
      <c r="O891" s="2">
        <f>M891*N891</f>
        <v>73.8</v>
      </c>
      <c r="P891" s="2">
        <f>H891/C891*100000</f>
        <v>0.90360403423887681</v>
      </c>
      <c r="Q891" s="7">
        <f t="shared" si="70"/>
        <v>0.89953380180618492</v>
      </c>
      <c r="R891" s="2" t="s">
        <v>236</v>
      </c>
      <c r="S891" s="2" t="s">
        <v>28</v>
      </c>
      <c r="T891" s="2" t="s">
        <v>150</v>
      </c>
    </row>
    <row r="892" spans="1:20" x14ac:dyDescent="0.3">
      <c r="A892" s="2" t="s">
        <v>234</v>
      </c>
      <c r="B892" s="2" t="s">
        <v>129</v>
      </c>
      <c r="C892" s="2">
        <v>11876441</v>
      </c>
      <c r="D892" s="2">
        <v>2020</v>
      </c>
      <c r="E892" s="2" t="s">
        <v>151</v>
      </c>
      <c r="F892" s="4">
        <v>1.9999999999999999E-6</v>
      </c>
      <c r="G892" s="2">
        <v>7</v>
      </c>
      <c r="H892" s="2">
        <f>L892+O892+G892*F892</f>
        <v>162.76201399999999</v>
      </c>
      <c r="I892" s="2">
        <v>19</v>
      </c>
      <c r="J892" s="2">
        <v>0.13300000000000001</v>
      </c>
      <c r="K892" s="2">
        <v>6</v>
      </c>
      <c r="L892" s="2">
        <f>I892*J892*K892</f>
        <v>15.162000000000001</v>
      </c>
      <c r="M892" s="2">
        <v>2</v>
      </c>
      <c r="N892" s="2">
        <v>73.8</v>
      </c>
      <c r="O892" s="2">
        <f>M892*N892</f>
        <v>147.6</v>
      </c>
      <c r="P892" s="2">
        <f>H892/C892*100000</f>
        <v>1.3704611844575323</v>
      </c>
      <c r="Q892" s="7">
        <f t="shared" si="70"/>
        <v>1.3611131177675651</v>
      </c>
      <c r="R892" s="2" t="s">
        <v>237</v>
      </c>
      <c r="S892" s="2" t="s">
        <v>28</v>
      </c>
      <c r="T892" s="2" t="s">
        <v>32</v>
      </c>
    </row>
    <row r="893" spans="1:20" x14ac:dyDescent="0.3">
      <c r="A893" s="2" t="s">
        <v>234</v>
      </c>
      <c r="B893" s="2" t="s">
        <v>129</v>
      </c>
      <c r="C893" s="2">
        <v>11876441</v>
      </c>
      <c r="D893" s="2">
        <v>2020</v>
      </c>
      <c r="E893" s="2" t="s">
        <v>33</v>
      </c>
      <c r="F893" s="4">
        <v>0</v>
      </c>
      <c r="G893" s="2">
        <v>8</v>
      </c>
      <c r="H893" s="2">
        <f>L893+O893+G893*F893</f>
        <v>75.661999999999992</v>
      </c>
      <c r="I893" s="2">
        <v>2</v>
      </c>
      <c r="J893" s="2">
        <v>0.13300000000000001</v>
      </c>
      <c r="K893" s="2">
        <v>7</v>
      </c>
      <c r="L893" s="2">
        <f>I893*J893*K893</f>
        <v>1.8620000000000001</v>
      </c>
      <c r="M893" s="2">
        <v>1</v>
      </c>
      <c r="N893" s="2">
        <v>73.8</v>
      </c>
      <c r="O893" s="2">
        <f>M893*N893</f>
        <v>73.8</v>
      </c>
      <c r="P893" s="2">
        <f>H893/C893*100000</f>
        <v>0.63707637666873429</v>
      </c>
      <c r="Q893" s="7">
        <f t="shared" si="70"/>
        <v>0.63505134772924299</v>
      </c>
      <c r="R893" s="2" t="s">
        <v>242</v>
      </c>
      <c r="S893" s="2" t="s">
        <v>35</v>
      </c>
      <c r="T893" s="2" t="s">
        <v>28</v>
      </c>
    </row>
    <row r="894" spans="1:20" x14ac:dyDescent="0.3">
      <c r="A894" s="2" t="s">
        <v>234</v>
      </c>
      <c r="B894" s="2" t="s">
        <v>129</v>
      </c>
      <c r="C894" s="2">
        <v>11876441</v>
      </c>
      <c r="D894" s="2">
        <v>2020</v>
      </c>
      <c r="E894" s="2" t="s">
        <v>37</v>
      </c>
      <c r="F894" s="4">
        <v>3.3700000000000001E-4</v>
      </c>
      <c r="G894" s="2">
        <v>6</v>
      </c>
      <c r="H894" s="2">
        <f>L894+O894+G894*F894</f>
        <v>2625.2820220000003</v>
      </c>
      <c r="I894" s="2">
        <v>4102</v>
      </c>
      <c r="J894" s="2">
        <v>0.128</v>
      </c>
      <c r="K894" s="2">
        <v>5</v>
      </c>
      <c r="L894" s="2">
        <f>I894*J894*K894</f>
        <v>2625.28</v>
      </c>
      <c r="M894" s="2">
        <v>0</v>
      </c>
      <c r="N894" s="2">
        <v>73.8</v>
      </c>
      <c r="O894" s="2">
        <f>M894*N894</f>
        <v>0</v>
      </c>
      <c r="P894" s="2">
        <f>H894/C894*100000</f>
        <v>22.104955701796523</v>
      </c>
      <c r="Q894" s="7">
        <f t="shared" si="70"/>
        <v>19.832304941328193</v>
      </c>
      <c r="R894" s="2" t="s">
        <v>239</v>
      </c>
      <c r="S894" s="2" t="s">
        <v>155</v>
      </c>
      <c r="T894" s="2" t="s">
        <v>156</v>
      </c>
    </row>
    <row r="895" spans="1:20" x14ac:dyDescent="0.3">
      <c r="A895" s="2" t="s">
        <v>234</v>
      </c>
      <c r="B895" s="2" t="s">
        <v>129</v>
      </c>
      <c r="C895" s="2">
        <v>11876441</v>
      </c>
      <c r="D895" s="2">
        <v>2020</v>
      </c>
      <c r="E895" s="2" t="s">
        <v>41</v>
      </c>
      <c r="F895" s="4">
        <v>3.0000000000000001E-6</v>
      </c>
      <c r="G895" s="2">
        <v>6</v>
      </c>
      <c r="H895" s="2">
        <f>L895+O895+G895*F895</f>
        <v>753.84001799999999</v>
      </c>
      <c r="I895" s="2">
        <v>33</v>
      </c>
      <c r="J895" s="2">
        <v>0.12</v>
      </c>
      <c r="K895" s="2">
        <v>4</v>
      </c>
      <c r="L895" s="2">
        <f>I895*J895*K895</f>
        <v>15.84</v>
      </c>
      <c r="M895" s="2">
        <v>10</v>
      </c>
      <c r="N895" s="2">
        <v>73.8</v>
      </c>
      <c r="O895" s="2">
        <f>M895*N895</f>
        <v>738</v>
      </c>
      <c r="P895" s="2">
        <f>H895/C895*100000</f>
        <v>6.3473562323931896</v>
      </c>
      <c r="Q895" s="7">
        <f t="shared" si="70"/>
        <v>6.1501069296595157</v>
      </c>
      <c r="R895" s="2" t="s">
        <v>240</v>
      </c>
      <c r="S895" s="2" t="s">
        <v>158</v>
      </c>
      <c r="T895" s="2" t="s">
        <v>159</v>
      </c>
    </row>
    <row r="896" spans="1:20" x14ac:dyDescent="0.3">
      <c r="A896" s="2" t="s">
        <v>234</v>
      </c>
      <c r="B896" s="2" t="s">
        <v>129</v>
      </c>
      <c r="C896" s="2">
        <v>11983329</v>
      </c>
      <c r="D896" s="2">
        <v>2021</v>
      </c>
      <c r="E896" s="2" t="s">
        <v>22</v>
      </c>
      <c r="F896" s="4" t="s">
        <v>29</v>
      </c>
      <c r="G896" s="2">
        <v>9</v>
      </c>
      <c r="H896" s="2" t="s">
        <v>29</v>
      </c>
      <c r="I896" s="2" t="s">
        <v>29</v>
      </c>
      <c r="J896" s="2">
        <v>0.13300000000000001</v>
      </c>
      <c r="K896" s="2">
        <v>8</v>
      </c>
      <c r="L896" s="2" t="s">
        <v>29</v>
      </c>
      <c r="M896" s="2" t="s">
        <v>29</v>
      </c>
      <c r="N896" s="2">
        <v>73.8</v>
      </c>
      <c r="O896" s="2" t="s">
        <v>29</v>
      </c>
      <c r="P896" s="2" t="s">
        <v>29</v>
      </c>
      <c r="Q896" s="7" t="e">
        <f t="shared" si="70"/>
        <v>#VALUE!</v>
      </c>
      <c r="R896" s="2" t="s">
        <v>120</v>
      </c>
      <c r="S896" s="2" t="s">
        <v>28</v>
      </c>
      <c r="T896" s="2" t="s">
        <v>29</v>
      </c>
    </row>
    <row r="897" spans="1:20" x14ac:dyDescent="0.3">
      <c r="A897" s="2" t="s">
        <v>234</v>
      </c>
      <c r="B897" s="2" t="s">
        <v>129</v>
      </c>
      <c r="C897" s="2">
        <v>11983329</v>
      </c>
      <c r="D897" s="2">
        <v>2021</v>
      </c>
      <c r="E897" s="2" t="s">
        <v>26</v>
      </c>
      <c r="F897" s="4">
        <v>9.9999999999999995E-7</v>
      </c>
      <c r="G897" s="2">
        <v>7</v>
      </c>
      <c r="H897" s="2">
        <f>L897+O897+G897*F897</f>
        <v>324.34200699999997</v>
      </c>
      <c r="I897" s="2">
        <v>129</v>
      </c>
      <c r="J897" s="2">
        <v>0.13300000000000001</v>
      </c>
      <c r="K897" s="2">
        <v>6</v>
      </c>
      <c r="L897" s="2">
        <f>I897*J897*K897</f>
        <v>102.94200000000001</v>
      </c>
      <c r="M897" s="2">
        <v>3</v>
      </c>
      <c r="N897" s="2">
        <v>73.8</v>
      </c>
      <c r="O897" s="2">
        <f>M897*N897</f>
        <v>221.39999999999998</v>
      </c>
      <c r="P897" s="2">
        <f>H897/C897*100000</f>
        <v>2.7066102165767125</v>
      </c>
      <c r="Q897" s="7">
        <f t="shared" si="70"/>
        <v>2.6703097635299433</v>
      </c>
      <c r="R897" s="2" t="s">
        <v>243</v>
      </c>
      <c r="S897" s="2" t="s">
        <v>28</v>
      </c>
      <c r="T897" s="2" t="s">
        <v>150</v>
      </c>
    </row>
    <row r="898" spans="1:20" x14ac:dyDescent="0.3">
      <c r="A898" s="2" t="s">
        <v>234</v>
      </c>
      <c r="B898" s="2" t="s">
        <v>129</v>
      </c>
      <c r="C898" s="2">
        <v>11983329</v>
      </c>
      <c r="D898" s="2">
        <v>2021</v>
      </c>
      <c r="E898" s="2" t="s">
        <v>151</v>
      </c>
      <c r="F898" s="4">
        <v>1.9999999999999999E-6</v>
      </c>
      <c r="G898" s="2">
        <v>7</v>
      </c>
      <c r="H898" s="2">
        <f>L898+O898+G898*F898</f>
        <v>164.358014</v>
      </c>
      <c r="I898" s="2">
        <v>21</v>
      </c>
      <c r="J898" s="2">
        <v>0.13300000000000001</v>
      </c>
      <c r="K898" s="2">
        <v>6</v>
      </c>
      <c r="L898" s="2">
        <f>I898*J898*K898</f>
        <v>16.758000000000003</v>
      </c>
      <c r="M898" s="2">
        <v>2</v>
      </c>
      <c r="N898" s="2">
        <v>73.8</v>
      </c>
      <c r="O898" s="2">
        <f>M898*N898</f>
        <v>147.6</v>
      </c>
      <c r="P898" s="2">
        <f>H898/C898*100000</f>
        <v>1.3715555502148027</v>
      </c>
      <c r="Q898" s="7">
        <f t="shared" ref="Q898:Q925" si="75">100*(1-EXP(-P898/100))</f>
        <v>1.3621925820623049</v>
      </c>
      <c r="R898" s="2" t="s">
        <v>237</v>
      </c>
      <c r="S898" s="2" t="s">
        <v>28</v>
      </c>
      <c r="T898" s="2" t="s">
        <v>32</v>
      </c>
    </row>
    <row r="899" spans="1:20" x14ac:dyDescent="0.3">
      <c r="A899" s="2" t="s">
        <v>234</v>
      </c>
      <c r="B899" s="2" t="s">
        <v>129</v>
      </c>
      <c r="C899" s="2">
        <v>11983329</v>
      </c>
      <c r="D899" s="2">
        <v>2021</v>
      </c>
      <c r="E899" s="2" t="s">
        <v>33</v>
      </c>
      <c r="F899" s="4">
        <v>0</v>
      </c>
      <c r="G899" s="2">
        <v>8</v>
      </c>
      <c r="H899" s="2">
        <f>L899+O899+G899*F899</f>
        <v>75.661999999999992</v>
      </c>
      <c r="I899" s="2">
        <v>2</v>
      </c>
      <c r="J899" s="2">
        <v>0.13300000000000001</v>
      </c>
      <c r="K899" s="2">
        <v>7</v>
      </c>
      <c r="L899" s="2">
        <f>I899*J899*K899</f>
        <v>1.8620000000000001</v>
      </c>
      <c r="M899" s="2">
        <v>1</v>
      </c>
      <c r="N899" s="2">
        <v>73.8</v>
      </c>
      <c r="O899" s="2">
        <f>M899*N899</f>
        <v>73.8</v>
      </c>
      <c r="P899" s="2">
        <f>H899/C899*100000</f>
        <v>0.63139383054575227</v>
      </c>
      <c r="Q899" s="7">
        <f t="shared" si="75"/>
        <v>0.62940472825764315</v>
      </c>
      <c r="R899" s="2" t="s">
        <v>242</v>
      </c>
      <c r="S899" s="2" t="s">
        <v>35</v>
      </c>
      <c r="T899" s="2" t="s">
        <v>28</v>
      </c>
    </row>
    <row r="900" spans="1:20" x14ac:dyDescent="0.3">
      <c r="A900" s="2" t="s">
        <v>234</v>
      </c>
      <c r="B900" s="2" t="s">
        <v>129</v>
      </c>
      <c r="C900" s="2">
        <v>11983329</v>
      </c>
      <c r="D900" s="2">
        <v>2021</v>
      </c>
      <c r="E900" s="2" t="s">
        <v>37</v>
      </c>
      <c r="F900" s="4">
        <v>3.4699999999999998E-4</v>
      </c>
      <c r="G900" s="2">
        <v>6</v>
      </c>
      <c r="H900" s="2">
        <f>L900+O900+G900*F900</f>
        <v>2695.6820819999998</v>
      </c>
      <c r="I900" s="2">
        <v>4212</v>
      </c>
      <c r="J900" s="2">
        <v>0.128</v>
      </c>
      <c r="K900" s="2">
        <v>5</v>
      </c>
      <c r="L900" s="2">
        <f>I900*J900*K900</f>
        <v>2695.68</v>
      </c>
      <c r="M900" s="2">
        <v>0</v>
      </c>
      <c r="N900" s="2">
        <v>73.8</v>
      </c>
      <c r="O900" s="2">
        <f>M900*N900</f>
        <v>0</v>
      </c>
      <c r="P900" s="2">
        <f>H900/C900*100000</f>
        <v>22.49526890232255</v>
      </c>
      <c r="Q900" s="7">
        <f t="shared" si="75"/>
        <v>20.144600176465833</v>
      </c>
      <c r="R900" s="2" t="s">
        <v>239</v>
      </c>
      <c r="S900" s="2" t="s">
        <v>155</v>
      </c>
      <c r="T900" s="2" t="s">
        <v>156</v>
      </c>
    </row>
    <row r="901" spans="1:20" x14ac:dyDescent="0.3">
      <c r="A901" s="2" t="s">
        <v>234</v>
      </c>
      <c r="B901" s="2" t="s">
        <v>129</v>
      </c>
      <c r="C901" s="2">
        <v>11983329</v>
      </c>
      <c r="D901" s="2">
        <v>2021</v>
      </c>
      <c r="E901" s="2" t="s">
        <v>41</v>
      </c>
      <c r="F901" s="4">
        <v>3.0000000000000001E-6</v>
      </c>
      <c r="G901" s="2">
        <v>6</v>
      </c>
      <c r="H901" s="2">
        <f>L901+O901+G901*F901</f>
        <v>753.36001799999997</v>
      </c>
      <c r="I901" s="2">
        <v>32</v>
      </c>
      <c r="J901" s="2">
        <v>0.12</v>
      </c>
      <c r="K901" s="2">
        <v>4</v>
      </c>
      <c r="L901" s="2">
        <f>I901*J901*K901</f>
        <v>15.36</v>
      </c>
      <c r="M901" s="2">
        <v>10</v>
      </c>
      <c r="N901" s="2">
        <v>73.8</v>
      </c>
      <c r="O901" s="2">
        <f>M901*N901</f>
        <v>738</v>
      </c>
      <c r="P901" s="2">
        <f>H901/C901*100000</f>
        <v>6.2867339952028356</v>
      </c>
      <c r="Q901" s="7">
        <f t="shared" si="75"/>
        <v>6.0931957762152322</v>
      </c>
      <c r="R901" s="2" t="s">
        <v>240</v>
      </c>
      <c r="S901" s="2" t="s">
        <v>158</v>
      </c>
      <c r="T901" s="2" t="s">
        <v>159</v>
      </c>
    </row>
    <row r="902" spans="1:20" x14ac:dyDescent="0.3">
      <c r="A902" s="2" t="s">
        <v>234</v>
      </c>
      <c r="B902" s="2" t="s">
        <v>129</v>
      </c>
      <c r="C902" s="2">
        <v>12091179</v>
      </c>
      <c r="D902" s="2">
        <v>2022</v>
      </c>
      <c r="E902" s="2" t="s">
        <v>22</v>
      </c>
      <c r="F902" s="4" t="s">
        <v>29</v>
      </c>
      <c r="G902" s="2">
        <v>9</v>
      </c>
      <c r="H902" s="2" t="s">
        <v>29</v>
      </c>
      <c r="I902" s="2" t="s">
        <v>29</v>
      </c>
      <c r="J902" s="2">
        <v>0.13300000000000001</v>
      </c>
      <c r="K902" s="2">
        <v>8</v>
      </c>
      <c r="L902" s="2" t="s">
        <v>29</v>
      </c>
      <c r="M902" s="2" t="s">
        <v>29</v>
      </c>
      <c r="N902" s="2">
        <v>73.8</v>
      </c>
      <c r="O902" s="2" t="s">
        <v>29</v>
      </c>
      <c r="P902" s="2" t="s">
        <v>29</v>
      </c>
      <c r="Q902" s="7" t="e">
        <f t="shared" si="75"/>
        <v>#VALUE!</v>
      </c>
      <c r="R902" s="2" t="s">
        <v>120</v>
      </c>
      <c r="S902" s="2" t="s">
        <v>28</v>
      </c>
      <c r="T902" s="2" t="s">
        <v>29</v>
      </c>
    </row>
    <row r="903" spans="1:20" x14ac:dyDescent="0.3">
      <c r="A903" s="2" t="s">
        <v>234</v>
      </c>
      <c r="B903" s="2" t="s">
        <v>129</v>
      </c>
      <c r="C903" s="2">
        <v>12091179</v>
      </c>
      <c r="D903" s="2">
        <v>2022</v>
      </c>
      <c r="E903" s="2" t="s">
        <v>26</v>
      </c>
      <c r="F903" s="4">
        <v>9.9999999999999995E-7</v>
      </c>
      <c r="G903" s="2">
        <v>7</v>
      </c>
      <c r="H903" s="2">
        <f>L903+O903+G903*F903</f>
        <v>326.73600699999997</v>
      </c>
      <c r="I903" s="2">
        <v>132</v>
      </c>
      <c r="J903" s="2">
        <v>0.13300000000000001</v>
      </c>
      <c r="K903" s="2">
        <v>6</v>
      </c>
      <c r="L903" s="2">
        <f>I903*J903*K903</f>
        <v>105.33600000000001</v>
      </c>
      <c r="M903" s="2">
        <v>3</v>
      </c>
      <c r="N903" s="2">
        <v>73.8</v>
      </c>
      <c r="O903" s="2">
        <f>M903*N903</f>
        <v>221.39999999999998</v>
      </c>
      <c r="P903" s="2">
        <f>H903/C903*100000</f>
        <v>2.7022675538919736</v>
      </c>
      <c r="Q903" s="7">
        <f t="shared" si="75"/>
        <v>2.6660829716138812</v>
      </c>
      <c r="R903" s="2" t="s">
        <v>244</v>
      </c>
      <c r="S903" s="2" t="s">
        <v>28</v>
      </c>
      <c r="T903" s="2" t="s">
        <v>150</v>
      </c>
    </row>
    <row r="904" spans="1:20" x14ac:dyDescent="0.3">
      <c r="A904" s="2" t="s">
        <v>234</v>
      </c>
      <c r="B904" s="2" t="s">
        <v>129</v>
      </c>
      <c r="C904" s="2">
        <v>12091179</v>
      </c>
      <c r="D904" s="2">
        <v>2022</v>
      </c>
      <c r="E904" s="2" t="s">
        <v>151</v>
      </c>
      <c r="F904" s="4">
        <v>1.9999999999999999E-6</v>
      </c>
      <c r="G904" s="2">
        <v>7</v>
      </c>
      <c r="H904" s="2">
        <f>L904+O904+G904*F904</f>
        <v>164.358014</v>
      </c>
      <c r="I904" s="2">
        <v>21</v>
      </c>
      <c r="J904" s="2">
        <v>0.13300000000000001</v>
      </c>
      <c r="K904" s="2">
        <v>6</v>
      </c>
      <c r="L904" s="2">
        <f>I904*J904*K904</f>
        <v>16.758000000000003</v>
      </c>
      <c r="M904" s="2">
        <v>2</v>
      </c>
      <c r="N904" s="2">
        <v>73.8</v>
      </c>
      <c r="O904" s="2">
        <f>M904*N904</f>
        <v>147.6</v>
      </c>
      <c r="P904" s="2">
        <f>H904/C904*100000</f>
        <v>1.359321650932469</v>
      </c>
      <c r="Q904" s="7">
        <f t="shared" si="75"/>
        <v>1.3501245938707829</v>
      </c>
      <c r="R904" s="2" t="s">
        <v>237</v>
      </c>
      <c r="S904" s="2" t="s">
        <v>28</v>
      </c>
      <c r="T904" s="2" t="s">
        <v>32</v>
      </c>
    </row>
    <row r="905" spans="1:20" x14ac:dyDescent="0.3">
      <c r="A905" s="2" t="s">
        <v>234</v>
      </c>
      <c r="B905" s="2" t="s">
        <v>129</v>
      </c>
      <c r="C905" s="2">
        <v>12091179</v>
      </c>
      <c r="D905" s="2">
        <v>2022</v>
      </c>
      <c r="E905" s="2" t="s">
        <v>33</v>
      </c>
      <c r="F905" s="4">
        <v>0</v>
      </c>
      <c r="G905" s="2">
        <v>8</v>
      </c>
      <c r="H905" s="2">
        <f>L905+O905+G905*F905</f>
        <v>75.661999999999992</v>
      </c>
      <c r="I905" s="2">
        <v>2</v>
      </c>
      <c r="J905" s="2">
        <v>0.13300000000000001</v>
      </c>
      <c r="K905" s="2">
        <v>7</v>
      </c>
      <c r="L905" s="2">
        <f>I905*J905*K905</f>
        <v>1.8620000000000001</v>
      </c>
      <c r="M905" s="2">
        <v>1</v>
      </c>
      <c r="N905" s="2">
        <v>73.8</v>
      </c>
      <c r="O905" s="2">
        <f>M905*N905</f>
        <v>73.8</v>
      </c>
      <c r="P905" s="2">
        <f>H905/C905*100000</f>
        <v>0.62576197077224638</v>
      </c>
      <c r="Q905" s="7">
        <f t="shared" si="75"/>
        <v>0.62380815808182888</v>
      </c>
      <c r="R905" s="2" t="s">
        <v>242</v>
      </c>
      <c r="S905" s="2" t="s">
        <v>35</v>
      </c>
      <c r="T905" s="2" t="s">
        <v>28</v>
      </c>
    </row>
    <row r="906" spans="1:20" x14ac:dyDescent="0.3">
      <c r="A906" s="2" t="s">
        <v>234</v>
      </c>
      <c r="B906" s="2" t="s">
        <v>129</v>
      </c>
      <c r="C906" s="2">
        <v>12091179</v>
      </c>
      <c r="D906" s="2">
        <v>2022</v>
      </c>
      <c r="E906" s="2" t="s">
        <v>37</v>
      </c>
      <c r="F906" s="4">
        <v>3.1500000000000001E-4</v>
      </c>
      <c r="G906" s="2">
        <v>6</v>
      </c>
      <c r="H906" s="2">
        <f>L906+O906+G906*F906</f>
        <v>2308.48189</v>
      </c>
      <c r="I906" s="2">
        <v>3607</v>
      </c>
      <c r="J906" s="2">
        <v>0.128</v>
      </c>
      <c r="K906" s="2">
        <v>5</v>
      </c>
      <c r="L906" s="2">
        <f>I906*J906*K906</f>
        <v>2308.48</v>
      </c>
      <c r="M906" s="2">
        <v>0</v>
      </c>
      <c r="N906" s="2">
        <v>73.8</v>
      </c>
      <c r="O906" s="2">
        <f>M906*N906</f>
        <v>0</v>
      </c>
      <c r="P906" s="2">
        <f>H906/C906*100000</f>
        <v>19.092281158024374</v>
      </c>
      <c r="Q906" s="7">
        <f t="shared" si="75"/>
        <v>17.380364151868378</v>
      </c>
      <c r="R906" s="2" t="s">
        <v>239</v>
      </c>
      <c r="S906" s="2" t="s">
        <v>155</v>
      </c>
      <c r="T906" s="2" t="s">
        <v>156</v>
      </c>
    </row>
    <row r="907" spans="1:20" x14ac:dyDescent="0.3">
      <c r="A907" s="2" t="s">
        <v>234</v>
      </c>
      <c r="B907" s="2" t="s">
        <v>129</v>
      </c>
      <c r="C907" s="2">
        <v>12091179</v>
      </c>
      <c r="D907" s="2">
        <v>2022</v>
      </c>
      <c r="E907" s="2" t="s">
        <v>41</v>
      </c>
      <c r="F907" s="4">
        <v>1.9999999999999999E-6</v>
      </c>
      <c r="G907" s="2">
        <v>6</v>
      </c>
      <c r="H907" s="2">
        <f>L907+O907+G907*F907</f>
        <v>753.36001199999998</v>
      </c>
      <c r="I907" s="2">
        <v>32</v>
      </c>
      <c r="J907" s="2">
        <v>0.12</v>
      </c>
      <c r="K907" s="2">
        <v>4</v>
      </c>
      <c r="L907" s="2">
        <f>I907*J907*K907</f>
        <v>15.36</v>
      </c>
      <c r="M907" s="2">
        <v>10</v>
      </c>
      <c r="N907" s="2">
        <v>73.8</v>
      </c>
      <c r="O907" s="2">
        <f>M907*N907</f>
        <v>738</v>
      </c>
      <c r="P907" s="2">
        <f>H907/C907*100000</f>
        <v>6.2306580028299967</v>
      </c>
      <c r="Q907" s="7">
        <f t="shared" si="75"/>
        <v>6.040521836504209</v>
      </c>
      <c r="R907" s="2" t="s">
        <v>240</v>
      </c>
      <c r="S907" s="2" t="s">
        <v>158</v>
      </c>
      <c r="T907" s="2" t="s">
        <v>159</v>
      </c>
    </row>
    <row r="908" spans="1:20" x14ac:dyDescent="0.3">
      <c r="A908" s="2" t="s">
        <v>234</v>
      </c>
      <c r="B908" s="2" t="s">
        <v>129</v>
      </c>
      <c r="C908" s="2">
        <v>12200000</v>
      </c>
      <c r="D908" s="2">
        <v>2023</v>
      </c>
      <c r="E908" s="2" t="s">
        <v>22</v>
      </c>
      <c r="F908" s="4" t="s">
        <v>29</v>
      </c>
      <c r="G908" s="2">
        <v>9</v>
      </c>
      <c r="H908" s="2" t="s">
        <v>29</v>
      </c>
      <c r="I908" s="2" t="s">
        <v>29</v>
      </c>
      <c r="J908" s="2">
        <v>0.13300000000000001</v>
      </c>
      <c r="K908" s="2">
        <v>8</v>
      </c>
      <c r="L908" s="2" t="s">
        <v>29</v>
      </c>
      <c r="M908" s="2" t="s">
        <v>29</v>
      </c>
      <c r="N908" s="2">
        <v>73.8</v>
      </c>
      <c r="O908" s="2" t="s">
        <v>29</v>
      </c>
      <c r="P908" s="2" t="s">
        <v>29</v>
      </c>
      <c r="Q908" s="7" t="e">
        <f t="shared" si="75"/>
        <v>#VALUE!</v>
      </c>
      <c r="R908" s="2" t="s">
        <v>120</v>
      </c>
      <c r="S908" s="2" t="s">
        <v>28</v>
      </c>
      <c r="T908" s="2" t="s">
        <v>29</v>
      </c>
    </row>
    <row r="909" spans="1:20" x14ac:dyDescent="0.3">
      <c r="A909" s="2" t="s">
        <v>234</v>
      </c>
      <c r="B909" s="2" t="s">
        <v>129</v>
      </c>
      <c r="C909" s="2">
        <v>12200000</v>
      </c>
      <c r="D909" s="2">
        <v>2023</v>
      </c>
      <c r="E909" s="2" t="s">
        <v>26</v>
      </c>
      <c r="F909" s="4">
        <v>9.9999999999999995E-7</v>
      </c>
      <c r="G909" s="2">
        <v>7</v>
      </c>
      <c r="H909" s="2">
        <f>L909+O909+G909*F909</f>
        <v>308.38200699999993</v>
      </c>
      <c r="I909" s="2">
        <v>109</v>
      </c>
      <c r="J909" s="2">
        <v>0.13300000000000001</v>
      </c>
      <c r="K909" s="2">
        <v>6</v>
      </c>
      <c r="L909" s="2">
        <f>I909*J909*K909</f>
        <v>86.981999999999999</v>
      </c>
      <c r="M909" s="2">
        <v>3</v>
      </c>
      <c r="N909" s="2">
        <v>73.8</v>
      </c>
      <c r="O909" s="2">
        <f>M909*N909</f>
        <v>221.39999999999998</v>
      </c>
      <c r="P909" s="2">
        <f>H909/C909*100000</f>
        <v>2.5277213688524585</v>
      </c>
      <c r="Q909" s="7">
        <f t="shared" si="75"/>
        <v>2.4960419758268237</v>
      </c>
      <c r="R909" s="2" t="s">
        <v>244</v>
      </c>
      <c r="S909" s="2" t="s">
        <v>28</v>
      </c>
      <c r="T909" s="2" t="s">
        <v>150</v>
      </c>
    </row>
    <row r="910" spans="1:20" x14ac:dyDescent="0.3">
      <c r="A910" s="2" t="s">
        <v>234</v>
      </c>
      <c r="B910" s="2" t="s">
        <v>129</v>
      </c>
      <c r="C910" s="2">
        <v>12200000</v>
      </c>
      <c r="D910" s="2">
        <v>2023</v>
      </c>
      <c r="E910" s="2" t="s">
        <v>151</v>
      </c>
      <c r="F910" s="4">
        <v>1.9999999999999999E-6</v>
      </c>
      <c r="G910" s="2">
        <v>7</v>
      </c>
      <c r="H910" s="2">
        <f>L910+O910+G910*F910</f>
        <v>163.560014</v>
      </c>
      <c r="I910" s="2">
        <v>20</v>
      </c>
      <c r="J910" s="2">
        <v>0.13300000000000001</v>
      </c>
      <c r="K910" s="2">
        <v>6</v>
      </c>
      <c r="L910" s="2">
        <f>I910*J910*K910</f>
        <v>15.96</v>
      </c>
      <c r="M910" s="2">
        <v>2</v>
      </c>
      <c r="N910" s="2">
        <v>73.8</v>
      </c>
      <c r="O910" s="2">
        <f>M910*N910</f>
        <v>147.6</v>
      </c>
      <c r="P910" s="2">
        <f>H910/C910*100000</f>
        <v>1.3406558524590164</v>
      </c>
      <c r="Q910" s="7">
        <f t="shared" si="75"/>
        <v>1.3317090882860483</v>
      </c>
      <c r="R910" s="2" t="s">
        <v>237</v>
      </c>
      <c r="S910" s="2" t="s">
        <v>28</v>
      </c>
      <c r="T910" s="2" t="s">
        <v>32</v>
      </c>
    </row>
    <row r="911" spans="1:20" x14ac:dyDescent="0.3">
      <c r="A911" s="2" t="s">
        <v>234</v>
      </c>
      <c r="B911" s="2" t="s">
        <v>129</v>
      </c>
      <c r="C911" s="2">
        <v>12200000</v>
      </c>
      <c r="D911" s="2">
        <v>2023</v>
      </c>
      <c r="E911" s="2" t="s">
        <v>33</v>
      </c>
      <c r="F911" s="4">
        <v>0</v>
      </c>
      <c r="G911" s="2">
        <v>8</v>
      </c>
      <c r="H911" s="2">
        <f>L911+O911+G911*F911</f>
        <v>75.661999999999992</v>
      </c>
      <c r="I911" s="2">
        <v>2</v>
      </c>
      <c r="J911" s="2">
        <v>0.13300000000000001</v>
      </c>
      <c r="K911" s="2">
        <v>7</v>
      </c>
      <c r="L911" s="2">
        <f>I911*J911*K911</f>
        <v>1.8620000000000001</v>
      </c>
      <c r="M911" s="2">
        <v>1</v>
      </c>
      <c r="N911" s="2">
        <v>73.8</v>
      </c>
      <c r="O911" s="2">
        <f>M911*N911</f>
        <v>73.8</v>
      </c>
      <c r="P911" s="2">
        <f>H911/C911*100000</f>
        <v>0.62018032786885247</v>
      </c>
      <c r="Q911" s="7">
        <f t="shared" si="75"/>
        <v>0.61826117911738532</v>
      </c>
      <c r="R911" s="2" t="s">
        <v>242</v>
      </c>
      <c r="S911" s="2" t="s">
        <v>35</v>
      </c>
      <c r="T911" s="2" t="s">
        <v>28</v>
      </c>
    </row>
    <row r="912" spans="1:20" x14ac:dyDescent="0.3">
      <c r="A912" s="2" t="s">
        <v>234</v>
      </c>
      <c r="B912" s="2" t="s">
        <v>129</v>
      </c>
      <c r="C912" s="2">
        <v>12200000</v>
      </c>
      <c r="D912" s="2">
        <v>2023</v>
      </c>
      <c r="E912" s="2" t="s">
        <v>37</v>
      </c>
      <c r="F912" s="4">
        <v>3.5300000000000002E-4</v>
      </c>
      <c r="G912" s="2">
        <v>6</v>
      </c>
      <c r="H912" s="2">
        <f>L912+O912+G912*F912</f>
        <v>2410.882118</v>
      </c>
      <c r="I912" s="2">
        <v>3767</v>
      </c>
      <c r="J912" s="2">
        <v>0.128</v>
      </c>
      <c r="K912" s="2">
        <v>5</v>
      </c>
      <c r="L912" s="2">
        <f>I912*J912*K912</f>
        <v>2410.88</v>
      </c>
      <c r="M912" s="2">
        <v>0</v>
      </c>
      <c r="N912" s="2">
        <v>73.8</v>
      </c>
      <c r="O912" s="2">
        <f>M912*N912</f>
        <v>0</v>
      </c>
      <c r="P912" s="2">
        <f>H912/C912*100000</f>
        <v>19.761328836065573</v>
      </c>
      <c r="Q912" s="7">
        <f t="shared" si="75"/>
        <v>17.931283894201478</v>
      </c>
      <c r="R912" s="2" t="s">
        <v>239</v>
      </c>
      <c r="S912" s="2" t="s">
        <v>155</v>
      </c>
      <c r="T912" s="2" t="s">
        <v>156</v>
      </c>
    </row>
    <row r="913" spans="1:20" x14ac:dyDescent="0.3">
      <c r="A913" s="2" t="s">
        <v>234</v>
      </c>
      <c r="B913" s="2" t="s">
        <v>129</v>
      </c>
      <c r="C913" s="2">
        <v>12200000</v>
      </c>
      <c r="D913" s="2">
        <v>2023</v>
      </c>
      <c r="E913" s="2" t="s">
        <v>41</v>
      </c>
      <c r="F913" s="4">
        <v>1.9999999999999999E-6</v>
      </c>
      <c r="G913" s="2">
        <v>6</v>
      </c>
      <c r="H913" s="2">
        <f>L913+O913+G913*F913</f>
        <v>752.40001199999995</v>
      </c>
      <c r="I913" s="2">
        <v>30</v>
      </c>
      <c r="J913" s="2">
        <v>0.12</v>
      </c>
      <c r="K913" s="2">
        <v>4</v>
      </c>
      <c r="L913" s="2">
        <f>I913*J913*K913</f>
        <v>14.399999999999999</v>
      </c>
      <c r="M913" s="2">
        <v>10</v>
      </c>
      <c r="N913" s="2">
        <v>73.8</v>
      </c>
      <c r="O913" s="2">
        <f>M913*N913</f>
        <v>738</v>
      </c>
      <c r="P913" s="2">
        <f>H913/C913*100000</f>
        <v>6.1672132131147537</v>
      </c>
      <c r="Q913" s="7">
        <f t="shared" si="75"/>
        <v>5.9808905286871656</v>
      </c>
      <c r="R913" s="2" t="s">
        <v>240</v>
      </c>
      <c r="S913" s="2" t="s">
        <v>158</v>
      </c>
      <c r="T913" s="2" t="s">
        <v>159</v>
      </c>
    </row>
    <row r="914" spans="1:20" x14ac:dyDescent="0.3">
      <c r="A914" s="2" t="s">
        <v>234</v>
      </c>
      <c r="B914" s="2" t="s">
        <v>129</v>
      </c>
      <c r="C914" s="2">
        <v>12309800</v>
      </c>
      <c r="D914" s="2">
        <v>2024</v>
      </c>
      <c r="E914" s="2" t="s">
        <v>22</v>
      </c>
      <c r="F914" s="4" t="s">
        <v>29</v>
      </c>
      <c r="G914" s="2">
        <v>9</v>
      </c>
      <c r="H914" s="2" t="s">
        <v>29</v>
      </c>
      <c r="I914" s="2" t="s">
        <v>29</v>
      </c>
      <c r="J914" s="2">
        <v>0.13300000000000001</v>
      </c>
      <c r="K914" s="2">
        <v>8</v>
      </c>
      <c r="L914" s="2" t="s">
        <v>29</v>
      </c>
      <c r="M914" s="2" t="s">
        <v>29</v>
      </c>
      <c r="N914" s="2">
        <v>73.8</v>
      </c>
      <c r="O914" s="2" t="s">
        <v>29</v>
      </c>
      <c r="P914" s="2" t="s">
        <v>29</v>
      </c>
      <c r="Q914" s="7" t="e">
        <f t="shared" si="75"/>
        <v>#VALUE!</v>
      </c>
      <c r="R914" s="2" t="s">
        <v>120</v>
      </c>
      <c r="S914" s="2" t="s">
        <v>28</v>
      </c>
      <c r="T914" s="2" t="s">
        <v>29</v>
      </c>
    </row>
    <row r="915" spans="1:20" x14ac:dyDescent="0.3">
      <c r="A915" s="2" t="s">
        <v>234</v>
      </c>
      <c r="B915" s="2" t="s">
        <v>129</v>
      </c>
      <c r="C915" s="2">
        <v>12309800</v>
      </c>
      <c r="D915" s="2">
        <v>2024</v>
      </c>
      <c r="E915" s="2" t="s">
        <v>26</v>
      </c>
      <c r="F915" s="4">
        <v>9.9999999999999995E-7</v>
      </c>
      <c r="G915" s="2">
        <v>7</v>
      </c>
      <c r="H915" s="2">
        <f>L915+O915+G915*F915</f>
        <v>322.74600699999996</v>
      </c>
      <c r="I915" s="2">
        <v>127</v>
      </c>
      <c r="J915" s="2">
        <v>0.13300000000000001</v>
      </c>
      <c r="K915" s="2">
        <v>6</v>
      </c>
      <c r="L915" s="2">
        <f>I915*J915*K915</f>
        <v>101.346</v>
      </c>
      <c r="M915" s="2">
        <v>3</v>
      </c>
      <c r="N915" s="2">
        <v>73.8</v>
      </c>
      <c r="O915" s="2">
        <f>M915*N915</f>
        <v>221.39999999999998</v>
      </c>
      <c r="P915" s="2">
        <f>H915/C915*100000</f>
        <v>2.621862312953906</v>
      </c>
      <c r="Q915" s="7">
        <f t="shared" si="75"/>
        <v>2.587789929476203</v>
      </c>
      <c r="R915" s="2" t="s">
        <v>244</v>
      </c>
      <c r="S915" s="2" t="s">
        <v>28</v>
      </c>
      <c r="T915" s="2" t="s">
        <v>150</v>
      </c>
    </row>
    <row r="916" spans="1:20" x14ac:dyDescent="0.3">
      <c r="A916" s="2" t="s">
        <v>234</v>
      </c>
      <c r="B916" s="2" t="s">
        <v>129</v>
      </c>
      <c r="C916" s="2">
        <v>12309800</v>
      </c>
      <c r="D916" s="2">
        <v>2024</v>
      </c>
      <c r="E916" s="2" t="s">
        <v>151</v>
      </c>
      <c r="F916" s="4">
        <v>1.9999999999999999E-6</v>
      </c>
      <c r="G916" s="2">
        <v>7</v>
      </c>
      <c r="H916" s="2">
        <f>L916+O916+G916*F916</f>
        <v>162.76201399999999</v>
      </c>
      <c r="I916" s="2">
        <v>19</v>
      </c>
      <c r="J916" s="2">
        <v>0.13300000000000001</v>
      </c>
      <c r="K916" s="2">
        <v>6</v>
      </c>
      <c r="L916" s="2">
        <f>I916*J916*K916</f>
        <v>15.162000000000001</v>
      </c>
      <c r="M916" s="2">
        <v>2</v>
      </c>
      <c r="N916" s="2">
        <v>73.8</v>
      </c>
      <c r="O916" s="2">
        <f>M916*N916</f>
        <v>147.6</v>
      </c>
      <c r="P916" s="2">
        <f>H916/C916*100000</f>
        <v>1.3222149344424765</v>
      </c>
      <c r="Q916" s="7">
        <f t="shared" si="75"/>
        <v>1.3135120718538285</v>
      </c>
      <c r="R916" s="2" t="s">
        <v>237</v>
      </c>
      <c r="S916" s="2" t="s">
        <v>28</v>
      </c>
      <c r="T916" s="2" t="s">
        <v>32</v>
      </c>
    </row>
    <row r="917" spans="1:20" x14ac:dyDescent="0.3">
      <c r="A917" s="2" t="s">
        <v>234</v>
      </c>
      <c r="B917" s="2" t="s">
        <v>129</v>
      </c>
      <c r="C917" s="2">
        <v>12309800</v>
      </c>
      <c r="D917" s="2">
        <v>2024</v>
      </c>
      <c r="E917" s="2" t="s">
        <v>33</v>
      </c>
      <c r="F917" s="4">
        <v>0</v>
      </c>
      <c r="G917" s="2">
        <v>8</v>
      </c>
      <c r="H917" s="2">
        <f>L917+O917+G917*F917</f>
        <v>75.661999999999992</v>
      </c>
      <c r="I917" s="2">
        <v>2</v>
      </c>
      <c r="J917" s="2">
        <v>0.13300000000000001</v>
      </c>
      <c r="K917" s="2">
        <v>7</v>
      </c>
      <c r="L917" s="2">
        <f>I917*J917*K917</f>
        <v>1.8620000000000001</v>
      </c>
      <c r="M917" s="2">
        <v>1</v>
      </c>
      <c r="N917" s="2">
        <v>73.8</v>
      </c>
      <c r="O917" s="2">
        <f>M917*N917</f>
        <v>73.8</v>
      </c>
      <c r="P917" s="2">
        <f>H917/C917*100000</f>
        <v>0.61464849144583988</v>
      </c>
      <c r="Q917" s="7">
        <f t="shared" si="75"/>
        <v>0.61276339182856354</v>
      </c>
      <c r="R917" s="2" t="s">
        <v>242</v>
      </c>
      <c r="S917" s="2" t="s">
        <v>35</v>
      </c>
      <c r="T917" s="2" t="s">
        <v>28</v>
      </c>
    </row>
    <row r="918" spans="1:20" x14ac:dyDescent="0.3">
      <c r="A918" s="2" t="s">
        <v>234</v>
      </c>
      <c r="B918" s="2" t="s">
        <v>129</v>
      </c>
      <c r="C918" s="2">
        <v>12309800</v>
      </c>
      <c r="D918" s="2">
        <v>2024</v>
      </c>
      <c r="E918" s="2" t="s">
        <v>37</v>
      </c>
      <c r="F918" s="4">
        <v>3.4200000000000002E-4</v>
      </c>
      <c r="G918" s="2">
        <v>6</v>
      </c>
      <c r="H918" s="2">
        <f>L918+O918+G918*F918</f>
        <v>2781.4420519999999</v>
      </c>
      <c r="I918" s="2">
        <v>4346</v>
      </c>
      <c r="J918" s="2">
        <v>0.128</v>
      </c>
      <c r="K918" s="2">
        <v>5</v>
      </c>
      <c r="L918" s="2">
        <f>I918*J918*K918</f>
        <v>2781.44</v>
      </c>
      <c r="M918" s="2">
        <v>0</v>
      </c>
      <c r="N918" s="2">
        <v>73.8</v>
      </c>
      <c r="O918" s="2">
        <f>M918*N918</f>
        <v>0</v>
      </c>
      <c r="P918" s="2">
        <f>H918/C918*100000</f>
        <v>22.595347219288698</v>
      </c>
      <c r="Q918" s="7">
        <f t="shared" si="75"/>
        <v>20.224478139688273</v>
      </c>
      <c r="R918" s="2" t="s">
        <v>239</v>
      </c>
      <c r="S918" s="2" t="s">
        <v>155</v>
      </c>
      <c r="T918" s="2" t="s">
        <v>156</v>
      </c>
    </row>
    <row r="919" spans="1:20" x14ac:dyDescent="0.3">
      <c r="A919" s="2" t="s">
        <v>234</v>
      </c>
      <c r="B919" s="2" t="s">
        <v>129</v>
      </c>
      <c r="C919" s="2">
        <v>12309800</v>
      </c>
      <c r="D919" s="2">
        <v>2024</v>
      </c>
      <c r="E919" s="2" t="s">
        <v>41</v>
      </c>
      <c r="F919" s="4">
        <v>1.9999999999999999E-6</v>
      </c>
      <c r="G919" s="2">
        <v>6</v>
      </c>
      <c r="H919" s="2">
        <f>L919+O919+G919*F919</f>
        <v>753.840012</v>
      </c>
      <c r="I919" s="2">
        <v>33</v>
      </c>
      <c r="J919" s="2">
        <v>0.12</v>
      </c>
      <c r="K919" s="2">
        <v>4</v>
      </c>
      <c r="L919" s="2">
        <f>I919*J919*K919</f>
        <v>15.84</v>
      </c>
      <c r="M919" s="2">
        <v>10</v>
      </c>
      <c r="N919" s="2">
        <v>73.8</v>
      </c>
      <c r="O919" s="2">
        <f>M919*N919</f>
        <v>738</v>
      </c>
      <c r="P919" s="2">
        <f>H919/C919*100000</f>
        <v>6.12390137938878</v>
      </c>
      <c r="Q919" s="7">
        <f t="shared" si="75"/>
        <v>5.9401603084563988</v>
      </c>
      <c r="R919" s="2" t="s">
        <v>240</v>
      </c>
      <c r="S919" s="2" t="s">
        <v>158</v>
      </c>
      <c r="T919" s="2" t="s">
        <v>159</v>
      </c>
    </row>
    <row r="920" spans="1:20" x14ac:dyDescent="0.3">
      <c r="A920" s="2" t="s">
        <v>234</v>
      </c>
      <c r="B920" s="2" t="s">
        <v>129</v>
      </c>
      <c r="C920" s="2">
        <v>12420588</v>
      </c>
      <c r="D920" s="2">
        <v>2025</v>
      </c>
      <c r="E920" s="2" t="s">
        <v>22</v>
      </c>
      <c r="F920" s="4" t="s">
        <v>29</v>
      </c>
      <c r="G920" s="2">
        <v>9</v>
      </c>
      <c r="H920" s="2" t="s">
        <v>29</v>
      </c>
      <c r="I920" s="2" t="s">
        <v>29</v>
      </c>
      <c r="J920" s="2">
        <v>0.13300000000000001</v>
      </c>
      <c r="K920" s="2">
        <v>8</v>
      </c>
      <c r="L920" s="2" t="s">
        <v>29</v>
      </c>
      <c r="M920" s="2" t="s">
        <v>29</v>
      </c>
      <c r="N920" s="2">
        <v>73.8</v>
      </c>
      <c r="O920" s="2" t="s">
        <v>29</v>
      </c>
      <c r="P920" s="2" t="s">
        <v>29</v>
      </c>
      <c r="Q920" s="7" t="e">
        <f t="shared" si="75"/>
        <v>#VALUE!</v>
      </c>
      <c r="R920" s="2" t="s">
        <v>120</v>
      </c>
      <c r="S920" s="2" t="s">
        <v>28</v>
      </c>
      <c r="T920" s="2" t="s">
        <v>29</v>
      </c>
    </row>
    <row r="921" spans="1:20" x14ac:dyDescent="0.3">
      <c r="A921" s="2" t="s">
        <v>234</v>
      </c>
      <c r="B921" s="2" t="s">
        <v>129</v>
      </c>
      <c r="C921" s="2">
        <v>12420588</v>
      </c>
      <c r="D921" s="2">
        <v>2025</v>
      </c>
      <c r="E921" s="2" t="s">
        <v>26</v>
      </c>
      <c r="F921" s="4">
        <v>9.9999999999999995E-7</v>
      </c>
      <c r="G921" s="2">
        <v>7</v>
      </c>
      <c r="H921" s="2">
        <f>L921+O921+G921*F921</f>
        <v>324.34200699999997</v>
      </c>
      <c r="I921" s="2">
        <v>129</v>
      </c>
      <c r="J921" s="2">
        <v>0.13300000000000001</v>
      </c>
      <c r="K921" s="2">
        <v>6</v>
      </c>
      <c r="L921" s="2">
        <f>I921*J921*K921</f>
        <v>102.94200000000001</v>
      </c>
      <c r="M921" s="2">
        <v>3</v>
      </c>
      <c r="N921" s="2">
        <v>73.8</v>
      </c>
      <c r="O921" s="2">
        <f>M921*N921</f>
        <v>221.39999999999998</v>
      </c>
      <c r="P921" s="2">
        <f>H921/C921*100000</f>
        <v>2.6113257037428501</v>
      </c>
      <c r="Q921" s="7">
        <f t="shared" si="75"/>
        <v>2.5775254448223928</v>
      </c>
      <c r="R921" s="2" t="s">
        <v>244</v>
      </c>
      <c r="S921" s="2" t="s">
        <v>28</v>
      </c>
      <c r="T921" s="2" t="s">
        <v>150</v>
      </c>
    </row>
    <row r="922" spans="1:20" x14ac:dyDescent="0.3">
      <c r="A922" s="2" t="s">
        <v>234</v>
      </c>
      <c r="B922" s="2" t="s">
        <v>129</v>
      </c>
      <c r="C922" s="2">
        <v>12420588</v>
      </c>
      <c r="D922" s="2">
        <v>2025</v>
      </c>
      <c r="E922" s="2" t="s">
        <v>151</v>
      </c>
      <c r="F922" s="4">
        <v>9.9999999999999995E-7</v>
      </c>
      <c r="G922" s="2">
        <v>7</v>
      </c>
      <c r="H922" s="2">
        <f>L922+O922+G922*F922</f>
        <v>162.76200700000001</v>
      </c>
      <c r="I922" s="2">
        <v>19</v>
      </c>
      <c r="J922" s="2">
        <v>0.13300000000000001</v>
      </c>
      <c r="K922" s="2">
        <v>6</v>
      </c>
      <c r="L922" s="2">
        <f>I922*J922*K922</f>
        <v>15.162000000000001</v>
      </c>
      <c r="M922" s="2">
        <v>2</v>
      </c>
      <c r="N922" s="2">
        <v>73.8</v>
      </c>
      <c r="O922" s="2">
        <f>M922*N922</f>
        <v>147.6</v>
      </c>
      <c r="P922" s="2">
        <f>H922/C922*100000</f>
        <v>1.3104211088879207</v>
      </c>
      <c r="Q922" s="7">
        <f t="shared" si="75"/>
        <v>1.301872473258181</v>
      </c>
      <c r="R922" s="2" t="s">
        <v>237</v>
      </c>
      <c r="S922" s="2" t="s">
        <v>28</v>
      </c>
      <c r="T922" s="2" t="s">
        <v>32</v>
      </c>
    </row>
    <row r="923" spans="1:20" x14ac:dyDescent="0.3">
      <c r="A923" s="2" t="s">
        <v>234</v>
      </c>
      <c r="B923" s="2" t="s">
        <v>129</v>
      </c>
      <c r="C923" s="2">
        <v>12420588</v>
      </c>
      <c r="D923" s="2">
        <v>2025</v>
      </c>
      <c r="E923" s="2" t="s">
        <v>33</v>
      </c>
      <c r="F923" s="4">
        <v>0</v>
      </c>
      <c r="G923" s="2">
        <v>8</v>
      </c>
      <c r="H923" s="2">
        <f>L923+O923+G923*F923</f>
        <v>75.661999999999992</v>
      </c>
      <c r="I923" s="2">
        <v>2</v>
      </c>
      <c r="J923" s="2">
        <v>0.13300000000000001</v>
      </c>
      <c r="K923" s="2">
        <v>7</v>
      </c>
      <c r="L923" s="2">
        <f>I923*J923*K923</f>
        <v>1.8620000000000001</v>
      </c>
      <c r="M923" s="2">
        <v>1</v>
      </c>
      <c r="N923" s="2">
        <v>73.8</v>
      </c>
      <c r="O923" s="2">
        <f>M923*N923</f>
        <v>73.8</v>
      </c>
      <c r="P923" s="2">
        <f>H923/C923*100000</f>
        <v>0.60916600727759418</v>
      </c>
      <c r="Q923" s="7">
        <f t="shared" si="75"/>
        <v>0.60731435294628655</v>
      </c>
      <c r="R923" s="2" t="s">
        <v>242</v>
      </c>
      <c r="S923" s="2" t="s">
        <v>35</v>
      </c>
      <c r="T923" s="2" t="s">
        <v>28</v>
      </c>
    </row>
    <row r="924" spans="1:20" x14ac:dyDescent="0.3">
      <c r="A924" s="2" t="s">
        <v>234</v>
      </c>
      <c r="B924" s="2" t="s">
        <v>129</v>
      </c>
      <c r="C924" s="2">
        <v>12420588</v>
      </c>
      <c r="D924" s="2">
        <v>2025</v>
      </c>
      <c r="E924" s="2" t="s">
        <v>37</v>
      </c>
      <c r="F924" s="4">
        <v>3.3500000000000001E-4</v>
      </c>
      <c r="G924" s="2">
        <v>6</v>
      </c>
      <c r="H924" s="2">
        <f>L924+O924+G924*F924</f>
        <v>2666.2420100000004</v>
      </c>
      <c r="I924" s="2">
        <v>4166</v>
      </c>
      <c r="J924" s="2">
        <v>0.128</v>
      </c>
      <c r="K924" s="2">
        <v>5</v>
      </c>
      <c r="L924" s="2">
        <f>I924*J924*K924</f>
        <v>2666.2400000000002</v>
      </c>
      <c r="M924" s="2">
        <v>0</v>
      </c>
      <c r="N924" s="2">
        <v>73.8</v>
      </c>
      <c r="O924" s="2">
        <f>M924*N924</f>
        <v>0</v>
      </c>
      <c r="P924" s="2">
        <f>H924/C924*100000</f>
        <v>21.466310693181356</v>
      </c>
      <c r="Q924" s="7">
        <f t="shared" si="75"/>
        <v>19.318679582713948</v>
      </c>
      <c r="R924" s="2" t="s">
        <v>239</v>
      </c>
      <c r="S924" s="2" t="s">
        <v>155</v>
      </c>
      <c r="T924" s="2" t="s">
        <v>156</v>
      </c>
    </row>
    <row r="925" spans="1:20" x14ac:dyDescent="0.3">
      <c r="A925" s="2" t="s">
        <v>234</v>
      </c>
      <c r="B925" s="2" t="s">
        <v>129</v>
      </c>
      <c r="C925" s="2">
        <v>12420588</v>
      </c>
      <c r="D925" s="2">
        <v>2025</v>
      </c>
      <c r="E925" s="2" t="s">
        <v>41</v>
      </c>
      <c r="F925" s="4">
        <v>1.9999999999999999E-6</v>
      </c>
      <c r="G925" s="2">
        <v>6</v>
      </c>
      <c r="H925" s="2">
        <f>L925+O925+G925*F925</f>
        <v>752.88001199999997</v>
      </c>
      <c r="I925" s="2">
        <v>31</v>
      </c>
      <c r="J925" s="2">
        <v>0.12</v>
      </c>
      <c r="K925" s="2">
        <v>4</v>
      </c>
      <c r="L925" s="2">
        <f>I925*J925*K925</f>
        <v>14.879999999999999</v>
      </c>
      <c r="M925" s="2">
        <v>10</v>
      </c>
      <c r="N925" s="2">
        <v>73.8</v>
      </c>
      <c r="O925" s="2">
        <f>M925*N925</f>
        <v>738</v>
      </c>
      <c r="P925" s="2">
        <f>H925/C925*100000</f>
        <v>6.0615488735315912</v>
      </c>
      <c r="Q925" s="7">
        <f t="shared" si="75"/>
        <v>5.8814933531458173</v>
      </c>
      <c r="R925" s="2" t="s">
        <v>240</v>
      </c>
      <c r="S925" s="2" t="s">
        <v>158</v>
      </c>
      <c r="T925" s="2" t="s">
        <v>159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zoomScaleNormal="100" workbookViewId="0">
      <selection activeCell="B6" sqref="B6"/>
    </sheetView>
  </sheetViews>
  <sheetFormatPr defaultColWidth="8.6640625" defaultRowHeight="14.4" x14ac:dyDescent="0.3"/>
  <cols>
    <col min="1" max="1" width="20" customWidth="1"/>
    <col min="2" max="2" width="100" customWidth="1"/>
  </cols>
  <sheetData>
    <row r="1" spans="1:2" x14ac:dyDescent="0.3">
      <c r="A1" s="3" t="s">
        <v>245</v>
      </c>
      <c r="B1" s="2" t="s">
        <v>246</v>
      </c>
    </row>
    <row r="2" spans="1:2" x14ac:dyDescent="0.3">
      <c r="B2" s="2" t="s">
        <v>247</v>
      </c>
    </row>
    <row r="3" spans="1:2" x14ac:dyDescent="0.3">
      <c r="B3" s="2" t="s">
        <v>248</v>
      </c>
    </row>
    <row r="4" spans="1:2" x14ac:dyDescent="0.3">
      <c r="B4" s="2" t="s">
        <v>249</v>
      </c>
    </row>
    <row r="5" spans="1:2" x14ac:dyDescent="0.3">
      <c r="B5" s="2" t="s">
        <v>250</v>
      </c>
    </row>
    <row r="7" spans="1:2" x14ac:dyDescent="0.3">
      <c r="A7" s="3" t="s">
        <v>251</v>
      </c>
      <c r="B7" s="2" t="s">
        <v>252</v>
      </c>
    </row>
    <row r="8" spans="1:2" x14ac:dyDescent="0.3">
      <c r="B8" s="2" t="s">
        <v>253</v>
      </c>
    </row>
    <row r="9" spans="1:2" x14ac:dyDescent="0.3">
      <c r="B9" s="2" t="s">
        <v>254</v>
      </c>
    </row>
    <row r="11" spans="1:2" x14ac:dyDescent="0.3">
      <c r="A11" s="3" t="s">
        <v>255</v>
      </c>
      <c r="B11" s="2" t="s">
        <v>256</v>
      </c>
    </row>
    <row r="12" spans="1:2" x14ac:dyDescent="0.3">
      <c r="B12" s="2" t="s">
        <v>257</v>
      </c>
    </row>
    <row r="13" spans="1:2" x14ac:dyDescent="0.3">
      <c r="B13" s="2" t="s">
        <v>258</v>
      </c>
    </row>
    <row r="14" spans="1:2" x14ac:dyDescent="0.3">
      <c r="B14" s="2" t="s">
        <v>259</v>
      </c>
    </row>
    <row r="15" spans="1:2" x14ac:dyDescent="0.3">
      <c r="B15" s="2" t="s">
        <v>260</v>
      </c>
    </row>
    <row r="16" spans="1:2" x14ac:dyDescent="0.3">
      <c r="B16" s="2" t="s">
        <v>261</v>
      </c>
    </row>
    <row r="17" spans="2:2" x14ac:dyDescent="0.3">
      <c r="B17" s="2" t="s">
        <v>262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zoomScaleNormal="100" workbookViewId="0"/>
  </sheetViews>
  <sheetFormatPr defaultColWidth="8.6640625" defaultRowHeight="14.4" x14ac:dyDescent="0.3"/>
  <cols>
    <col min="1" max="1" width="26" customWidth="1"/>
    <col min="2" max="3" width="22" customWidth="1"/>
    <col min="4" max="4" width="100" customWidth="1"/>
  </cols>
  <sheetData>
    <row r="1" spans="1:4" x14ac:dyDescent="0.3">
      <c r="A1" s="1" t="s">
        <v>263</v>
      </c>
      <c r="B1" s="1" t="s">
        <v>4</v>
      </c>
      <c r="C1" s="1" t="s">
        <v>264</v>
      </c>
      <c r="D1" s="1" t="s">
        <v>265</v>
      </c>
    </row>
    <row r="2" spans="1:4" x14ac:dyDescent="0.3">
      <c r="A2" s="2" t="s">
        <v>22</v>
      </c>
      <c r="B2" s="2" t="s">
        <v>266</v>
      </c>
      <c r="C2" s="2">
        <v>9</v>
      </c>
      <c r="D2" s="2" t="s">
        <v>267</v>
      </c>
    </row>
    <row r="3" spans="1:4" x14ac:dyDescent="0.3">
      <c r="A3" s="2" t="s">
        <v>33</v>
      </c>
      <c r="B3" s="2" t="s">
        <v>266</v>
      </c>
      <c r="C3" s="2">
        <v>9</v>
      </c>
      <c r="D3" s="2" t="s">
        <v>267</v>
      </c>
    </row>
    <row r="4" spans="1:4" x14ac:dyDescent="0.3">
      <c r="A4" s="2" t="s">
        <v>22</v>
      </c>
      <c r="B4" s="2" t="s">
        <v>268</v>
      </c>
      <c r="C4" s="2">
        <v>8</v>
      </c>
      <c r="D4" s="2" t="s">
        <v>269</v>
      </c>
    </row>
    <row r="5" spans="1:4" x14ac:dyDescent="0.3">
      <c r="A5" s="2" t="s">
        <v>22</v>
      </c>
      <c r="B5" s="2" t="s">
        <v>270</v>
      </c>
      <c r="C5" s="2">
        <v>8</v>
      </c>
      <c r="D5" s="2" t="s">
        <v>269</v>
      </c>
    </row>
    <row r="6" spans="1:4" x14ac:dyDescent="0.3">
      <c r="A6" s="2" t="s">
        <v>26</v>
      </c>
      <c r="B6" s="2" t="s">
        <v>270</v>
      </c>
      <c r="C6" s="2">
        <v>8</v>
      </c>
      <c r="D6" s="2" t="s">
        <v>269</v>
      </c>
    </row>
    <row r="7" spans="1:4" x14ac:dyDescent="0.3">
      <c r="A7" s="2" t="s">
        <v>151</v>
      </c>
      <c r="B7" s="2" t="s">
        <v>266</v>
      </c>
      <c r="C7" s="2">
        <v>8</v>
      </c>
      <c r="D7" s="2" t="s">
        <v>269</v>
      </c>
    </row>
    <row r="8" spans="1:4" x14ac:dyDescent="0.3">
      <c r="A8" s="2" t="s">
        <v>33</v>
      </c>
      <c r="B8" s="2" t="s">
        <v>268</v>
      </c>
      <c r="C8" s="2">
        <v>8</v>
      </c>
      <c r="D8" s="2" t="s">
        <v>269</v>
      </c>
    </row>
    <row r="9" spans="1:4" x14ac:dyDescent="0.3">
      <c r="A9" s="2" t="s">
        <v>33</v>
      </c>
      <c r="B9" s="2" t="s">
        <v>270</v>
      </c>
      <c r="C9" s="2">
        <v>8</v>
      </c>
      <c r="D9" s="2" t="s">
        <v>269</v>
      </c>
    </row>
    <row r="10" spans="1:4" x14ac:dyDescent="0.3">
      <c r="A10" s="2" t="s">
        <v>22</v>
      </c>
      <c r="B10" s="2" t="s">
        <v>271</v>
      </c>
      <c r="C10" s="2">
        <v>7</v>
      </c>
      <c r="D10" s="2" t="s">
        <v>272</v>
      </c>
    </row>
    <row r="11" spans="1:4" x14ac:dyDescent="0.3">
      <c r="A11" s="2" t="s">
        <v>22</v>
      </c>
      <c r="B11" s="2" t="s">
        <v>273</v>
      </c>
      <c r="C11" s="2">
        <v>7</v>
      </c>
      <c r="D11" s="2" t="s">
        <v>272</v>
      </c>
    </row>
    <row r="12" spans="1:4" x14ac:dyDescent="0.3">
      <c r="A12" s="2" t="s">
        <v>26</v>
      </c>
      <c r="B12" s="2" t="s">
        <v>266</v>
      </c>
      <c r="C12" s="2">
        <v>7</v>
      </c>
      <c r="D12" s="2" t="s">
        <v>272</v>
      </c>
    </row>
    <row r="13" spans="1:4" x14ac:dyDescent="0.3">
      <c r="A13" s="2" t="s">
        <v>151</v>
      </c>
      <c r="B13" s="2" t="s">
        <v>268</v>
      </c>
      <c r="C13" s="2">
        <v>7</v>
      </c>
      <c r="D13" s="2" t="s">
        <v>272</v>
      </c>
    </row>
    <row r="14" spans="1:4" x14ac:dyDescent="0.3">
      <c r="A14" s="2" t="s">
        <v>151</v>
      </c>
      <c r="B14" s="2" t="s">
        <v>270</v>
      </c>
      <c r="C14" s="2">
        <v>7</v>
      </c>
      <c r="D14" s="2" t="s">
        <v>272</v>
      </c>
    </row>
    <row r="15" spans="1:4" x14ac:dyDescent="0.3">
      <c r="A15" s="2" t="s">
        <v>33</v>
      </c>
      <c r="B15" s="2" t="s">
        <v>271</v>
      </c>
      <c r="C15" s="2">
        <v>7</v>
      </c>
      <c r="D15" s="2" t="s">
        <v>272</v>
      </c>
    </row>
    <row r="16" spans="1:4" x14ac:dyDescent="0.3">
      <c r="A16" s="2" t="s">
        <v>37</v>
      </c>
      <c r="B16" s="2" t="s">
        <v>273</v>
      </c>
      <c r="C16" s="2">
        <v>7</v>
      </c>
      <c r="D16" s="2" t="s">
        <v>272</v>
      </c>
    </row>
    <row r="17" spans="1:4" x14ac:dyDescent="0.3">
      <c r="A17" s="2" t="s">
        <v>37</v>
      </c>
      <c r="B17" s="2" t="s">
        <v>270</v>
      </c>
      <c r="C17" s="2">
        <v>7</v>
      </c>
      <c r="D17" s="2" t="s">
        <v>272</v>
      </c>
    </row>
    <row r="18" spans="1:4" x14ac:dyDescent="0.3">
      <c r="A18" s="2" t="s">
        <v>41</v>
      </c>
      <c r="B18" s="2" t="s">
        <v>266</v>
      </c>
      <c r="C18" s="2">
        <v>7</v>
      </c>
      <c r="D18" s="2" t="s">
        <v>272</v>
      </c>
    </row>
    <row r="19" spans="1:4" x14ac:dyDescent="0.3">
      <c r="A19" s="2" t="s">
        <v>22</v>
      </c>
      <c r="B19" s="2" t="s">
        <v>274</v>
      </c>
      <c r="C19" s="2">
        <v>6</v>
      </c>
      <c r="D19" s="2" t="s">
        <v>275</v>
      </c>
    </row>
    <row r="20" spans="1:4" x14ac:dyDescent="0.3">
      <c r="A20" s="2" t="s">
        <v>26</v>
      </c>
      <c r="B20" s="2" t="s">
        <v>271</v>
      </c>
      <c r="C20" s="2">
        <v>6</v>
      </c>
      <c r="D20" s="2" t="s">
        <v>275</v>
      </c>
    </row>
    <row r="21" spans="1:4" x14ac:dyDescent="0.3">
      <c r="A21" s="2" t="s">
        <v>26</v>
      </c>
      <c r="B21" s="2" t="s">
        <v>268</v>
      </c>
      <c r="C21" s="2">
        <v>6</v>
      </c>
      <c r="D21" s="2" t="s">
        <v>275</v>
      </c>
    </row>
    <row r="22" spans="1:4" x14ac:dyDescent="0.3">
      <c r="A22" s="2" t="s">
        <v>151</v>
      </c>
      <c r="B22" s="2" t="s">
        <v>271</v>
      </c>
      <c r="C22" s="2">
        <v>6</v>
      </c>
      <c r="D22" s="2" t="s">
        <v>275</v>
      </c>
    </row>
    <row r="23" spans="1:4" x14ac:dyDescent="0.3">
      <c r="A23" s="2" t="s">
        <v>151</v>
      </c>
      <c r="B23" s="2" t="s">
        <v>273</v>
      </c>
      <c r="C23" s="2">
        <v>6</v>
      </c>
      <c r="D23" s="2" t="s">
        <v>275</v>
      </c>
    </row>
    <row r="24" spans="1:4" x14ac:dyDescent="0.3">
      <c r="A24" s="2" t="s">
        <v>33</v>
      </c>
      <c r="B24" s="2" t="s">
        <v>273</v>
      </c>
      <c r="C24" s="2">
        <v>6</v>
      </c>
      <c r="D24" s="2" t="s">
        <v>275</v>
      </c>
    </row>
    <row r="25" spans="1:4" x14ac:dyDescent="0.3">
      <c r="A25" s="2" t="s">
        <v>33</v>
      </c>
      <c r="B25" s="2" t="s">
        <v>274</v>
      </c>
      <c r="C25" s="2">
        <v>6</v>
      </c>
      <c r="D25" s="2" t="s">
        <v>275</v>
      </c>
    </row>
    <row r="26" spans="1:4" x14ac:dyDescent="0.3">
      <c r="A26" s="2" t="s">
        <v>37</v>
      </c>
      <c r="B26" s="2" t="s">
        <v>266</v>
      </c>
      <c r="C26" s="2">
        <v>6</v>
      </c>
      <c r="D26" s="2" t="s">
        <v>275</v>
      </c>
    </row>
    <row r="27" spans="1:4" x14ac:dyDescent="0.3">
      <c r="A27" s="2" t="s">
        <v>37</v>
      </c>
      <c r="B27" s="2" t="s">
        <v>268</v>
      </c>
      <c r="C27" s="2">
        <v>6</v>
      </c>
      <c r="D27" s="2" t="s">
        <v>275</v>
      </c>
    </row>
    <row r="28" spans="1:4" x14ac:dyDescent="0.3">
      <c r="A28" s="2" t="s">
        <v>41</v>
      </c>
      <c r="B28" s="2" t="s">
        <v>268</v>
      </c>
      <c r="C28" s="2">
        <v>6</v>
      </c>
      <c r="D28" s="2" t="s">
        <v>275</v>
      </c>
    </row>
    <row r="29" spans="1:4" x14ac:dyDescent="0.3">
      <c r="A29" s="2" t="s">
        <v>41</v>
      </c>
      <c r="B29" s="2" t="s">
        <v>273</v>
      </c>
      <c r="C29" s="2">
        <v>6</v>
      </c>
      <c r="D29" s="2" t="s">
        <v>275</v>
      </c>
    </row>
    <row r="30" spans="1:4" x14ac:dyDescent="0.3">
      <c r="A30" s="2" t="s">
        <v>26</v>
      </c>
      <c r="B30" s="2" t="s">
        <v>273</v>
      </c>
      <c r="C30" s="2">
        <v>5</v>
      </c>
      <c r="D30" s="2" t="s">
        <v>276</v>
      </c>
    </row>
    <row r="31" spans="1:4" x14ac:dyDescent="0.3">
      <c r="A31" s="2" t="s">
        <v>26</v>
      </c>
      <c r="B31" s="2" t="s">
        <v>274</v>
      </c>
      <c r="C31" s="2">
        <v>5</v>
      </c>
      <c r="D31" s="2" t="s">
        <v>276</v>
      </c>
    </row>
    <row r="32" spans="1:4" x14ac:dyDescent="0.3">
      <c r="A32" s="2" t="s">
        <v>151</v>
      </c>
      <c r="B32" s="2" t="s">
        <v>274</v>
      </c>
      <c r="C32" s="2">
        <v>5</v>
      </c>
      <c r="D32" s="2" t="s">
        <v>276</v>
      </c>
    </row>
    <row r="33" spans="1:4" x14ac:dyDescent="0.3">
      <c r="A33" s="2" t="s">
        <v>37</v>
      </c>
      <c r="B33" s="2" t="s">
        <v>271</v>
      </c>
      <c r="C33" s="2">
        <v>5</v>
      </c>
      <c r="D33" s="2" t="s">
        <v>276</v>
      </c>
    </row>
    <row r="34" spans="1:4" x14ac:dyDescent="0.3">
      <c r="A34" s="2" t="s">
        <v>41</v>
      </c>
      <c r="B34" s="2" t="s">
        <v>271</v>
      </c>
      <c r="C34" s="2">
        <v>5</v>
      </c>
      <c r="D34" s="2" t="s">
        <v>276</v>
      </c>
    </row>
    <row r="35" spans="1:4" x14ac:dyDescent="0.3">
      <c r="A35" s="2" t="s">
        <v>41</v>
      </c>
      <c r="B35" s="2" t="s">
        <v>274</v>
      </c>
      <c r="C35" s="2">
        <v>5</v>
      </c>
      <c r="D35" s="2" t="s">
        <v>276</v>
      </c>
    </row>
    <row r="36" spans="1:4" x14ac:dyDescent="0.3">
      <c r="A36" s="2" t="s">
        <v>37</v>
      </c>
      <c r="B36" s="2" t="s">
        <v>274</v>
      </c>
      <c r="C36" s="2">
        <v>4</v>
      </c>
      <c r="D36" s="2" t="s">
        <v>277</v>
      </c>
    </row>
    <row r="37" spans="1:4" x14ac:dyDescent="0.3">
      <c r="A37" s="2" t="s">
        <v>41</v>
      </c>
      <c r="B37" s="2" t="s">
        <v>270</v>
      </c>
      <c r="C37" s="2">
        <v>3</v>
      </c>
      <c r="D37" s="2" t="s">
        <v>278</v>
      </c>
    </row>
    <row r="39" spans="1:4" x14ac:dyDescent="0.3">
      <c r="A39" s="3" t="s">
        <v>279</v>
      </c>
    </row>
    <row r="40" spans="1:4" x14ac:dyDescent="0.3">
      <c r="A40" s="2" t="s">
        <v>280</v>
      </c>
    </row>
    <row r="41" spans="1:4" x14ac:dyDescent="0.3">
      <c r="A41" s="2" t="s">
        <v>281</v>
      </c>
    </row>
    <row r="42" spans="1:4" x14ac:dyDescent="0.3">
      <c r="A42" s="2" t="s">
        <v>282</v>
      </c>
    </row>
    <row r="43" spans="1:4" x14ac:dyDescent="0.3">
      <c r="A43" s="2" t="s">
        <v>283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5"/>
  <sheetViews>
    <sheetView zoomScaleNormal="100" workbookViewId="0"/>
  </sheetViews>
  <sheetFormatPr defaultColWidth="8.6640625" defaultRowHeight="14.4" x14ac:dyDescent="0.3"/>
  <cols>
    <col min="1" max="21" width="16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284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285</v>
      </c>
      <c r="S1" s="1" t="s">
        <v>18</v>
      </c>
      <c r="T1" s="1" t="s">
        <v>19</v>
      </c>
      <c r="U1" s="1" t="s">
        <v>286</v>
      </c>
    </row>
    <row r="2" spans="1:21" x14ac:dyDescent="0.3">
      <c r="A2" s="2" t="s">
        <v>20</v>
      </c>
      <c r="B2" s="2" t="s">
        <v>21</v>
      </c>
      <c r="C2" s="2">
        <v>320878310</v>
      </c>
      <c r="D2" s="2">
        <v>2015</v>
      </c>
      <c r="E2" s="2"/>
      <c r="F2" s="2" t="s">
        <v>287</v>
      </c>
      <c r="G2" s="2">
        <v>5</v>
      </c>
      <c r="H2" s="2"/>
      <c r="I2" s="2">
        <v>20500000</v>
      </c>
      <c r="J2" s="2">
        <v>0.32900000000000001</v>
      </c>
      <c r="K2" s="2"/>
      <c r="L2" s="2"/>
      <c r="M2" s="2">
        <v>52404</v>
      </c>
      <c r="N2" s="2">
        <v>73.8</v>
      </c>
      <c r="O2" s="2"/>
      <c r="P2" s="2"/>
      <c r="Q2" s="2"/>
      <c r="R2" s="2" t="s">
        <v>288</v>
      </c>
      <c r="S2" s="2" t="s">
        <v>289</v>
      </c>
      <c r="T2" s="2" t="s">
        <v>32</v>
      </c>
      <c r="U2" s="2"/>
    </row>
    <row r="3" spans="1:21" x14ac:dyDescent="0.3">
      <c r="A3" s="2" t="s">
        <v>20</v>
      </c>
      <c r="B3" s="2" t="s">
        <v>21</v>
      </c>
      <c r="C3" s="2">
        <v>323127513</v>
      </c>
      <c r="D3" s="2">
        <v>2016</v>
      </c>
      <c r="E3" s="2"/>
      <c r="F3" s="2" t="s">
        <v>287</v>
      </c>
      <c r="G3" s="2">
        <v>5</v>
      </c>
      <c r="H3" s="2"/>
      <c r="I3" s="2">
        <v>21000000</v>
      </c>
      <c r="J3" s="2">
        <v>0.32900000000000001</v>
      </c>
      <c r="K3" s="2"/>
      <c r="L3" s="2"/>
      <c r="M3" s="2">
        <v>63000</v>
      </c>
      <c r="N3" s="2">
        <v>73.8</v>
      </c>
      <c r="O3" s="2"/>
      <c r="P3" s="2"/>
      <c r="Q3" s="2"/>
      <c r="R3" s="2" t="s">
        <v>290</v>
      </c>
      <c r="S3" s="2" t="s">
        <v>291</v>
      </c>
      <c r="T3" s="2" t="s">
        <v>32</v>
      </c>
      <c r="U3" s="2"/>
    </row>
    <row r="4" spans="1:21" x14ac:dyDescent="0.3">
      <c r="A4" s="2" t="s">
        <v>20</v>
      </c>
      <c r="B4" s="2" t="s">
        <v>21</v>
      </c>
      <c r="C4" s="2">
        <v>325084756</v>
      </c>
      <c r="D4" s="2">
        <v>2017</v>
      </c>
      <c r="E4" s="2"/>
      <c r="F4" s="2" t="s">
        <v>287</v>
      </c>
      <c r="G4" s="2">
        <v>5</v>
      </c>
      <c r="H4" s="2"/>
      <c r="I4" s="2">
        <v>19700000</v>
      </c>
      <c r="J4" s="2">
        <v>0.32900000000000001</v>
      </c>
      <c r="K4" s="2"/>
      <c r="L4" s="2"/>
      <c r="M4" s="2">
        <v>70237</v>
      </c>
      <c r="N4" s="2">
        <v>73.8</v>
      </c>
      <c r="O4" s="2"/>
      <c r="P4" s="2"/>
      <c r="Q4" s="2"/>
      <c r="R4" s="2" t="s">
        <v>292</v>
      </c>
      <c r="S4" s="2" t="s">
        <v>293</v>
      </c>
      <c r="T4" s="2" t="s">
        <v>294</v>
      </c>
      <c r="U4" s="2"/>
    </row>
    <row r="5" spans="1:21" x14ac:dyDescent="0.3">
      <c r="A5" s="2" t="s">
        <v>20</v>
      </c>
      <c r="B5" s="2" t="s">
        <v>21</v>
      </c>
      <c r="C5" s="2">
        <v>326838199</v>
      </c>
      <c r="D5" s="2">
        <v>2018</v>
      </c>
      <c r="E5" s="2"/>
      <c r="F5" s="2" t="s">
        <v>287</v>
      </c>
      <c r="G5" s="2">
        <v>5</v>
      </c>
      <c r="H5" s="2"/>
      <c r="I5" s="2">
        <v>20300000</v>
      </c>
      <c r="J5" s="2">
        <v>0.32900000000000001</v>
      </c>
      <c r="K5" s="2"/>
      <c r="L5" s="2"/>
      <c r="M5" s="2">
        <v>67367</v>
      </c>
      <c r="N5" s="2">
        <v>73.8</v>
      </c>
      <c r="O5" s="2"/>
      <c r="P5" s="2"/>
      <c r="Q5" s="2"/>
      <c r="R5" s="2" t="s">
        <v>295</v>
      </c>
      <c r="S5" s="2" t="s">
        <v>296</v>
      </c>
      <c r="T5" s="2" t="s">
        <v>32</v>
      </c>
      <c r="U5" s="2"/>
    </row>
    <row r="6" spans="1:21" x14ac:dyDescent="0.3">
      <c r="A6" s="2" t="s">
        <v>20</v>
      </c>
      <c r="B6" s="2" t="s">
        <v>21</v>
      </c>
      <c r="C6" s="2">
        <v>328329953</v>
      </c>
      <c r="D6" s="2">
        <v>2019</v>
      </c>
      <c r="E6" s="2"/>
      <c r="F6" s="2" t="s">
        <v>287</v>
      </c>
      <c r="G6" s="2">
        <v>5</v>
      </c>
      <c r="H6" s="2"/>
      <c r="I6" s="2">
        <v>20400000</v>
      </c>
      <c r="J6" s="2">
        <v>0.32900000000000001</v>
      </c>
      <c r="K6" s="2"/>
      <c r="L6" s="2"/>
      <c r="M6" s="2">
        <v>70630</v>
      </c>
      <c r="N6" s="2">
        <v>73.8</v>
      </c>
      <c r="O6" s="2"/>
      <c r="P6" s="2"/>
      <c r="Q6" s="2"/>
      <c r="R6" s="2" t="s">
        <v>297</v>
      </c>
      <c r="S6" s="2" t="s">
        <v>298</v>
      </c>
      <c r="T6" s="2" t="s">
        <v>32</v>
      </c>
      <c r="U6" s="2"/>
    </row>
    <row r="7" spans="1:21" x14ac:dyDescent="0.3">
      <c r="A7" s="2" t="s">
        <v>20</v>
      </c>
      <c r="B7" s="2" t="s">
        <v>21</v>
      </c>
      <c r="C7" s="2">
        <v>329484123</v>
      </c>
      <c r="D7" s="2">
        <v>2020</v>
      </c>
      <c r="E7" s="2"/>
      <c r="F7" s="2" t="s">
        <v>299</v>
      </c>
      <c r="G7" s="2">
        <v>6</v>
      </c>
      <c r="H7" s="2"/>
      <c r="I7" s="2">
        <v>19800000</v>
      </c>
      <c r="J7" s="2">
        <v>0.13300000000000001</v>
      </c>
      <c r="K7" s="2"/>
      <c r="L7" s="2"/>
      <c r="M7" s="2">
        <v>385343</v>
      </c>
      <c r="N7" s="2">
        <v>73.8</v>
      </c>
      <c r="O7" s="2"/>
      <c r="P7" s="2"/>
      <c r="Q7" s="2"/>
      <c r="R7" s="2" t="s">
        <v>300</v>
      </c>
      <c r="S7" s="2" t="s">
        <v>301</v>
      </c>
      <c r="T7" s="2" t="s">
        <v>159</v>
      </c>
      <c r="U7" s="2"/>
    </row>
    <row r="8" spans="1:21" x14ac:dyDescent="0.3">
      <c r="A8" s="2" t="s">
        <v>20</v>
      </c>
      <c r="B8" s="2" t="s">
        <v>21</v>
      </c>
      <c r="C8" s="2">
        <v>331893745</v>
      </c>
      <c r="D8" s="2">
        <v>2021</v>
      </c>
      <c r="E8" s="2"/>
      <c r="F8" s="2" t="s">
        <v>299</v>
      </c>
      <c r="G8" s="2">
        <v>6</v>
      </c>
      <c r="H8" s="2"/>
      <c r="I8" s="2">
        <v>33500000</v>
      </c>
      <c r="J8" s="2">
        <v>0.13300000000000001</v>
      </c>
      <c r="K8" s="2"/>
      <c r="L8" s="2"/>
      <c r="M8" s="2">
        <v>461823</v>
      </c>
      <c r="N8" s="2">
        <v>73.8</v>
      </c>
      <c r="O8" s="2"/>
      <c r="P8" s="2"/>
      <c r="Q8" s="2"/>
      <c r="R8" s="2" t="s">
        <v>302</v>
      </c>
      <c r="S8" s="2" t="s">
        <v>303</v>
      </c>
      <c r="T8" s="2" t="s">
        <v>159</v>
      </c>
      <c r="U8" s="2"/>
    </row>
    <row r="9" spans="1:21" x14ac:dyDescent="0.3">
      <c r="A9" s="2" t="s">
        <v>20</v>
      </c>
      <c r="B9" s="2" t="s">
        <v>21</v>
      </c>
      <c r="C9" s="2">
        <v>333271411</v>
      </c>
      <c r="D9" s="2">
        <v>2022</v>
      </c>
      <c r="E9" s="2"/>
      <c r="F9" s="2" t="s">
        <v>304</v>
      </c>
      <c r="G9" s="2">
        <v>6</v>
      </c>
      <c r="H9" s="2"/>
      <c r="I9" s="2">
        <v>24000000</v>
      </c>
      <c r="J9" s="2">
        <v>0.2</v>
      </c>
      <c r="K9" s="2"/>
      <c r="L9" s="2"/>
      <c r="M9" s="2">
        <v>109680</v>
      </c>
      <c r="N9" s="2">
        <v>73.8</v>
      </c>
      <c r="O9" s="2"/>
      <c r="P9" s="2"/>
      <c r="Q9" s="2"/>
      <c r="R9" s="2" t="s">
        <v>305</v>
      </c>
      <c r="S9" s="2" t="s">
        <v>306</v>
      </c>
      <c r="T9" s="2" t="s">
        <v>159</v>
      </c>
      <c r="U9" s="2"/>
    </row>
    <row r="10" spans="1:21" x14ac:dyDescent="0.3">
      <c r="A10" s="2" t="s">
        <v>20</v>
      </c>
      <c r="B10" s="2" t="s">
        <v>21</v>
      </c>
      <c r="C10" s="2">
        <v>334914895</v>
      </c>
      <c r="D10" s="2">
        <v>2023</v>
      </c>
      <c r="E10" s="2"/>
      <c r="F10" s="2" t="s">
        <v>287</v>
      </c>
      <c r="G10" s="2">
        <v>5</v>
      </c>
      <c r="H10" s="2"/>
      <c r="I10" s="2">
        <v>48700000</v>
      </c>
      <c r="J10" s="2">
        <v>0.32900000000000001</v>
      </c>
      <c r="K10" s="2"/>
      <c r="L10" s="2"/>
      <c r="M10" s="2">
        <v>112000</v>
      </c>
      <c r="N10" s="2">
        <v>73.8</v>
      </c>
      <c r="O10" s="2"/>
      <c r="P10" s="2"/>
      <c r="Q10" s="2"/>
      <c r="R10" s="2" t="s">
        <v>307</v>
      </c>
      <c r="S10" s="2" t="s">
        <v>308</v>
      </c>
      <c r="T10" s="2" t="s">
        <v>309</v>
      </c>
      <c r="U10" s="2"/>
    </row>
    <row r="11" spans="1:21" x14ac:dyDescent="0.3">
      <c r="A11" s="2" t="s">
        <v>20</v>
      </c>
      <c r="B11" s="2" t="s">
        <v>21</v>
      </c>
      <c r="C11" s="2">
        <v>336597624</v>
      </c>
      <c r="D11" s="2">
        <v>2024</v>
      </c>
      <c r="E11" s="2"/>
      <c r="F11" s="2" t="s">
        <v>287</v>
      </c>
      <c r="G11" s="2">
        <v>5</v>
      </c>
      <c r="H11" s="2"/>
      <c r="I11" s="2">
        <v>48700000</v>
      </c>
      <c r="J11" s="2">
        <v>0.32900000000000001</v>
      </c>
      <c r="K11" s="2"/>
      <c r="L11" s="2"/>
      <c r="M11" s="2">
        <v>101000</v>
      </c>
      <c r="N11" s="2">
        <v>73.8</v>
      </c>
      <c r="O11" s="2"/>
      <c r="P11" s="2"/>
      <c r="Q11" s="2"/>
      <c r="R11" s="2" t="s">
        <v>310</v>
      </c>
      <c r="S11" s="2" t="s">
        <v>311</v>
      </c>
      <c r="T11" s="2" t="s">
        <v>309</v>
      </c>
      <c r="U11" s="2"/>
    </row>
    <row r="12" spans="1:21" x14ac:dyDescent="0.3">
      <c r="A12" s="2" t="s">
        <v>20</v>
      </c>
      <c r="B12" s="2" t="s">
        <v>21</v>
      </c>
      <c r="C12" s="2">
        <v>338289857</v>
      </c>
      <c r="D12" s="2">
        <v>2025</v>
      </c>
      <c r="E12" s="2"/>
      <c r="F12" s="2" t="s">
        <v>299</v>
      </c>
      <c r="G12" s="2">
        <v>4</v>
      </c>
      <c r="H12" s="2"/>
      <c r="I12" s="2">
        <v>1200</v>
      </c>
      <c r="J12" s="2">
        <v>0.13300000000000001</v>
      </c>
      <c r="K12" s="2"/>
      <c r="L12" s="2"/>
      <c r="M12" s="2">
        <v>3</v>
      </c>
      <c r="N12" s="2">
        <v>73.8</v>
      </c>
      <c r="O12" s="2"/>
      <c r="P12" s="2"/>
      <c r="Q12" s="2"/>
      <c r="R12" s="2" t="s">
        <v>312</v>
      </c>
      <c r="S12" s="2" t="s">
        <v>313</v>
      </c>
      <c r="T12" s="2" t="s">
        <v>314</v>
      </c>
      <c r="U12" s="2"/>
    </row>
    <row r="13" spans="1:21" x14ac:dyDescent="0.3">
      <c r="A13" s="2" t="s">
        <v>86</v>
      </c>
      <c r="B13" s="2" t="s">
        <v>87</v>
      </c>
      <c r="C13" s="2">
        <v>181137448</v>
      </c>
      <c r="D13" s="2">
        <v>2015</v>
      </c>
      <c r="E13" s="2"/>
      <c r="F13" s="2" t="s">
        <v>299</v>
      </c>
      <c r="G13" s="2">
        <v>6</v>
      </c>
      <c r="H13" s="2"/>
      <c r="I13" s="2">
        <v>3500</v>
      </c>
      <c r="J13" s="2">
        <v>0.247</v>
      </c>
      <c r="K13" s="2" t="s">
        <v>315</v>
      </c>
      <c r="L13" s="2"/>
      <c r="M13" s="2">
        <v>120</v>
      </c>
      <c r="N13" s="2">
        <v>73.8</v>
      </c>
      <c r="O13" s="2"/>
      <c r="P13" s="2"/>
      <c r="Q13" s="2"/>
      <c r="R13" s="2" t="s">
        <v>316</v>
      </c>
      <c r="S13" s="2" t="s">
        <v>317</v>
      </c>
      <c r="T13" s="2" t="s">
        <v>318</v>
      </c>
      <c r="U13" s="2"/>
    </row>
    <row r="14" spans="1:21" x14ac:dyDescent="0.3">
      <c r="A14" s="2" t="s">
        <v>86</v>
      </c>
      <c r="B14" s="2" t="s">
        <v>87</v>
      </c>
      <c r="C14" s="2">
        <v>185960289</v>
      </c>
      <c r="D14" s="2">
        <v>2016</v>
      </c>
      <c r="E14" s="2"/>
      <c r="F14" s="2" t="s">
        <v>299</v>
      </c>
      <c r="G14" s="2">
        <v>6</v>
      </c>
      <c r="H14" s="2"/>
      <c r="I14" s="2">
        <v>4200</v>
      </c>
      <c r="J14" s="2">
        <v>0.247</v>
      </c>
      <c r="K14" s="2"/>
      <c r="L14" s="2"/>
      <c r="M14" s="2">
        <v>180</v>
      </c>
      <c r="N14" s="2">
        <v>73.8</v>
      </c>
      <c r="O14" s="2"/>
      <c r="P14" s="2"/>
      <c r="Q14" s="2"/>
      <c r="R14" s="2" t="s">
        <v>319</v>
      </c>
      <c r="S14" s="2" t="s">
        <v>320</v>
      </c>
      <c r="T14" s="2" t="s">
        <v>318</v>
      </c>
      <c r="U14" s="2"/>
    </row>
    <row r="15" spans="1:21" x14ac:dyDescent="0.3">
      <c r="A15" s="2" t="s">
        <v>86</v>
      </c>
      <c r="B15" s="2" t="s">
        <v>87</v>
      </c>
      <c r="C15" s="2">
        <v>190873311</v>
      </c>
      <c r="D15" s="2">
        <v>2017</v>
      </c>
      <c r="E15" s="2"/>
      <c r="F15" s="2" t="s">
        <v>299</v>
      </c>
      <c r="G15" s="2">
        <v>7</v>
      </c>
      <c r="H15" s="2"/>
      <c r="I15" s="2">
        <v>22000</v>
      </c>
      <c r="J15" s="2">
        <v>0.247</v>
      </c>
      <c r="K15" s="2"/>
      <c r="L15" s="2"/>
      <c r="M15" s="2">
        <v>1166</v>
      </c>
      <c r="N15" s="2">
        <v>73.8</v>
      </c>
      <c r="O15" s="2"/>
      <c r="P15" s="2"/>
      <c r="Q15" s="2"/>
      <c r="R15" s="2" t="s">
        <v>321</v>
      </c>
      <c r="S15" s="2" t="s">
        <v>322</v>
      </c>
      <c r="T15" s="2" t="s">
        <v>32</v>
      </c>
      <c r="U15" s="2"/>
    </row>
    <row r="16" spans="1:21" x14ac:dyDescent="0.3">
      <c r="A16" s="2" t="s">
        <v>86</v>
      </c>
      <c r="B16" s="2" t="s">
        <v>87</v>
      </c>
      <c r="C16" s="2">
        <v>195874740</v>
      </c>
      <c r="D16" s="2">
        <v>2018</v>
      </c>
      <c r="E16" s="2"/>
      <c r="F16" s="2" t="s">
        <v>299</v>
      </c>
      <c r="G16" s="2">
        <v>6</v>
      </c>
      <c r="H16" s="2"/>
      <c r="I16" s="2">
        <v>4000</v>
      </c>
      <c r="J16" s="2">
        <v>0.247</v>
      </c>
      <c r="K16" s="2"/>
      <c r="L16" s="2"/>
      <c r="M16" s="2">
        <v>145</v>
      </c>
      <c r="N16" s="2">
        <v>73.8</v>
      </c>
      <c r="O16" s="2"/>
      <c r="P16" s="2"/>
      <c r="Q16" s="2"/>
      <c r="R16" s="2" t="s">
        <v>323</v>
      </c>
      <c r="S16" s="2" t="s">
        <v>324</v>
      </c>
      <c r="T16" s="2"/>
      <c r="U16" s="2"/>
    </row>
    <row r="17" spans="1:21" x14ac:dyDescent="0.3">
      <c r="A17" s="2" t="s">
        <v>86</v>
      </c>
      <c r="B17" s="2" t="s">
        <v>87</v>
      </c>
      <c r="C17" s="2">
        <v>200963599</v>
      </c>
      <c r="D17" s="2">
        <v>2019</v>
      </c>
      <c r="E17" s="2"/>
      <c r="F17" s="2" t="s">
        <v>299</v>
      </c>
      <c r="G17" s="2">
        <v>6</v>
      </c>
      <c r="H17" s="2"/>
      <c r="I17" s="2">
        <v>4731</v>
      </c>
      <c r="J17" s="2">
        <v>0.247</v>
      </c>
      <c r="K17" s="2"/>
      <c r="L17" s="2"/>
      <c r="M17" s="2">
        <v>220</v>
      </c>
      <c r="N17" s="2">
        <v>73.8</v>
      </c>
      <c r="O17" s="2"/>
      <c r="P17" s="2"/>
      <c r="Q17" s="2"/>
      <c r="R17" s="2" t="s">
        <v>325</v>
      </c>
      <c r="S17" s="2" t="s">
        <v>326</v>
      </c>
      <c r="T17" s="2"/>
      <c r="U17" s="2"/>
    </row>
    <row r="18" spans="1:21" x14ac:dyDescent="0.3">
      <c r="A18" s="2" t="s">
        <v>86</v>
      </c>
      <c r="B18" s="2" t="s">
        <v>87</v>
      </c>
      <c r="C18" s="2">
        <v>206139587</v>
      </c>
      <c r="D18" s="2">
        <v>2020</v>
      </c>
      <c r="E18" s="2"/>
      <c r="F18" s="2" t="s">
        <v>299</v>
      </c>
      <c r="G18" s="2">
        <v>7</v>
      </c>
      <c r="H18" s="2"/>
      <c r="I18" s="2">
        <v>65000</v>
      </c>
      <c r="J18" s="2">
        <v>0.13300000000000001</v>
      </c>
      <c r="K18" s="2"/>
      <c r="L18" s="2"/>
      <c r="M18" s="2">
        <v>1200</v>
      </c>
      <c r="N18" s="2">
        <v>73.8</v>
      </c>
      <c r="O18" s="2"/>
      <c r="P18" s="2"/>
      <c r="Q18" s="2"/>
      <c r="R18" s="2" t="s">
        <v>327</v>
      </c>
      <c r="S18" s="2" t="s">
        <v>328</v>
      </c>
      <c r="T18" s="2" t="s">
        <v>159</v>
      </c>
      <c r="U18" s="2"/>
    </row>
    <row r="19" spans="1:21" x14ac:dyDescent="0.3">
      <c r="A19" s="2" t="s">
        <v>86</v>
      </c>
      <c r="B19" s="2" t="s">
        <v>87</v>
      </c>
      <c r="C19" s="2">
        <v>211400708</v>
      </c>
      <c r="D19" s="2">
        <v>2021</v>
      </c>
      <c r="E19" s="2"/>
      <c r="F19" s="2" t="s">
        <v>299</v>
      </c>
      <c r="G19" s="2">
        <v>6</v>
      </c>
      <c r="H19" s="2"/>
      <c r="I19" s="2">
        <v>72000</v>
      </c>
      <c r="J19" s="2">
        <v>0.13300000000000001</v>
      </c>
      <c r="K19" s="2"/>
      <c r="L19" s="2"/>
      <c r="M19" s="2">
        <v>2070</v>
      </c>
      <c r="N19" s="2">
        <v>73.8</v>
      </c>
      <c r="O19" s="2"/>
      <c r="P19" s="2"/>
      <c r="Q19" s="2"/>
      <c r="R19" s="2" t="s">
        <v>329</v>
      </c>
      <c r="S19" s="2" t="s">
        <v>330</v>
      </c>
      <c r="T19" s="2" t="s">
        <v>159</v>
      </c>
      <c r="U19" s="2"/>
    </row>
    <row r="20" spans="1:21" x14ac:dyDescent="0.3">
      <c r="A20" s="2" t="s">
        <v>86</v>
      </c>
      <c r="B20" s="2" t="s">
        <v>87</v>
      </c>
      <c r="C20" s="2">
        <v>216746934</v>
      </c>
      <c r="D20" s="2">
        <v>2022</v>
      </c>
      <c r="E20" s="2"/>
      <c r="F20" s="2" t="s">
        <v>299</v>
      </c>
      <c r="G20" s="2">
        <v>7</v>
      </c>
      <c r="H20" s="2"/>
      <c r="I20" s="2">
        <v>95480</v>
      </c>
      <c r="J20" s="2">
        <v>0.247</v>
      </c>
      <c r="K20" s="2"/>
      <c r="L20" s="2"/>
      <c r="M20" s="2">
        <v>3617</v>
      </c>
      <c r="N20" s="2">
        <v>73.8</v>
      </c>
      <c r="O20" s="2"/>
      <c r="P20" s="2"/>
      <c r="Q20" s="2"/>
      <c r="R20" s="2" t="s">
        <v>331</v>
      </c>
      <c r="S20" s="2" t="s">
        <v>332</v>
      </c>
      <c r="T20" s="2"/>
      <c r="U20" s="2"/>
    </row>
    <row r="21" spans="1:21" x14ac:dyDescent="0.3">
      <c r="A21" s="2" t="s">
        <v>86</v>
      </c>
      <c r="B21" s="2" t="s">
        <v>87</v>
      </c>
      <c r="C21" s="2">
        <v>222179671</v>
      </c>
      <c r="D21" s="2">
        <v>2023</v>
      </c>
      <c r="E21" s="2"/>
      <c r="F21" s="2" t="s">
        <v>299</v>
      </c>
      <c r="G21" s="2">
        <v>7</v>
      </c>
      <c r="H21" s="2"/>
      <c r="I21" s="2">
        <v>116000</v>
      </c>
      <c r="J21" s="2">
        <v>0.247</v>
      </c>
      <c r="K21" s="2"/>
      <c r="L21" s="2"/>
      <c r="M21" s="2">
        <v>4200</v>
      </c>
      <c r="N21" s="2">
        <v>73.8</v>
      </c>
      <c r="O21" s="2"/>
      <c r="P21" s="2"/>
      <c r="Q21" s="2"/>
      <c r="R21" s="2" t="s">
        <v>333</v>
      </c>
      <c r="S21" s="2" t="s">
        <v>334</v>
      </c>
      <c r="T21" s="2"/>
      <c r="U21" s="2"/>
    </row>
    <row r="22" spans="1:21" x14ac:dyDescent="0.3">
      <c r="A22" s="2" t="s">
        <v>86</v>
      </c>
      <c r="B22" s="2" t="s">
        <v>87</v>
      </c>
      <c r="C22" s="2">
        <v>227692786</v>
      </c>
      <c r="D22" s="2">
        <v>2024</v>
      </c>
      <c r="E22" s="2"/>
      <c r="F22" s="2" t="s">
        <v>299</v>
      </c>
      <c r="G22" s="2">
        <v>6</v>
      </c>
      <c r="H22" s="2"/>
      <c r="I22" s="2">
        <v>8000</v>
      </c>
      <c r="J22" s="2">
        <v>0.247</v>
      </c>
      <c r="K22" s="2"/>
      <c r="L22" s="2"/>
      <c r="M22" s="2">
        <v>300</v>
      </c>
      <c r="N22" s="2">
        <v>73.8</v>
      </c>
      <c r="O22" s="2"/>
      <c r="P22" s="2"/>
      <c r="Q22" s="2"/>
      <c r="R22" s="2" t="s">
        <v>335</v>
      </c>
      <c r="S22" s="2" t="s">
        <v>336</v>
      </c>
      <c r="T22" s="2"/>
      <c r="U22" s="2"/>
    </row>
    <row r="23" spans="1:21" x14ac:dyDescent="0.3">
      <c r="A23" s="2" t="s">
        <v>86</v>
      </c>
      <c r="B23" s="2" t="s">
        <v>87</v>
      </c>
      <c r="C23" s="2">
        <v>233476921</v>
      </c>
      <c r="D23" s="2">
        <v>2025</v>
      </c>
      <c r="E23" s="2"/>
      <c r="F23" s="2" t="s">
        <v>299</v>
      </c>
      <c r="G23" s="2">
        <v>5</v>
      </c>
      <c r="H23" s="2"/>
      <c r="I23" s="2">
        <v>4000</v>
      </c>
      <c r="J23" s="2">
        <v>0.247</v>
      </c>
      <c r="K23" s="2"/>
      <c r="L23" s="2"/>
      <c r="M23" s="2">
        <v>150</v>
      </c>
      <c r="N23" s="2">
        <v>73.8</v>
      </c>
      <c r="O23" s="2"/>
      <c r="P23" s="2"/>
      <c r="Q23" s="2"/>
      <c r="R23" s="2" t="s">
        <v>337</v>
      </c>
      <c r="S23" s="2" t="s">
        <v>338</v>
      </c>
      <c r="T23" s="2"/>
      <c r="U23" s="2"/>
    </row>
    <row r="24" spans="1:21" x14ac:dyDescent="0.3">
      <c r="A24" s="2" t="s">
        <v>107</v>
      </c>
      <c r="B24" s="2" t="s">
        <v>87</v>
      </c>
      <c r="C24" s="2">
        <v>11369071</v>
      </c>
      <c r="D24" s="2">
        <v>2015</v>
      </c>
      <c r="E24" s="2"/>
      <c r="F24" s="2" t="s">
        <v>299</v>
      </c>
      <c r="G24" s="2">
        <v>5</v>
      </c>
      <c r="H24" s="2"/>
      <c r="I24" s="2">
        <v>2800000</v>
      </c>
      <c r="J24" s="2">
        <v>0.19</v>
      </c>
      <c r="K24" s="2"/>
      <c r="L24" s="2"/>
      <c r="M24" s="2">
        <v>3000</v>
      </c>
      <c r="N24" s="2">
        <v>73.8</v>
      </c>
      <c r="O24" s="2"/>
      <c r="P24" s="2"/>
      <c r="Q24" s="2"/>
      <c r="R24" s="2" t="s">
        <v>339</v>
      </c>
      <c r="S24" s="2" t="s">
        <v>340</v>
      </c>
      <c r="T24" s="2" t="s">
        <v>32</v>
      </c>
      <c r="U24" s="2"/>
    </row>
    <row r="25" spans="1:21" x14ac:dyDescent="0.3">
      <c r="A25" s="2" t="s">
        <v>107</v>
      </c>
      <c r="B25" s="2" t="s">
        <v>87</v>
      </c>
      <c r="C25" s="2">
        <v>11668818</v>
      </c>
      <c r="D25" s="2">
        <v>2016</v>
      </c>
      <c r="E25" s="2"/>
      <c r="F25" s="2" t="s">
        <v>299</v>
      </c>
      <c r="G25" s="2">
        <v>5</v>
      </c>
      <c r="H25" s="2"/>
      <c r="I25" s="2">
        <v>2600000</v>
      </c>
      <c r="J25" s="2">
        <v>0.19</v>
      </c>
      <c r="K25" s="2"/>
      <c r="L25" s="2"/>
      <c r="M25" s="2">
        <v>2800</v>
      </c>
      <c r="N25" s="2">
        <v>73.8</v>
      </c>
      <c r="O25" s="2"/>
      <c r="P25" s="2"/>
      <c r="Q25" s="2"/>
      <c r="R25" s="2" t="s">
        <v>341</v>
      </c>
      <c r="S25" s="2" t="s">
        <v>340</v>
      </c>
      <c r="T25" s="2"/>
      <c r="U25" s="2"/>
    </row>
    <row r="26" spans="1:21" x14ac:dyDescent="0.3">
      <c r="A26" s="2" t="s">
        <v>107</v>
      </c>
      <c r="B26" s="2" t="s">
        <v>87</v>
      </c>
      <c r="C26" s="2">
        <v>11980937</v>
      </c>
      <c r="D26" s="2">
        <v>2017</v>
      </c>
      <c r="E26" s="2"/>
      <c r="F26" s="2" t="s">
        <v>299</v>
      </c>
      <c r="G26" s="2">
        <v>5</v>
      </c>
      <c r="H26" s="2"/>
      <c r="I26" s="2">
        <v>2700000</v>
      </c>
      <c r="J26" s="2">
        <v>0.19</v>
      </c>
      <c r="K26" s="2"/>
      <c r="L26" s="2"/>
      <c r="M26" s="2">
        <v>2900</v>
      </c>
      <c r="N26" s="2">
        <v>73.8</v>
      </c>
      <c r="O26" s="2"/>
      <c r="P26" s="2"/>
      <c r="Q26" s="2"/>
      <c r="R26" s="2" t="s">
        <v>342</v>
      </c>
      <c r="S26" s="2" t="s">
        <v>343</v>
      </c>
      <c r="T26" s="2" t="s">
        <v>344</v>
      </c>
      <c r="U26" s="2"/>
    </row>
    <row r="27" spans="1:21" x14ac:dyDescent="0.3">
      <c r="A27" s="2" t="s">
        <v>107</v>
      </c>
      <c r="B27" s="2" t="s">
        <v>87</v>
      </c>
      <c r="C27" s="2">
        <v>12301939</v>
      </c>
      <c r="D27" s="2">
        <v>2018</v>
      </c>
      <c r="E27" s="2"/>
      <c r="F27" s="2" t="s">
        <v>299</v>
      </c>
      <c r="G27" s="2">
        <v>5</v>
      </c>
      <c r="H27" s="2"/>
      <c r="I27" s="2">
        <v>2500000</v>
      </c>
      <c r="J27" s="2">
        <v>0.19</v>
      </c>
      <c r="K27" s="2"/>
      <c r="L27" s="2"/>
      <c r="M27" s="2">
        <v>2600</v>
      </c>
      <c r="N27" s="2">
        <v>73.8</v>
      </c>
      <c r="O27" s="2"/>
      <c r="P27" s="2"/>
      <c r="Q27" s="2"/>
      <c r="R27" s="2" t="s">
        <v>345</v>
      </c>
      <c r="S27" s="2" t="s">
        <v>159</v>
      </c>
      <c r="T27" s="2"/>
      <c r="U27" s="2"/>
    </row>
    <row r="28" spans="1:21" x14ac:dyDescent="0.3">
      <c r="A28" s="2" t="s">
        <v>107</v>
      </c>
      <c r="B28" s="2" t="s">
        <v>87</v>
      </c>
      <c r="C28" s="2">
        <v>12626950</v>
      </c>
      <c r="D28" s="2">
        <v>2019</v>
      </c>
      <c r="E28" s="2"/>
      <c r="F28" s="2" t="s">
        <v>299</v>
      </c>
      <c r="G28" s="2">
        <v>5</v>
      </c>
      <c r="H28" s="2"/>
      <c r="I28" s="2">
        <v>2400000</v>
      </c>
      <c r="J28" s="2">
        <v>0.19</v>
      </c>
      <c r="K28" s="2"/>
      <c r="L28" s="2"/>
      <c r="M28" s="2">
        <v>2400</v>
      </c>
      <c r="N28" s="2">
        <v>73.8</v>
      </c>
      <c r="O28" s="2"/>
      <c r="P28" s="2"/>
      <c r="Q28" s="2"/>
      <c r="R28" s="2" t="s">
        <v>346</v>
      </c>
      <c r="S28" s="2" t="s">
        <v>347</v>
      </c>
      <c r="T28" s="2" t="s">
        <v>344</v>
      </c>
      <c r="U28" s="2"/>
    </row>
    <row r="29" spans="1:21" x14ac:dyDescent="0.3">
      <c r="A29" s="2" t="s">
        <v>107</v>
      </c>
      <c r="B29" s="2" t="s">
        <v>87</v>
      </c>
      <c r="C29" s="2">
        <v>12951934</v>
      </c>
      <c r="D29" s="2">
        <v>2020</v>
      </c>
      <c r="E29" s="2"/>
      <c r="F29" s="2" t="s">
        <v>299</v>
      </c>
      <c r="G29" s="2">
        <v>5</v>
      </c>
      <c r="H29" s="2"/>
      <c r="I29" s="2">
        <v>1800000</v>
      </c>
      <c r="J29" s="2">
        <v>0.13300000000000001</v>
      </c>
      <c r="K29" s="2"/>
      <c r="L29" s="2"/>
      <c r="M29" s="2">
        <v>1400</v>
      </c>
      <c r="N29" s="2">
        <v>73.8</v>
      </c>
      <c r="O29" s="2"/>
      <c r="P29" s="2"/>
      <c r="Q29" s="2"/>
      <c r="R29" s="2" t="s">
        <v>348</v>
      </c>
      <c r="S29" s="2" t="s">
        <v>349</v>
      </c>
      <c r="T29" s="2" t="s">
        <v>159</v>
      </c>
      <c r="U29" s="2"/>
    </row>
    <row r="30" spans="1:21" x14ac:dyDescent="0.3">
      <c r="A30" s="2" t="s">
        <v>107</v>
      </c>
      <c r="B30" s="2" t="s">
        <v>87</v>
      </c>
      <c r="C30" s="2">
        <v>13276513</v>
      </c>
      <c r="D30" s="2">
        <v>2021</v>
      </c>
      <c r="E30" s="2"/>
      <c r="F30" s="2" t="s">
        <v>299</v>
      </c>
      <c r="G30" s="2">
        <v>5</v>
      </c>
      <c r="H30" s="2"/>
      <c r="I30" s="2">
        <v>2200000</v>
      </c>
      <c r="J30" s="2">
        <v>0.13300000000000001</v>
      </c>
      <c r="K30" s="2"/>
      <c r="L30" s="2"/>
      <c r="M30" s="2">
        <v>1600</v>
      </c>
      <c r="N30" s="2">
        <v>73.8</v>
      </c>
      <c r="O30" s="2"/>
      <c r="P30" s="2"/>
      <c r="Q30" s="2"/>
      <c r="R30" s="2" t="s">
        <v>350</v>
      </c>
      <c r="S30" s="2" t="s">
        <v>351</v>
      </c>
      <c r="T30" s="2" t="s">
        <v>159</v>
      </c>
      <c r="U30" s="2"/>
    </row>
    <row r="31" spans="1:21" x14ac:dyDescent="0.3">
      <c r="A31" s="2" t="s">
        <v>107</v>
      </c>
      <c r="B31" s="2" t="s">
        <v>87</v>
      </c>
      <c r="C31" s="2">
        <v>13600464</v>
      </c>
      <c r="D31" s="2">
        <v>2022</v>
      </c>
      <c r="E31" s="2"/>
      <c r="F31" s="2" t="s">
        <v>299</v>
      </c>
      <c r="G31" s="2">
        <v>6</v>
      </c>
      <c r="H31" s="2"/>
      <c r="I31" s="2">
        <v>2000000</v>
      </c>
      <c r="J31" s="2">
        <v>0.19</v>
      </c>
      <c r="K31" s="2"/>
      <c r="L31" s="2"/>
      <c r="M31" s="2">
        <v>1900</v>
      </c>
      <c r="N31" s="2">
        <v>73.8</v>
      </c>
      <c r="O31" s="2"/>
      <c r="P31" s="2"/>
      <c r="Q31" s="2"/>
      <c r="R31" s="2" t="s">
        <v>352</v>
      </c>
      <c r="S31" s="2" t="s">
        <v>353</v>
      </c>
      <c r="T31" s="2" t="s">
        <v>344</v>
      </c>
      <c r="U31" s="2"/>
    </row>
    <row r="32" spans="1:21" x14ac:dyDescent="0.3">
      <c r="A32" s="2" t="s">
        <v>107</v>
      </c>
      <c r="B32" s="2" t="s">
        <v>87</v>
      </c>
      <c r="C32" s="2">
        <v>13924098</v>
      </c>
      <c r="D32" s="2">
        <v>2023</v>
      </c>
      <c r="E32" s="2"/>
      <c r="F32" s="2" t="s">
        <v>299</v>
      </c>
      <c r="G32" s="2">
        <v>5</v>
      </c>
      <c r="H32" s="2"/>
      <c r="I32" s="2">
        <v>2300000</v>
      </c>
      <c r="J32" s="2">
        <v>0.19</v>
      </c>
      <c r="K32" s="2"/>
      <c r="L32" s="2"/>
      <c r="M32" s="2">
        <v>2100</v>
      </c>
      <c r="N32" s="2">
        <v>73.8</v>
      </c>
      <c r="O32" s="2"/>
      <c r="P32" s="2"/>
      <c r="Q32" s="2"/>
      <c r="R32" s="2" t="s">
        <v>354</v>
      </c>
      <c r="S32" s="2" t="s">
        <v>355</v>
      </c>
      <c r="T32" s="2"/>
      <c r="U32" s="2"/>
    </row>
    <row r="33" spans="1:21" x14ac:dyDescent="0.3">
      <c r="A33" s="2" t="s">
        <v>107</v>
      </c>
      <c r="B33" s="2" t="s">
        <v>87</v>
      </c>
      <c r="C33" s="2">
        <v>14256567</v>
      </c>
      <c r="D33" s="2">
        <v>2024</v>
      </c>
      <c r="E33" s="2"/>
      <c r="F33" s="2" t="s">
        <v>299</v>
      </c>
      <c r="G33" s="2">
        <v>6</v>
      </c>
      <c r="H33" s="2"/>
      <c r="I33" s="2">
        <v>2400000</v>
      </c>
      <c r="J33" s="2">
        <v>0.19</v>
      </c>
      <c r="K33" s="2"/>
      <c r="L33" s="2"/>
      <c r="M33" s="2">
        <v>2200</v>
      </c>
      <c r="N33" s="2">
        <v>73.8</v>
      </c>
      <c r="O33" s="2"/>
      <c r="P33" s="2"/>
      <c r="Q33" s="2"/>
      <c r="R33" s="2" t="s">
        <v>356</v>
      </c>
      <c r="S33" s="2" t="s">
        <v>357</v>
      </c>
      <c r="T33" s="2" t="s">
        <v>344</v>
      </c>
      <c r="U33" s="2"/>
    </row>
    <row r="34" spans="1:21" x14ac:dyDescent="0.3">
      <c r="A34" s="2" t="s">
        <v>107</v>
      </c>
      <c r="B34" s="2" t="s">
        <v>87</v>
      </c>
      <c r="C34" s="2">
        <v>14576628</v>
      </c>
      <c r="D34" s="2">
        <v>2025</v>
      </c>
      <c r="E34" s="2"/>
      <c r="F34" s="2" t="s">
        <v>299</v>
      </c>
      <c r="G34" s="2">
        <v>5</v>
      </c>
      <c r="H34" s="2"/>
      <c r="I34" s="2">
        <v>2200000</v>
      </c>
      <c r="J34" s="2">
        <v>0.19</v>
      </c>
      <c r="K34" s="2"/>
      <c r="L34" s="2"/>
      <c r="M34" s="2">
        <v>2000</v>
      </c>
      <c r="N34" s="2">
        <v>73.8</v>
      </c>
      <c r="O34" s="2"/>
      <c r="P34" s="2"/>
      <c r="Q34" s="2"/>
      <c r="R34" s="2" t="s">
        <v>358</v>
      </c>
      <c r="S34" s="2" t="s">
        <v>359</v>
      </c>
      <c r="T34" s="2"/>
      <c r="U34" s="2"/>
    </row>
    <row r="35" spans="1:21" x14ac:dyDescent="0.3">
      <c r="A35" s="2" t="s">
        <v>119</v>
      </c>
      <c r="B35" s="2" t="s">
        <v>87</v>
      </c>
      <c r="C35" s="2">
        <v>54490406</v>
      </c>
      <c r="D35" s="2">
        <v>2015</v>
      </c>
      <c r="E35" s="2"/>
      <c r="F35" s="2" t="s">
        <v>360</v>
      </c>
      <c r="G35" s="2">
        <v>6</v>
      </c>
      <c r="H35" s="2"/>
      <c r="I35" s="2">
        <v>7100000</v>
      </c>
      <c r="J35" s="2">
        <v>0.33</v>
      </c>
      <c r="K35" s="2"/>
      <c r="L35" s="2"/>
      <c r="M35" s="2">
        <v>180000</v>
      </c>
      <c r="N35" s="2">
        <v>73.8</v>
      </c>
      <c r="O35" s="2"/>
      <c r="P35" s="2"/>
      <c r="Q35" s="2"/>
      <c r="R35" s="2" t="s">
        <v>361</v>
      </c>
      <c r="S35" s="2" t="s">
        <v>362</v>
      </c>
      <c r="T35" s="2" t="s">
        <v>32</v>
      </c>
      <c r="U35" s="2"/>
    </row>
    <row r="36" spans="1:21" x14ac:dyDescent="0.3">
      <c r="A36" s="2" t="s">
        <v>119</v>
      </c>
      <c r="B36" s="2" t="s">
        <v>87</v>
      </c>
      <c r="C36" s="2">
        <v>55291225</v>
      </c>
      <c r="D36" s="2">
        <v>2016</v>
      </c>
      <c r="E36" s="2"/>
      <c r="F36" s="2" t="s">
        <v>360</v>
      </c>
      <c r="G36" s="2">
        <v>6</v>
      </c>
      <c r="H36" s="2"/>
      <c r="I36" s="2">
        <v>7200000</v>
      </c>
      <c r="J36" s="2">
        <v>0.33</v>
      </c>
      <c r="K36" s="2"/>
      <c r="L36" s="2"/>
      <c r="M36" s="2">
        <v>175000</v>
      </c>
      <c r="N36" s="2">
        <v>73.8</v>
      </c>
      <c r="O36" s="2"/>
      <c r="P36" s="2"/>
      <c r="Q36" s="2"/>
      <c r="R36" s="2" t="s">
        <v>363</v>
      </c>
      <c r="S36" s="2" t="s">
        <v>364</v>
      </c>
      <c r="T36" s="2" t="s">
        <v>32</v>
      </c>
      <c r="U36" s="2"/>
    </row>
    <row r="37" spans="1:21" x14ac:dyDescent="0.3">
      <c r="A37" s="2" t="s">
        <v>119</v>
      </c>
      <c r="B37" s="2" t="s">
        <v>87</v>
      </c>
      <c r="C37" s="2">
        <v>56015738</v>
      </c>
      <c r="D37" s="2">
        <v>2017</v>
      </c>
      <c r="E37" s="2"/>
      <c r="F37" s="2" t="s">
        <v>360</v>
      </c>
      <c r="G37" s="2">
        <v>6</v>
      </c>
      <c r="H37" s="2"/>
      <c r="I37" s="2">
        <v>7300000</v>
      </c>
      <c r="J37" s="2">
        <v>0.33</v>
      </c>
      <c r="K37" s="2"/>
      <c r="L37" s="2"/>
      <c r="M37" s="2">
        <v>168000</v>
      </c>
      <c r="N37" s="2">
        <v>73.8</v>
      </c>
      <c r="O37" s="2"/>
      <c r="P37" s="2"/>
      <c r="Q37" s="2"/>
      <c r="R37" s="2" t="s">
        <v>365</v>
      </c>
      <c r="S37" s="2" t="s">
        <v>366</v>
      </c>
      <c r="T37" s="2" t="s">
        <v>32</v>
      </c>
      <c r="U37" s="2"/>
    </row>
    <row r="38" spans="1:21" x14ac:dyDescent="0.3">
      <c r="A38" s="2" t="s">
        <v>119</v>
      </c>
      <c r="B38" s="2" t="s">
        <v>87</v>
      </c>
      <c r="C38" s="2">
        <v>56717156</v>
      </c>
      <c r="D38" s="2">
        <v>2018</v>
      </c>
      <c r="E38" s="2"/>
      <c r="F38" s="2" t="s">
        <v>360</v>
      </c>
      <c r="G38" s="2">
        <v>6</v>
      </c>
      <c r="H38" s="2"/>
      <c r="I38" s="2">
        <v>7500000</v>
      </c>
      <c r="J38" s="2">
        <v>0.33</v>
      </c>
      <c r="K38" s="2"/>
      <c r="L38" s="2"/>
      <c r="M38" s="2">
        <v>162000</v>
      </c>
      <c r="N38" s="2">
        <v>73.8</v>
      </c>
      <c r="O38" s="2"/>
      <c r="P38" s="2"/>
      <c r="Q38" s="2"/>
      <c r="R38" s="2" t="s">
        <v>367</v>
      </c>
      <c r="S38" s="2" t="s">
        <v>368</v>
      </c>
      <c r="T38" s="2" t="s">
        <v>32</v>
      </c>
      <c r="U38" s="2"/>
    </row>
    <row r="39" spans="1:21" x14ac:dyDescent="0.3">
      <c r="A39" s="2" t="s">
        <v>119</v>
      </c>
      <c r="B39" s="2" t="s">
        <v>87</v>
      </c>
      <c r="C39" s="2">
        <v>57779622</v>
      </c>
      <c r="D39" s="2">
        <v>2019</v>
      </c>
      <c r="E39" s="2"/>
      <c r="F39" s="2" t="s">
        <v>360</v>
      </c>
      <c r="G39" s="2">
        <v>6</v>
      </c>
      <c r="H39" s="2"/>
      <c r="I39" s="2">
        <v>7700000</v>
      </c>
      <c r="J39" s="2">
        <v>0.33</v>
      </c>
      <c r="K39" s="2"/>
      <c r="L39" s="2"/>
      <c r="M39" s="2">
        <v>158000</v>
      </c>
      <c r="N39" s="2">
        <v>73.8</v>
      </c>
      <c r="O39" s="2"/>
      <c r="P39" s="2"/>
      <c r="Q39" s="2"/>
      <c r="R39" s="2" t="s">
        <v>369</v>
      </c>
      <c r="S39" s="2" t="s">
        <v>370</v>
      </c>
      <c r="T39" s="2" t="s">
        <v>32</v>
      </c>
      <c r="U39" s="2"/>
    </row>
    <row r="40" spans="1:21" x14ac:dyDescent="0.3">
      <c r="A40" s="2" t="s">
        <v>119</v>
      </c>
      <c r="B40" s="2" t="s">
        <v>87</v>
      </c>
      <c r="C40" s="2">
        <v>58801927</v>
      </c>
      <c r="D40" s="2">
        <v>2020</v>
      </c>
      <c r="E40" s="2"/>
      <c r="F40" s="2" t="s">
        <v>299</v>
      </c>
      <c r="G40" s="2">
        <v>7</v>
      </c>
      <c r="H40" s="2"/>
      <c r="I40" s="2">
        <v>7900000</v>
      </c>
      <c r="J40" s="2">
        <v>0.33</v>
      </c>
      <c r="K40" s="2"/>
      <c r="L40" s="2"/>
      <c r="M40" s="2">
        <v>214000</v>
      </c>
      <c r="N40" s="2">
        <v>73.8</v>
      </c>
      <c r="O40" s="2"/>
      <c r="P40" s="2"/>
      <c r="Q40" s="2"/>
      <c r="R40" s="2" t="s">
        <v>371</v>
      </c>
      <c r="S40" s="2" t="s">
        <v>372</v>
      </c>
      <c r="T40" s="2" t="s">
        <v>373</v>
      </c>
      <c r="U40" s="2"/>
    </row>
    <row r="41" spans="1:21" x14ac:dyDescent="0.3">
      <c r="A41" s="2" t="s">
        <v>119</v>
      </c>
      <c r="B41" s="2" t="s">
        <v>87</v>
      </c>
      <c r="C41" s="2">
        <v>59392255</v>
      </c>
      <c r="D41" s="2">
        <v>2021</v>
      </c>
      <c r="E41" s="2"/>
      <c r="F41" s="2" t="s">
        <v>299</v>
      </c>
      <c r="G41" s="2">
        <v>7</v>
      </c>
      <c r="H41" s="2"/>
      <c r="I41" s="2">
        <v>8000000</v>
      </c>
      <c r="J41" s="2">
        <v>0.33</v>
      </c>
      <c r="K41" s="2"/>
      <c r="L41" s="2"/>
      <c r="M41" s="2">
        <v>289920</v>
      </c>
      <c r="N41" s="2">
        <v>73.8</v>
      </c>
      <c r="O41" s="2"/>
      <c r="P41" s="2"/>
      <c r="Q41" s="2"/>
      <c r="R41" s="2" t="s">
        <v>374</v>
      </c>
      <c r="S41" s="2" t="s">
        <v>375</v>
      </c>
      <c r="T41" s="2" t="s">
        <v>159</v>
      </c>
      <c r="U41" s="2"/>
    </row>
    <row r="42" spans="1:21" x14ac:dyDescent="0.3">
      <c r="A42" s="2" t="s">
        <v>119</v>
      </c>
      <c r="B42" s="2" t="s">
        <v>87</v>
      </c>
      <c r="C42" s="2">
        <v>59893885</v>
      </c>
      <c r="D42" s="2">
        <v>2022</v>
      </c>
      <c r="E42" s="2"/>
      <c r="F42" s="2" t="s">
        <v>299</v>
      </c>
      <c r="G42" s="2">
        <v>7</v>
      </c>
      <c r="H42" s="2"/>
      <c r="I42" s="2">
        <v>8100000</v>
      </c>
      <c r="J42" s="2">
        <v>0.33</v>
      </c>
      <c r="K42" s="2"/>
      <c r="L42" s="2"/>
      <c r="M42" s="2">
        <v>301000</v>
      </c>
      <c r="N42" s="2">
        <v>73.8</v>
      </c>
      <c r="O42" s="2"/>
      <c r="P42" s="2"/>
      <c r="Q42" s="2"/>
      <c r="R42" s="2" t="s">
        <v>376</v>
      </c>
      <c r="S42" s="2" t="s">
        <v>377</v>
      </c>
      <c r="T42" s="2" t="s">
        <v>159</v>
      </c>
      <c r="U42" s="2"/>
    </row>
    <row r="43" spans="1:21" x14ac:dyDescent="0.3">
      <c r="A43" s="2" t="s">
        <v>119</v>
      </c>
      <c r="B43" s="2" t="s">
        <v>87</v>
      </c>
      <c r="C43" s="2">
        <v>60414495</v>
      </c>
      <c r="D43" s="2">
        <v>2023</v>
      </c>
      <c r="E43" s="2"/>
      <c r="F43" s="2" t="s">
        <v>360</v>
      </c>
      <c r="G43" s="2">
        <v>6</v>
      </c>
      <c r="H43" s="2"/>
      <c r="I43" s="2">
        <v>7800000</v>
      </c>
      <c r="J43" s="2">
        <v>0.33</v>
      </c>
      <c r="K43" s="2"/>
      <c r="L43" s="2"/>
      <c r="M43" s="2">
        <v>155000</v>
      </c>
      <c r="N43" s="2">
        <v>73.8</v>
      </c>
      <c r="O43" s="2"/>
      <c r="P43" s="2"/>
      <c r="Q43" s="2"/>
      <c r="R43" s="2" t="s">
        <v>378</v>
      </c>
      <c r="S43" s="2" t="s">
        <v>379</v>
      </c>
      <c r="T43" s="2" t="s">
        <v>32</v>
      </c>
      <c r="U43" s="2"/>
    </row>
    <row r="44" spans="1:21" x14ac:dyDescent="0.3">
      <c r="A44" s="2" t="s">
        <v>119</v>
      </c>
      <c r="B44" s="2" t="s">
        <v>87</v>
      </c>
      <c r="C44" s="2">
        <v>60954910</v>
      </c>
      <c r="D44" s="2">
        <v>2024</v>
      </c>
      <c r="E44" s="2"/>
      <c r="F44" s="2" t="s">
        <v>360</v>
      </c>
      <c r="G44" s="2">
        <v>6</v>
      </c>
      <c r="H44" s="2"/>
      <c r="I44" s="2">
        <v>7900000</v>
      </c>
      <c r="J44" s="2">
        <v>0.33</v>
      </c>
      <c r="K44" s="2"/>
      <c r="L44" s="2"/>
      <c r="M44" s="2">
        <v>152000</v>
      </c>
      <c r="N44" s="2">
        <v>73.8</v>
      </c>
      <c r="O44" s="2"/>
      <c r="P44" s="2"/>
      <c r="Q44" s="2"/>
      <c r="R44" s="2" t="s">
        <v>380</v>
      </c>
      <c r="S44" s="2" t="s">
        <v>381</v>
      </c>
      <c r="T44" s="2"/>
      <c r="U44" s="2"/>
    </row>
    <row r="45" spans="1:21" x14ac:dyDescent="0.3">
      <c r="A45" s="2" t="s">
        <v>119</v>
      </c>
      <c r="B45" s="2" t="s">
        <v>87</v>
      </c>
      <c r="C45" s="2">
        <v>61511064</v>
      </c>
      <c r="D45" s="2">
        <v>2025</v>
      </c>
      <c r="E45" s="2"/>
      <c r="F45" s="2" t="s">
        <v>360</v>
      </c>
      <c r="G45" s="2">
        <v>6</v>
      </c>
      <c r="H45" s="2"/>
      <c r="I45" s="2">
        <v>8000000</v>
      </c>
      <c r="J45" s="2">
        <v>0.33</v>
      </c>
      <c r="K45" s="2"/>
      <c r="L45" s="2"/>
      <c r="M45" s="2">
        <v>150000</v>
      </c>
      <c r="N45" s="2">
        <v>73.8</v>
      </c>
      <c r="O45" s="2"/>
      <c r="P45" s="2"/>
      <c r="Q45" s="2"/>
      <c r="R45" s="2" t="s">
        <v>382</v>
      </c>
      <c r="S45" s="2" t="s">
        <v>383</v>
      </c>
      <c r="T45" s="2"/>
      <c r="U45" s="2"/>
    </row>
    <row r="46" spans="1:21" x14ac:dyDescent="0.3">
      <c r="A46" s="2" t="s">
        <v>128</v>
      </c>
      <c r="B46" s="2" t="s">
        <v>129</v>
      </c>
      <c r="C46" s="2">
        <v>79109272</v>
      </c>
      <c r="D46" s="2">
        <v>2015</v>
      </c>
      <c r="E46" s="2"/>
      <c r="F46" s="2" t="s">
        <v>384</v>
      </c>
      <c r="G46" s="2">
        <v>4</v>
      </c>
      <c r="H46" s="2"/>
      <c r="I46" s="2">
        <v>2800000</v>
      </c>
      <c r="J46" s="2">
        <v>0.193</v>
      </c>
      <c r="K46" s="2"/>
      <c r="L46" s="2"/>
      <c r="M46" s="2">
        <v>75000</v>
      </c>
      <c r="N46" s="2">
        <v>73.8</v>
      </c>
      <c r="O46" s="2"/>
      <c r="P46" s="2"/>
      <c r="Q46" s="2"/>
      <c r="R46" s="2" t="s">
        <v>385</v>
      </c>
      <c r="S46" s="2" t="s">
        <v>386</v>
      </c>
      <c r="T46" s="2" t="s">
        <v>32</v>
      </c>
      <c r="U46" s="2"/>
    </row>
    <row r="47" spans="1:21" x14ac:dyDescent="0.3">
      <c r="A47" s="2" t="s">
        <v>128</v>
      </c>
      <c r="B47" s="2" t="s">
        <v>129</v>
      </c>
      <c r="C47" s="2">
        <v>80277428</v>
      </c>
      <c r="D47" s="2">
        <v>2016</v>
      </c>
      <c r="E47" s="2"/>
      <c r="F47" s="2" t="s">
        <v>384</v>
      </c>
      <c r="G47" s="2">
        <v>4</v>
      </c>
      <c r="H47" s="2"/>
      <c r="I47" s="2">
        <v>2900000</v>
      </c>
      <c r="J47" s="2">
        <v>0.193</v>
      </c>
      <c r="K47" s="2"/>
      <c r="L47" s="2"/>
      <c r="M47" s="2">
        <v>77000</v>
      </c>
      <c r="N47" s="2">
        <v>73.8</v>
      </c>
      <c r="O47" s="2"/>
      <c r="P47" s="2"/>
      <c r="Q47" s="2"/>
      <c r="R47" s="2" t="s">
        <v>387</v>
      </c>
      <c r="S47" s="2" t="s">
        <v>159</v>
      </c>
      <c r="T47" s="2" t="s">
        <v>32</v>
      </c>
      <c r="U47" s="2"/>
    </row>
    <row r="48" spans="1:21" x14ac:dyDescent="0.3">
      <c r="A48" s="2" t="s">
        <v>128</v>
      </c>
      <c r="B48" s="2" t="s">
        <v>129</v>
      </c>
      <c r="C48" s="2">
        <v>81162788</v>
      </c>
      <c r="D48" s="2">
        <v>2017</v>
      </c>
      <c r="E48" s="2"/>
      <c r="F48" s="2" t="s">
        <v>384</v>
      </c>
      <c r="G48" s="2">
        <v>4</v>
      </c>
      <c r="H48" s="2"/>
      <c r="I48" s="2">
        <v>2900000</v>
      </c>
      <c r="J48" s="2">
        <v>0.193</v>
      </c>
      <c r="K48" s="2"/>
      <c r="L48" s="2"/>
      <c r="M48" s="2">
        <v>77000</v>
      </c>
      <c r="N48" s="2">
        <v>73.8</v>
      </c>
      <c r="O48" s="2"/>
      <c r="P48" s="2"/>
      <c r="Q48" s="2"/>
      <c r="R48" s="2" t="s">
        <v>388</v>
      </c>
      <c r="S48" s="2" t="s">
        <v>159</v>
      </c>
      <c r="T48" s="2" t="s">
        <v>32</v>
      </c>
      <c r="U48" s="2"/>
    </row>
    <row r="49" spans="1:21" x14ac:dyDescent="0.3">
      <c r="A49" s="2" t="s">
        <v>128</v>
      </c>
      <c r="B49" s="2" t="s">
        <v>129</v>
      </c>
      <c r="C49" s="2">
        <v>82011735</v>
      </c>
      <c r="D49" s="2">
        <v>2018</v>
      </c>
      <c r="E49" s="2"/>
      <c r="F49" s="2" t="s">
        <v>384</v>
      </c>
      <c r="G49" s="2">
        <v>4</v>
      </c>
      <c r="H49" s="2"/>
      <c r="I49" s="2">
        <v>3000000</v>
      </c>
      <c r="J49" s="2">
        <v>0.193</v>
      </c>
      <c r="K49" s="2"/>
      <c r="L49" s="2"/>
      <c r="M49" s="2">
        <v>78000</v>
      </c>
      <c r="N49" s="2">
        <v>73.8</v>
      </c>
      <c r="O49" s="2"/>
      <c r="P49" s="2"/>
      <c r="Q49" s="2"/>
      <c r="R49" s="2" t="s">
        <v>389</v>
      </c>
      <c r="S49" s="2" t="s">
        <v>159</v>
      </c>
      <c r="T49" s="2" t="s">
        <v>32</v>
      </c>
      <c r="U49" s="2"/>
    </row>
    <row r="50" spans="1:21" x14ac:dyDescent="0.3">
      <c r="A50" s="2" t="s">
        <v>128</v>
      </c>
      <c r="B50" s="2" t="s">
        <v>129</v>
      </c>
      <c r="C50" s="2">
        <v>82913906</v>
      </c>
      <c r="D50" s="2">
        <v>2019</v>
      </c>
      <c r="E50" s="2"/>
      <c r="F50" s="2" t="s">
        <v>384</v>
      </c>
      <c r="G50" s="2">
        <v>4</v>
      </c>
      <c r="H50" s="2"/>
      <c r="I50" s="2">
        <v>3000000</v>
      </c>
      <c r="J50" s="2">
        <v>0.193</v>
      </c>
      <c r="K50" s="2"/>
      <c r="L50" s="2"/>
      <c r="M50" s="2">
        <v>79000</v>
      </c>
      <c r="N50" s="2">
        <v>73.8</v>
      </c>
      <c r="O50" s="2"/>
      <c r="P50" s="2"/>
      <c r="Q50" s="2"/>
      <c r="R50" s="2" t="s">
        <v>390</v>
      </c>
      <c r="S50" s="2" t="s">
        <v>391</v>
      </c>
      <c r="T50" s="2" t="s">
        <v>32</v>
      </c>
      <c r="U50" s="2"/>
    </row>
    <row r="51" spans="1:21" x14ac:dyDescent="0.3">
      <c r="A51" s="2" t="s">
        <v>128</v>
      </c>
      <c r="B51" s="2" t="s">
        <v>129</v>
      </c>
      <c r="C51" s="2">
        <v>83992949</v>
      </c>
      <c r="D51" s="2">
        <v>2020</v>
      </c>
      <c r="E51" s="2"/>
      <c r="F51" s="2" t="s">
        <v>299</v>
      </c>
      <c r="G51" s="2">
        <v>7</v>
      </c>
      <c r="H51" s="2"/>
      <c r="I51" s="2">
        <v>2400000</v>
      </c>
      <c r="J51" s="2">
        <v>0.13300000000000001</v>
      </c>
      <c r="K51" s="2"/>
      <c r="L51" s="2"/>
      <c r="M51" s="2">
        <v>55095</v>
      </c>
      <c r="N51" s="2">
        <v>73.8</v>
      </c>
      <c r="O51" s="2"/>
      <c r="P51" s="2"/>
      <c r="Q51" s="2"/>
      <c r="R51" s="2" t="s">
        <v>392</v>
      </c>
      <c r="S51" s="2" t="s">
        <v>393</v>
      </c>
      <c r="T51" s="2" t="s">
        <v>394</v>
      </c>
      <c r="U51" s="2"/>
    </row>
    <row r="52" spans="1:21" x14ac:dyDescent="0.3">
      <c r="A52" s="2" t="s">
        <v>128</v>
      </c>
      <c r="B52" s="2" t="s">
        <v>129</v>
      </c>
      <c r="C52" s="2">
        <v>85028759</v>
      </c>
      <c r="D52" s="2">
        <v>2021</v>
      </c>
      <c r="E52" s="2"/>
      <c r="F52" s="2" t="s">
        <v>299</v>
      </c>
      <c r="G52" s="2">
        <v>7</v>
      </c>
      <c r="H52" s="2"/>
      <c r="I52" s="2">
        <v>4500000</v>
      </c>
      <c r="J52" s="2">
        <v>0.13300000000000001</v>
      </c>
      <c r="K52" s="2"/>
      <c r="L52" s="2"/>
      <c r="M52" s="2">
        <v>127000</v>
      </c>
      <c r="N52" s="2">
        <v>73.8</v>
      </c>
      <c r="O52" s="2"/>
      <c r="P52" s="2"/>
      <c r="Q52" s="2"/>
      <c r="R52" s="2" t="s">
        <v>395</v>
      </c>
      <c r="S52" s="2" t="s">
        <v>393</v>
      </c>
      <c r="T52" s="2"/>
      <c r="U52" s="2"/>
    </row>
    <row r="53" spans="1:21" x14ac:dyDescent="0.3">
      <c r="A53" s="2" t="s">
        <v>128</v>
      </c>
      <c r="B53" s="2" t="s">
        <v>129</v>
      </c>
      <c r="C53" s="2">
        <v>86758304</v>
      </c>
      <c r="D53" s="2">
        <v>2022</v>
      </c>
      <c r="E53" s="2"/>
      <c r="F53" s="2" t="s">
        <v>299</v>
      </c>
      <c r="G53" s="2">
        <v>6</v>
      </c>
      <c r="H53" s="2"/>
      <c r="I53" s="2">
        <v>3800000</v>
      </c>
      <c r="J53" s="2">
        <v>0.13300000000000001</v>
      </c>
      <c r="K53" s="2"/>
      <c r="L53" s="2"/>
      <c r="M53" s="2">
        <v>145000</v>
      </c>
      <c r="N53" s="2">
        <v>73.8</v>
      </c>
      <c r="O53" s="2"/>
      <c r="P53" s="2"/>
      <c r="Q53" s="2"/>
      <c r="R53" s="2" t="s">
        <v>396</v>
      </c>
      <c r="S53" s="2" t="s">
        <v>159</v>
      </c>
      <c r="T53" s="2"/>
      <c r="U53" s="2"/>
    </row>
    <row r="54" spans="1:21" x14ac:dyDescent="0.3">
      <c r="A54" s="2" t="s">
        <v>128</v>
      </c>
      <c r="B54" s="2" t="s">
        <v>129</v>
      </c>
      <c r="C54" s="2">
        <v>87923432</v>
      </c>
      <c r="D54" s="2">
        <v>2023</v>
      </c>
      <c r="E54" s="2"/>
      <c r="F54" s="2" t="s">
        <v>384</v>
      </c>
      <c r="G54" s="2">
        <v>5</v>
      </c>
      <c r="H54" s="2"/>
      <c r="I54" s="2">
        <v>3100000</v>
      </c>
      <c r="J54" s="2">
        <v>0.193</v>
      </c>
      <c r="K54" s="2"/>
      <c r="L54" s="2"/>
      <c r="M54" s="2">
        <v>80000</v>
      </c>
      <c r="N54" s="2">
        <v>73.8</v>
      </c>
      <c r="O54" s="2"/>
      <c r="P54" s="2"/>
      <c r="Q54" s="2"/>
      <c r="R54" s="2" t="s">
        <v>397</v>
      </c>
      <c r="S54" s="2" t="s">
        <v>398</v>
      </c>
      <c r="T54" s="2" t="s">
        <v>399</v>
      </c>
      <c r="U54" s="2"/>
    </row>
    <row r="55" spans="1:21" x14ac:dyDescent="0.3">
      <c r="A55" s="2" t="s">
        <v>128</v>
      </c>
      <c r="B55" s="2" t="s">
        <v>129</v>
      </c>
      <c r="C55" s="2">
        <v>89172767</v>
      </c>
      <c r="D55" s="2">
        <v>2024</v>
      </c>
      <c r="E55" s="2"/>
      <c r="F55" s="2" t="s">
        <v>384</v>
      </c>
      <c r="G55" s="2">
        <v>5</v>
      </c>
      <c r="H55" s="2"/>
      <c r="I55" s="2">
        <v>3200000</v>
      </c>
      <c r="J55" s="2">
        <v>0.193</v>
      </c>
      <c r="K55" s="2"/>
      <c r="L55" s="2"/>
      <c r="M55" s="2">
        <v>80000</v>
      </c>
      <c r="N55" s="2">
        <v>73.8</v>
      </c>
      <c r="O55" s="2"/>
      <c r="P55" s="2"/>
      <c r="Q55" s="2"/>
      <c r="R55" s="2" t="s">
        <v>400</v>
      </c>
      <c r="S55" s="2" t="s">
        <v>159</v>
      </c>
      <c r="T55" s="2" t="s">
        <v>32</v>
      </c>
      <c r="U55" s="2"/>
    </row>
    <row r="56" spans="1:21" x14ac:dyDescent="0.3">
      <c r="A56" s="2" t="s">
        <v>128</v>
      </c>
      <c r="B56" s="2" t="s">
        <v>129</v>
      </c>
      <c r="C56" s="2">
        <v>90486988</v>
      </c>
      <c r="D56" s="2">
        <v>2025</v>
      </c>
      <c r="E56" s="2"/>
      <c r="F56" s="2" t="s">
        <v>384</v>
      </c>
      <c r="G56" s="2">
        <v>5</v>
      </c>
      <c r="H56" s="2"/>
      <c r="I56" s="2">
        <v>3300000</v>
      </c>
      <c r="J56" s="2">
        <v>0.193</v>
      </c>
      <c r="K56" s="2"/>
      <c r="L56" s="2"/>
      <c r="M56" s="2">
        <v>81000</v>
      </c>
      <c r="N56" s="2">
        <v>73.8</v>
      </c>
      <c r="O56" s="2"/>
      <c r="P56" s="2"/>
      <c r="Q56" s="2"/>
      <c r="R56" s="2" t="s">
        <v>401</v>
      </c>
      <c r="S56" s="2" t="s">
        <v>159</v>
      </c>
      <c r="T56" s="2"/>
      <c r="U56" s="2"/>
    </row>
    <row r="57" spans="1:21" x14ac:dyDescent="0.3">
      <c r="A57" t="s">
        <v>147</v>
      </c>
      <c r="B57" t="s">
        <v>148</v>
      </c>
      <c r="C57">
        <v>205906428</v>
      </c>
      <c r="D57">
        <v>2015</v>
      </c>
      <c r="F57" t="s">
        <v>299</v>
      </c>
      <c r="G57">
        <v>6</v>
      </c>
      <c r="I57">
        <v>1500000</v>
      </c>
      <c r="J57">
        <v>0.13300000000000001</v>
      </c>
      <c r="M57">
        <v>1800</v>
      </c>
      <c r="N57">
        <v>73.8</v>
      </c>
      <c r="R57" t="s">
        <v>402</v>
      </c>
      <c r="S57" t="s">
        <v>403</v>
      </c>
      <c r="T57" t="s">
        <v>159</v>
      </c>
    </row>
    <row r="58" spans="1:21" x14ac:dyDescent="0.3">
      <c r="A58" t="s">
        <v>147</v>
      </c>
      <c r="B58" t="s">
        <v>148</v>
      </c>
      <c r="C58">
        <v>207141867</v>
      </c>
      <c r="D58">
        <v>2016</v>
      </c>
      <c r="F58" t="s">
        <v>299</v>
      </c>
      <c r="G58">
        <v>6</v>
      </c>
      <c r="I58">
        <v>1800000</v>
      </c>
      <c r="J58">
        <v>0.13300000000000001</v>
      </c>
      <c r="M58">
        <v>1200</v>
      </c>
      <c r="N58">
        <v>73.8</v>
      </c>
      <c r="R58" t="s">
        <v>404</v>
      </c>
      <c r="S58" t="s">
        <v>403</v>
      </c>
      <c r="T58" t="s">
        <v>159</v>
      </c>
    </row>
    <row r="59" spans="1:21" x14ac:dyDescent="0.3">
      <c r="A59" t="s">
        <v>147</v>
      </c>
      <c r="B59" t="s">
        <v>148</v>
      </c>
      <c r="C59">
        <v>208384718</v>
      </c>
      <c r="D59">
        <v>2017</v>
      </c>
      <c r="F59" t="s">
        <v>405</v>
      </c>
      <c r="G59">
        <v>4</v>
      </c>
      <c r="I59">
        <v>350000</v>
      </c>
      <c r="J59">
        <v>0.193</v>
      </c>
      <c r="M59">
        <v>400000</v>
      </c>
      <c r="N59">
        <v>73.8</v>
      </c>
      <c r="R59" t="s">
        <v>406</v>
      </c>
      <c r="S59" t="s">
        <v>407</v>
      </c>
      <c r="T59" t="s">
        <v>32</v>
      </c>
    </row>
    <row r="60" spans="1:21" x14ac:dyDescent="0.3">
      <c r="A60" t="s">
        <v>147</v>
      </c>
      <c r="B60" t="s">
        <v>148</v>
      </c>
      <c r="C60">
        <v>209635026</v>
      </c>
      <c r="D60">
        <v>2018</v>
      </c>
      <c r="F60" t="s">
        <v>299</v>
      </c>
      <c r="G60">
        <v>6</v>
      </c>
      <c r="I60">
        <v>265000</v>
      </c>
      <c r="J60">
        <v>0.13300000000000001</v>
      </c>
      <c r="M60">
        <v>560</v>
      </c>
      <c r="N60">
        <v>73.8</v>
      </c>
      <c r="R60" t="s">
        <v>408</v>
      </c>
      <c r="S60" t="s">
        <v>403</v>
      </c>
      <c r="T60" t="s">
        <v>159</v>
      </c>
    </row>
    <row r="61" spans="1:21" x14ac:dyDescent="0.3">
      <c r="A61" t="s">
        <v>147</v>
      </c>
      <c r="B61" t="s">
        <v>148</v>
      </c>
      <c r="C61">
        <v>210892837</v>
      </c>
      <c r="D61">
        <v>2019</v>
      </c>
      <c r="F61" t="s">
        <v>405</v>
      </c>
      <c r="G61">
        <v>4</v>
      </c>
      <c r="I61">
        <v>360000</v>
      </c>
      <c r="J61">
        <v>0.193</v>
      </c>
      <c r="M61">
        <v>410000</v>
      </c>
      <c r="N61">
        <v>73.8</v>
      </c>
      <c r="R61" t="s">
        <v>409</v>
      </c>
      <c r="S61" t="s">
        <v>407</v>
      </c>
      <c r="T61" t="s">
        <v>32</v>
      </c>
    </row>
    <row r="62" spans="1:21" x14ac:dyDescent="0.3">
      <c r="A62" t="s">
        <v>147</v>
      </c>
      <c r="B62" t="s">
        <v>148</v>
      </c>
      <c r="C62">
        <v>212158194</v>
      </c>
      <c r="D62">
        <v>2020</v>
      </c>
      <c r="F62" t="s">
        <v>299</v>
      </c>
      <c r="G62">
        <v>6</v>
      </c>
      <c r="I62">
        <v>7700000</v>
      </c>
      <c r="J62">
        <v>0.13300000000000001</v>
      </c>
      <c r="M62">
        <v>195000</v>
      </c>
      <c r="N62">
        <v>73.8</v>
      </c>
      <c r="R62" t="s">
        <v>410</v>
      </c>
      <c r="S62" t="s">
        <v>411</v>
      </c>
      <c r="T62" t="s">
        <v>159</v>
      </c>
    </row>
    <row r="63" spans="1:21" x14ac:dyDescent="0.3">
      <c r="A63" t="s">
        <v>147</v>
      </c>
      <c r="B63" t="s">
        <v>148</v>
      </c>
      <c r="C63">
        <v>213431143</v>
      </c>
      <c r="D63">
        <v>2021</v>
      </c>
      <c r="F63" t="s">
        <v>299</v>
      </c>
      <c r="G63">
        <v>6</v>
      </c>
      <c r="I63">
        <v>14000000</v>
      </c>
      <c r="J63">
        <v>0.13300000000000001</v>
      </c>
      <c r="M63">
        <v>425000</v>
      </c>
      <c r="N63">
        <v>73.8</v>
      </c>
      <c r="R63" t="s">
        <v>412</v>
      </c>
      <c r="S63" t="s">
        <v>411</v>
      </c>
      <c r="T63" t="s">
        <v>159</v>
      </c>
    </row>
    <row r="64" spans="1:21" x14ac:dyDescent="0.3">
      <c r="A64" t="s">
        <v>147</v>
      </c>
      <c r="B64" t="s">
        <v>148</v>
      </c>
      <c r="C64">
        <v>214711730</v>
      </c>
      <c r="D64">
        <v>2022</v>
      </c>
      <c r="F64" t="s">
        <v>299</v>
      </c>
      <c r="G64">
        <v>6</v>
      </c>
      <c r="I64">
        <v>5500000</v>
      </c>
      <c r="J64">
        <v>0.13300000000000001</v>
      </c>
      <c r="M64">
        <v>70000</v>
      </c>
      <c r="N64">
        <v>73.8</v>
      </c>
      <c r="R64" t="s">
        <v>413</v>
      </c>
      <c r="S64" t="s">
        <v>411</v>
      </c>
      <c r="T64" t="s">
        <v>159</v>
      </c>
    </row>
    <row r="65" spans="1:20" x14ac:dyDescent="0.3">
      <c r="A65" t="s">
        <v>147</v>
      </c>
      <c r="B65" t="s">
        <v>148</v>
      </c>
      <c r="C65">
        <v>216000000</v>
      </c>
      <c r="D65">
        <v>2023</v>
      </c>
      <c r="F65" t="s">
        <v>299</v>
      </c>
      <c r="G65">
        <v>6</v>
      </c>
      <c r="I65">
        <v>1650000</v>
      </c>
      <c r="J65">
        <v>0.13300000000000001</v>
      </c>
      <c r="M65">
        <v>1100</v>
      </c>
      <c r="N65">
        <v>73.8</v>
      </c>
      <c r="R65" t="s">
        <v>414</v>
      </c>
      <c r="S65" t="s">
        <v>403</v>
      </c>
      <c r="T65" t="s">
        <v>159</v>
      </c>
    </row>
    <row r="66" spans="1:20" x14ac:dyDescent="0.3">
      <c r="A66" t="s">
        <v>147</v>
      </c>
      <c r="B66" t="s">
        <v>148</v>
      </c>
      <c r="C66">
        <v>217296000</v>
      </c>
      <c r="D66">
        <v>2024</v>
      </c>
      <c r="F66" t="s">
        <v>299</v>
      </c>
      <c r="G66">
        <v>6</v>
      </c>
      <c r="I66">
        <v>6600000</v>
      </c>
      <c r="J66">
        <v>0.13300000000000001</v>
      </c>
      <c r="M66">
        <v>5900</v>
      </c>
      <c r="N66">
        <v>73.8</v>
      </c>
      <c r="R66" t="s">
        <v>415</v>
      </c>
      <c r="S66" t="s">
        <v>403</v>
      </c>
      <c r="T66" t="s">
        <v>159</v>
      </c>
    </row>
    <row r="67" spans="1:20" x14ac:dyDescent="0.3">
      <c r="A67" t="s">
        <v>147</v>
      </c>
      <c r="B67" t="s">
        <v>148</v>
      </c>
      <c r="C67">
        <v>218599776</v>
      </c>
      <c r="D67">
        <v>2025</v>
      </c>
      <c r="F67" t="s">
        <v>405</v>
      </c>
      <c r="G67">
        <v>4</v>
      </c>
      <c r="I67">
        <v>370000</v>
      </c>
      <c r="J67">
        <v>0.193</v>
      </c>
      <c r="M67">
        <v>420000</v>
      </c>
      <c r="N67">
        <v>73.8</v>
      </c>
      <c r="R67" t="s">
        <v>416</v>
      </c>
      <c r="S67" t="s">
        <v>407</v>
      </c>
      <c r="T67" t="s">
        <v>32</v>
      </c>
    </row>
    <row r="68" spans="1:20" x14ac:dyDescent="0.3">
      <c r="A68" t="s">
        <v>161</v>
      </c>
      <c r="B68" t="s">
        <v>87</v>
      </c>
      <c r="C68">
        <v>77547156</v>
      </c>
      <c r="D68">
        <v>2015</v>
      </c>
      <c r="F68" t="s">
        <v>417</v>
      </c>
      <c r="G68">
        <v>5</v>
      </c>
      <c r="I68">
        <v>9500000</v>
      </c>
      <c r="J68">
        <v>0.19</v>
      </c>
      <c r="M68">
        <v>22000</v>
      </c>
      <c r="N68">
        <v>73.8</v>
      </c>
      <c r="R68" t="s">
        <v>418</v>
      </c>
      <c r="S68" t="s">
        <v>419</v>
      </c>
      <c r="T68" t="s">
        <v>159</v>
      </c>
    </row>
    <row r="69" spans="1:20" x14ac:dyDescent="0.3">
      <c r="A69" t="s">
        <v>161</v>
      </c>
      <c r="B69" t="s">
        <v>87</v>
      </c>
      <c r="C69">
        <v>79951117</v>
      </c>
      <c r="D69">
        <v>2016</v>
      </c>
      <c r="F69" t="s">
        <v>420</v>
      </c>
      <c r="G69">
        <v>7</v>
      </c>
      <c r="I69">
        <v>3800000</v>
      </c>
      <c r="J69">
        <v>0.2</v>
      </c>
      <c r="M69">
        <v>15000</v>
      </c>
      <c r="N69">
        <v>73.8</v>
      </c>
      <c r="R69" t="s">
        <v>421</v>
      </c>
      <c r="S69" t="s">
        <v>422</v>
      </c>
      <c r="T69" t="s">
        <v>156</v>
      </c>
    </row>
    <row r="70" spans="1:20" x14ac:dyDescent="0.3">
      <c r="A70" t="s">
        <v>161</v>
      </c>
      <c r="B70" t="s">
        <v>87</v>
      </c>
      <c r="C70">
        <v>82429602</v>
      </c>
      <c r="D70">
        <v>2017</v>
      </c>
      <c r="F70" t="s">
        <v>423</v>
      </c>
      <c r="G70">
        <v>6</v>
      </c>
      <c r="I70">
        <v>55000</v>
      </c>
      <c r="J70">
        <v>0.247</v>
      </c>
      <c r="M70">
        <v>1190</v>
      </c>
      <c r="N70">
        <v>73.8</v>
      </c>
      <c r="R70" t="s">
        <v>424</v>
      </c>
      <c r="S70" t="s">
        <v>425</v>
      </c>
      <c r="T70" t="s">
        <v>156</v>
      </c>
    </row>
    <row r="71" spans="1:20" x14ac:dyDescent="0.3">
      <c r="A71" t="s">
        <v>161</v>
      </c>
      <c r="B71" t="s">
        <v>87</v>
      </c>
      <c r="C71">
        <v>84984920</v>
      </c>
      <c r="D71">
        <v>2018</v>
      </c>
      <c r="F71" t="s">
        <v>299</v>
      </c>
      <c r="G71">
        <v>6</v>
      </c>
      <c r="I71">
        <v>3470</v>
      </c>
      <c r="J71">
        <v>0.13300000000000001</v>
      </c>
      <c r="M71">
        <v>2280</v>
      </c>
      <c r="N71">
        <v>73.8</v>
      </c>
      <c r="R71" t="s">
        <v>426</v>
      </c>
      <c r="S71" t="s">
        <v>427</v>
      </c>
      <c r="T71" t="s">
        <v>156</v>
      </c>
    </row>
    <row r="72" spans="1:20" x14ac:dyDescent="0.3">
      <c r="A72" t="s">
        <v>161</v>
      </c>
      <c r="B72" t="s">
        <v>87</v>
      </c>
      <c r="C72">
        <v>87619452</v>
      </c>
      <c r="D72">
        <v>2019</v>
      </c>
      <c r="F72" t="s">
        <v>299</v>
      </c>
      <c r="G72">
        <v>6</v>
      </c>
      <c r="I72">
        <v>3470</v>
      </c>
      <c r="J72">
        <v>0.13300000000000001</v>
      </c>
      <c r="M72">
        <v>2280</v>
      </c>
      <c r="N72">
        <v>73.8</v>
      </c>
      <c r="R72" t="s">
        <v>428</v>
      </c>
      <c r="S72" t="s">
        <v>427</v>
      </c>
      <c r="T72" t="s">
        <v>159</v>
      </c>
    </row>
    <row r="73" spans="1:20" x14ac:dyDescent="0.3">
      <c r="A73" t="s">
        <v>161</v>
      </c>
      <c r="B73" t="s">
        <v>87</v>
      </c>
      <c r="C73">
        <v>90335655</v>
      </c>
      <c r="D73">
        <v>2020</v>
      </c>
      <c r="F73" t="s">
        <v>299</v>
      </c>
      <c r="G73">
        <v>6</v>
      </c>
      <c r="I73">
        <v>1100000</v>
      </c>
      <c r="J73">
        <v>0.13300000000000001</v>
      </c>
      <c r="M73">
        <v>27000</v>
      </c>
      <c r="N73">
        <v>73.8</v>
      </c>
      <c r="R73" t="s">
        <v>429</v>
      </c>
      <c r="S73" t="s">
        <v>425</v>
      </c>
      <c r="T73" t="s">
        <v>159</v>
      </c>
    </row>
    <row r="74" spans="1:20" x14ac:dyDescent="0.3">
      <c r="A74" t="s">
        <v>161</v>
      </c>
      <c r="B74" t="s">
        <v>87</v>
      </c>
      <c r="C74">
        <v>93136060</v>
      </c>
      <c r="D74">
        <v>2021</v>
      </c>
      <c r="F74" t="s">
        <v>417</v>
      </c>
      <c r="G74">
        <v>5</v>
      </c>
      <c r="I74">
        <v>12000000</v>
      </c>
      <c r="J74">
        <v>0.19</v>
      </c>
      <c r="M74">
        <v>25000</v>
      </c>
      <c r="N74">
        <v>73.8</v>
      </c>
      <c r="R74" t="s">
        <v>430</v>
      </c>
      <c r="S74" t="s">
        <v>419</v>
      </c>
      <c r="T74" t="s">
        <v>159</v>
      </c>
    </row>
    <row r="75" spans="1:20" x14ac:dyDescent="0.3">
      <c r="A75" t="s">
        <v>161</v>
      </c>
      <c r="B75" t="s">
        <v>87</v>
      </c>
      <c r="C75">
        <v>96023278</v>
      </c>
      <c r="D75">
        <v>2022</v>
      </c>
      <c r="F75" t="s">
        <v>423</v>
      </c>
      <c r="G75">
        <v>6</v>
      </c>
      <c r="I75">
        <v>22000</v>
      </c>
      <c r="J75">
        <v>0.247</v>
      </c>
      <c r="M75">
        <v>260</v>
      </c>
      <c r="N75">
        <v>73.8</v>
      </c>
      <c r="R75" t="s">
        <v>431</v>
      </c>
      <c r="S75" t="s">
        <v>425</v>
      </c>
      <c r="T75" t="s">
        <v>156</v>
      </c>
    </row>
    <row r="76" spans="1:20" x14ac:dyDescent="0.3">
      <c r="A76" t="s">
        <v>161</v>
      </c>
      <c r="B76" t="s">
        <v>87</v>
      </c>
      <c r="C76">
        <v>99000000</v>
      </c>
      <c r="D76">
        <v>2023</v>
      </c>
      <c r="F76" t="s">
        <v>420</v>
      </c>
      <c r="G76">
        <v>7</v>
      </c>
      <c r="I76">
        <v>6900000</v>
      </c>
      <c r="J76">
        <v>0.2</v>
      </c>
      <c r="M76">
        <v>25000</v>
      </c>
      <c r="N76">
        <v>73.8</v>
      </c>
      <c r="R76" t="s">
        <v>432</v>
      </c>
      <c r="S76" t="s">
        <v>422</v>
      </c>
      <c r="T76" t="s">
        <v>156</v>
      </c>
    </row>
    <row r="77" spans="1:20" x14ac:dyDescent="0.3">
      <c r="A77" t="s">
        <v>161</v>
      </c>
      <c r="B77" t="s">
        <v>87</v>
      </c>
      <c r="C77">
        <v>102069000</v>
      </c>
      <c r="D77">
        <v>2024</v>
      </c>
      <c r="F77" t="s">
        <v>420</v>
      </c>
      <c r="G77">
        <v>7</v>
      </c>
      <c r="I77">
        <v>7800000</v>
      </c>
      <c r="J77">
        <v>0.2</v>
      </c>
      <c r="M77">
        <v>30000</v>
      </c>
      <c r="N77">
        <v>73.8</v>
      </c>
      <c r="R77" t="s">
        <v>433</v>
      </c>
      <c r="S77" t="s">
        <v>425</v>
      </c>
      <c r="T77" t="s">
        <v>156</v>
      </c>
    </row>
    <row r="78" spans="1:20" x14ac:dyDescent="0.3">
      <c r="A78" t="s">
        <v>161</v>
      </c>
      <c r="B78" t="s">
        <v>87</v>
      </c>
      <c r="C78">
        <v>105233139</v>
      </c>
      <c r="D78">
        <v>2025</v>
      </c>
      <c r="F78" t="s">
        <v>420</v>
      </c>
      <c r="G78">
        <v>7</v>
      </c>
      <c r="I78">
        <v>8500000</v>
      </c>
      <c r="J78">
        <v>0.2</v>
      </c>
      <c r="M78">
        <v>32000</v>
      </c>
      <c r="N78">
        <v>73.8</v>
      </c>
      <c r="R78" t="s">
        <v>434</v>
      </c>
      <c r="S78" t="s">
        <v>422</v>
      </c>
      <c r="T78" t="s">
        <v>156</v>
      </c>
    </row>
    <row r="79" spans="1:20" x14ac:dyDescent="0.3">
      <c r="A79" t="s">
        <v>172</v>
      </c>
      <c r="B79" t="s">
        <v>87</v>
      </c>
      <c r="C79">
        <v>28368663</v>
      </c>
      <c r="D79">
        <v>2015</v>
      </c>
      <c r="F79" t="s">
        <v>417</v>
      </c>
      <c r="G79">
        <v>5</v>
      </c>
      <c r="I79">
        <v>4800000</v>
      </c>
      <c r="J79">
        <v>0.19</v>
      </c>
      <c r="M79">
        <v>3900</v>
      </c>
      <c r="N79">
        <v>73.8</v>
      </c>
      <c r="R79" t="s">
        <v>435</v>
      </c>
      <c r="S79" t="s">
        <v>419</v>
      </c>
      <c r="T79" t="s">
        <v>159</v>
      </c>
    </row>
    <row r="80" spans="1:20" x14ac:dyDescent="0.3">
      <c r="A80" t="s">
        <v>172</v>
      </c>
      <c r="B80" t="s">
        <v>87</v>
      </c>
      <c r="C80">
        <v>28964405</v>
      </c>
      <c r="D80">
        <v>2016</v>
      </c>
      <c r="F80" t="s">
        <v>423</v>
      </c>
      <c r="G80">
        <v>6</v>
      </c>
      <c r="I80">
        <v>28944</v>
      </c>
      <c r="J80">
        <v>0.247</v>
      </c>
      <c r="M80">
        <v>175</v>
      </c>
      <c r="N80">
        <v>73.8</v>
      </c>
      <c r="R80" t="s">
        <v>436</v>
      </c>
      <c r="S80" t="s">
        <v>425</v>
      </c>
      <c r="T80" t="s">
        <v>159</v>
      </c>
    </row>
    <row r="81" spans="1:20" x14ac:dyDescent="0.3">
      <c r="A81" t="s">
        <v>172</v>
      </c>
      <c r="B81" t="s">
        <v>87</v>
      </c>
      <c r="C81">
        <v>29572658</v>
      </c>
      <c r="D81">
        <v>2017</v>
      </c>
      <c r="F81" t="s">
        <v>417</v>
      </c>
      <c r="G81">
        <v>5</v>
      </c>
      <c r="I81">
        <v>4500000</v>
      </c>
      <c r="J81">
        <v>0.19</v>
      </c>
      <c r="M81">
        <v>3500</v>
      </c>
      <c r="N81">
        <v>73.8</v>
      </c>
      <c r="R81" t="s">
        <v>437</v>
      </c>
      <c r="S81" t="s">
        <v>419</v>
      </c>
      <c r="T81" t="s">
        <v>159</v>
      </c>
    </row>
    <row r="82" spans="1:20" x14ac:dyDescent="0.3">
      <c r="A82" t="s">
        <v>172</v>
      </c>
      <c r="B82" t="s">
        <v>87</v>
      </c>
      <c r="C82">
        <v>30193683</v>
      </c>
      <c r="D82">
        <v>2018</v>
      </c>
      <c r="F82" t="s">
        <v>405</v>
      </c>
      <c r="G82">
        <v>4</v>
      </c>
      <c r="I82">
        <v>85000</v>
      </c>
      <c r="J82">
        <v>0.193</v>
      </c>
      <c r="M82">
        <v>42000</v>
      </c>
      <c r="N82">
        <v>73.8</v>
      </c>
      <c r="R82" t="s">
        <v>438</v>
      </c>
      <c r="S82" t="s">
        <v>439</v>
      </c>
      <c r="T82" t="s">
        <v>32</v>
      </c>
    </row>
    <row r="83" spans="1:20" x14ac:dyDescent="0.3">
      <c r="A83" t="s">
        <v>172</v>
      </c>
      <c r="B83" t="s">
        <v>87</v>
      </c>
      <c r="C83">
        <v>30827751</v>
      </c>
      <c r="D83">
        <v>2019</v>
      </c>
      <c r="F83" t="s">
        <v>417</v>
      </c>
      <c r="G83">
        <v>5</v>
      </c>
      <c r="I83">
        <v>4300000</v>
      </c>
      <c r="J83">
        <v>0.19</v>
      </c>
      <c r="M83">
        <v>3200</v>
      </c>
      <c r="N83">
        <v>73.8</v>
      </c>
      <c r="R83" t="s">
        <v>440</v>
      </c>
      <c r="S83" t="s">
        <v>419</v>
      </c>
      <c r="T83" t="s">
        <v>159</v>
      </c>
    </row>
    <row r="84" spans="1:20" x14ac:dyDescent="0.3">
      <c r="A84" t="s">
        <v>172</v>
      </c>
      <c r="B84" t="s">
        <v>87</v>
      </c>
      <c r="C84">
        <v>31475133</v>
      </c>
      <c r="D84">
        <v>2020</v>
      </c>
      <c r="F84" t="s">
        <v>299</v>
      </c>
      <c r="G84">
        <v>6</v>
      </c>
      <c r="I84">
        <v>91000</v>
      </c>
      <c r="J84">
        <v>0.13300000000000001</v>
      </c>
      <c r="M84">
        <v>780</v>
      </c>
      <c r="N84">
        <v>73.8</v>
      </c>
      <c r="R84" t="s">
        <v>441</v>
      </c>
      <c r="S84" t="s">
        <v>442</v>
      </c>
      <c r="T84" t="s">
        <v>159</v>
      </c>
    </row>
    <row r="85" spans="1:20" x14ac:dyDescent="0.3">
      <c r="A85" t="s">
        <v>172</v>
      </c>
      <c r="B85" t="s">
        <v>87</v>
      </c>
      <c r="C85">
        <v>32136111</v>
      </c>
      <c r="D85">
        <v>2021</v>
      </c>
      <c r="F85" t="s">
        <v>299</v>
      </c>
      <c r="G85">
        <v>6</v>
      </c>
      <c r="I85">
        <v>128000</v>
      </c>
      <c r="J85">
        <v>0.13300000000000001</v>
      </c>
      <c r="M85">
        <v>1150</v>
      </c>
      <c r="N85">
        <v>73.8</v>
      </c>
      <c r="R85" t="s">
        <v>443</v>
      </c>
      <c r="S85" t="s">
        <v>442</v>
      </c>
      <c r="T85" t="s">
        <v>159</v>
      </c>
    </row>
    <row r="86" spans="1:20" x14ac:dyDescent="0.3">
      <c r="A86" t="s">
        <v>172</v>
      </c>
      <c r="B86" t="s">
        <v>87</v>
      </c>
      <c r="C86">
        <v>32810970</v>
      </c>
      <c r="D86">
        <v>2022</v>
      </c>
      <c r="F86" t="s">
        <v>417</v>
      </c>
      <c r="G86">
        <v>5</v>
      </c>
      <c r="I86">
        <v>5500000</v>
      </c>
      <c r="J86">
        <v>0.19</v>
      </c>
      <c r="M86">
        <v>4100</v>
      </c>
      <c r="N86">
        <v>73.8</v>
      </c>
      <c r="R86" t="s">
        <v>444</v>
      </c>
      <c r="S86" t="s">
        <v>419</v>
      </c>
      <c r="T86" t="s">
        <v>159</v>
      </c>
    </row>
    <row r="87" spans="1:20" x14ac:dyDescent="0.3">
      <c r="A87" t="s">
        <v>172</v>
      </c>
      <c r="B87" t="s">
        <v>87</v>
      </c>
      <c r="C87">
        <v>33500000</v>
      </c>
      <c r="D87">
        <v>2023</v>
      </c>
      <c r="F87" t="s">
        <v>423</v>
      </c>
      <c r="G87">
        <v>6</v>
      </c>
      <c r="I87">
        <v>2000</v>
      </c>
      <c r="J87">
        <v>0.247</v>
      </c>
      <c r="M87">
        <v>15</v>
      </c>
      <c r="N87">
        <v>73.8</v>
      </c>
      <c r="R87" t="s">
        <v>445</v>
      </c>
      <c r="S87" t="s">
        <v>425</v>
      </c>
      <c r="T87" t="s">
        <v>156</v>
      </c>
    </row>
    <row r="88" spans="1:20" x14ac:dyDescent="0.3">
      <c r="A88" t="s">
        <v>172</v>
      </c>
      <c r="B88" t="s">
        <v>87</v>
      </c>
      <c r="C88">
        <v>34203500</v>
      </c>
      <c r="D88">
        <v>2024</v>
      </c>
      <c r="F88" t="s">
        <v>417</v>
      </c>
      <c r="G88">
        <v>5</v>
      </c>
      <c r="I88">
        <v>5100000</v>
      </c>
      <c r="J88">
        <v>0.19</v>
      </c>
      <c r="M88">
        <v>3800</v>
      </c>
      <c r="N88">
        <v>73.8</v>
      </c>
      <c r="R88" t="s">
        <v>446</v>
      </c>
      <c r="S88" t="s">
        <v>419</v>
      </c>
      <c r="T88" t="s">
        <v>159</v>
      </c>
    </row>
    <row r="89" spans="1:20" x14ac:dyDescent="0.3">
      <c r="A89" t="s">
        <v>172</v>
      </c>
      <c r="B89" t="s">
        <v>87</v>
      </c>
      <c r="C89">
        <v>34921773</v>
      </c>
      <c r="D89">
        <v>2025</v>
      </c>
      <c r="F89" t="s">
        <v>405</v>
      </c>
      <c r="G89">
        <v>4</v>
      </c>
      <c r="I89">
        <v>95000</v>
      </c>
      <c r="J89">
        <v>0.193</v>
      </c>
      <c r="M89">
        <v>45000</v>
      </c>
      <c r="N89">
        <v>73.8</v>
      </c>
      <c r="R89" t="s">
        <v>447</v>
      </c>
      <c r="S89" t="s">
        <v>439</v>
      </c>
      <c r="T89" t="s">
        <v>32</v>
      </c>
    </row>
    <row r="90" spans="1:20" x14ac:dyDescent="0.3">
      <c r="A90" t="s">
        <v>180</v>
      </c>
      <c r="B90" t="s">
        <v>181</v>
      </c>
      <c r="C90">
        <v>255804853</v>
      </c>
      <c r="D90">
        <v>2015</v>
      </c>
      <c r="F90" t="s">
        <v>299</v>
      </c>
      <c r="G90">
        <v>6</v>
      </c>
      <c r="I90">
        <v>129000</v>
      </c>
      <c r="J90">
        <v>0.13300000000000001</v>
      </c>
      <c r="M90">
        <v>232</v>
      </c>
      <c r="N90">
        <v>73.8</v>
      </c>
      <c r="R90" t="s">
        <v>448</v>
      </c>
      <c r="S90" t="s">
        <v>425</v>
      </c>
      <c r="T90" t="s">
        <v>159</v>
      </c>
    </row>
    <row r="91" spans="1:20" x14ac:dyDescent="0.3">
      <c r="A91" t="s">
        <v>180</v>
      </c>
      <c r="B91" t="s">
        <v>181</v>
      </c>
      <c r="C91">
        <v>258362901</v>
      </c>
      <c r="D91">
        <v>2016</v>
      </c>
      <c r="F91" t="s">
        <v>299</v>
      </c>
      <c r="G91">
        <v>6</v>
      </c>
      <c r="I91">
        <v>204000</v>
      </c>
      <c r="J91">
        <v>0.13300000000000001</v>
      </c>
      <c r="M91">
        <v>1600</v>
      </c>
      <c r="N91">
        <v>73.8</v>
      </c>
      <c r="R91" t="s">
        <v>449</v>
      </c>
      <c r="S91" t="s">
        <v>450</v>
      </c>
      <c r="T91" t="s">
        <v>159</v>
      </c>
    </row>
    <row r="92" spans="1:20" x14ac:dyDescent="0.3">
      <c r="A92" t="s">
        <v>180</v>
      </c>
      <c r="B92" t="s">
        <v>181</v>
      </c>
      <c r="C92">
        <v>260946530</v>
      </c>
      <c r="D92">
        <v>2017</v>
      </c>
      <c r="F92" t="s">
        <v>451</v>
      </c>
      <c r="G92">
        <v>6</v>
      </c>
      <c r="I92">
        <v>842000</v>
      </c>
      <c r="J92">
        <v>0.33300000000000002</v>
      </c>
      <c r="M92">
        <v>116000</v>
      </c>
      <c r="N92">
        <v>73.8</v>
      </c>
      <c r="R92" t="s">
        <v>452</v>
      </c>
      <c r="S92" t="s">
        <v>453</v>
      </c>
      <c r="T92" t="s">
        <v>32</v>
      </c>
    </row>
    <row r="93" spans="1:20" x14ac:dyDescent="0.3">
      <c r="A93" t="s">
        <v>180</v>
      </c>
      <c r="B93" t="s">
        <v>181</v>
      </c>
      <c r="C93">
        <v>263555995</v>
      </c>
      <c r="D93">
        <v>2018</v>
      </c>
      <c r="F93" t="s">
        <v>299</v>
      </c>
      <c r="G93">
        <v>6</v>
      </c>
      <c r="I93">
        <v>65000</v>
      </c>
      <c r="J93">
        <v>0.13300000000000001</v>
      </c>
      <c r="M93">
        <v>500</v>
      </c>
      <c r="N93">
        <v>73.8</v>
      </c>
      <c r="R93" t="s">
        <v>454</v>
      </c>
      <c r="S93" t="s">
        <v>425</v>
      </c>
      <c r="T93" t="s">
        <v>159</v>
      </c>
    </row>
    <row r="94" spans="1:20" x14ac:dyDescent="0.3">
      <c r="A94" t="s">
        <v>180</v>
      </c>
      <c r="B94" t="s">
        <v>181</v>
      </c>
      <c r="C94">
        <v>266191555</v>
      </c>
      <c r="D94">
        <v>2019</v>
      </c>
      <c r="F94" t="s">
        <v>451</v>
      </c>
      <c r="G94">
        <v>6</v>
      </c>
      <c r="I94">
        <v>845000</v>
      </c>
      <c r="J94">
        <v>0.33300000000000002</v>
      </c>
      <c r="M94">
        <v>98000</v>
      </c>
      <c r="N94">
        <v>73.8</v>
      </c>
      <c r="R94" t="s">
        <v>455</v>
      </c>
      <c r="S94" t="s">
        <v>453</v>
      </c>
      <c r="T94" t="s">
        <v>32</v>
      </c>
    </row>
    <row r="95" spans="1:20" x14ac:dyDescent="0.3">
      <c r="A95" t="s">
        <v>180</v>
      </c>
      <c r="B95" t="s">
        <v>181</v>
      </c>
      <c r="C95">
        <v>268853471</v>
      </c>
      <c r="D95">
        <v>2020</v>
      </c>
      <c r="F95" t="s">
        <v>299</v>
      </c>
      <c r="G95">
        <v>6</v>
      </c>
      <c r="I95">
        <v>743000</v>
      </c>
      <c r="J95">
        <v>0.13300000000000001</v>
      </c>
      <c r="M95">
        <v>22000</v>
      </c>
      <c r="N95">
        <v>73.8</v>
      </c>
      <c r="R95" t="s">
        <v>456</v>
      </c>
      <c r="S95" t="s">
        <v>457</v>
      </c>
      <c r="T95" t="s">
        <v>159</v>
      </c>
    </row>
    <row r="96" spans="1:20" x14ac:dyDescent="0.3">
      <c r="A96" t="s">
        <v>180</v>
      </c>
      <c r="B96" t="s">
        <v>181</v>
      </c>
      <c r="C96">
        <v>271542006</v>
      </c>
      <c r="D96">
        <v>2021</v>
      </c>
      <c r="F96" t="s">
        <v>299</v>
      </c>
      <c r="G96">
        <v>6</v>
      </c>
      <c r="I96">
        <v>4260000</v>
      </c>
      <c r="J96">
        <v>0.13300000000000001</v>
      </c>
      <c r="M96">
        <v>144000</v>
      </c>
      <c r="N96">
        <v>73.8</v>
      </c>
      <c r="R96" t="s">
        <v>458</v>
      </c>
      <c r="S96" t="s">
        <v>457</v>
      </c>
      <c r="T96" t="s">
        <v>159</v>
      </c>
    </row>
    <row r="97" spans="1:20" x14ac:dyDescent="0.3">
      <c r="A97" t="s">
        <v>180</v>
      </c>
      <c r="B97" t="s">
        <v>181</v>
      </c>
      <c r="C97">
        <v>274257426</v>
      </c>
      <c r="D97">
        <v>2022</v>
      </c>
      <c r="F97" t="s">
        <v>299</v>
      </c>
      <c r="G97">
        <v>6</v>
      </c>
      <c r="I97">
        <v>6050000</v>
      </c>
      <c r="J97">
        <v>0.13300000000000001</v>
      </c>
      <c r="M97">
        <v>30000</v>
      </c>
      <c r="N97">
        <v>73.8</v>
      </c>
      <c r="R97" t="s">
        <v>413</v>
      </c>
      <c r="S97" t="s">
        <v>457</v>
      </c>
      <c r="T97" t="s">
        <v>159</v>
      </c>
    </row>
    <row r="98" spans="1:20" x14ac:dyDescent="0.3">
      <c r="A98" t="s">
        <v>180</v>
      </c>
      <c r="B98" t="s">
        <v>181</v>
      </c>
      <c r="C98">
        <v>277000000</v>
      </c>
      <c r="D98">
        <v>2023</v>
      </c>
      <c r="F98" t="s">
        <v>451</v>
      </c>
      <c r="G98">
        <v>6</v>
      </c>
      <c r="I98">
        <v>1060000</v>
      </c>
      <c r="J98">
        <v>0.33300000000000002</v>
      </c>
      <c r="M98">
        <v>134000</v>
      </c>
      <c r="N98">
        <v>73.8</v>
      </c>
      <c r="R98" t="s">
        <v>459</v>
      </c>
      <c r="S98" t="s">
        <v>453</v>
      </c>
      <c r="T98" t="s">
        <v>32</v>
      </c>
    </row>
    <row r="99" spans="1:20" x14ac:dyDescent="0.3">
      <c r="A99" t="s">
        <v>180</v>
      </c>
      <c r="B99" t="s">
        <v>181</v>
      </c>
      <c r="C99">
        <v>279770000</v>
      </c>
      <c r="D99">
        <v>2024</v>
      </c>
      <c r="F99" t="s">
        <v>299</v>
      </c>
      <c r="G99">
        <v>6</v>
      </c>
      <c r="I99">
        <v>233000</v>
      </c>
      <c r="J99">
        <v>0.13300000000000001</v>
      </c>
      <c r="M99">
        <v>350</v>
      </c>
      <c r="N99">
        <v>73.8</v>
      </c>
      <c r="R99" t="s">
        <v>460</v>
      </c>
      <c r="S99" t="s">
        <v>425</v>
      </c>
      <c r="T99" t="s">
        <v>159</v>
      </c>
    </row>
    <row r="100" spans="1:20" x14ac:dyDescent="0.3">
      <c r="A100" t="s">
        <v>180</v>
      </c>
      <c r="B100" t="s">
        <v>181</v>
      </c>
      <c r="C100">
        <v>282567700</v>
      </c>
      <c r="D100">
        <v>2025</v>
      </c>
      <c r="F100" t="s">
        <v>451</v>
      </c>
      <c r="G100">
        <v>6</v>
      </c>
      <c r="I100">
        <v>1020000</v>
      </c>
      <c r="J100">
        <v>0.33300000000000002</v>
      </c>
      <c r="M100">
        <v>125000</v>
      </c>
      <c r="N100">
        <v>73.8</v>
      </c>
      <c r="R100" t="s">
        <v>461</v>
      </c>
      <c r="S100" t="s">
        <v>453</v>
      </c>
      <c r="T100" t="s">
        <v>32</v>
      </c>
    </row>
    <row r="101" spans="1:20" x14ac:dyDescent="0.3">
      <c r="A101" t="s">
        <v>192</v>
      </c>
      <c r="B101" t="s">
        <v>87</v>
      </c>
      <c r="C101">
        <v>46212081</v>
      </c>
      <c r="D101">
        <v>2015</v>
      </c>
      <c r="F101" t="s">
        <v>462</v>
      </c>
      <c r="G101">
        <v>6</v>
      </c>
      <c r="I101">
        <v>1500000</v>
      </c>
      <c r="J101">
        <v>0.33</v>
      </c>
      <c r="M101">
        <v>36000</v>
      </c>
      <c r="N101">
        <v>73.8</v>
      </c>
      <c r="R101" t="s">
        <v>463</v>
      </c>
      <c r="S101" t="s">
        <v>464</v>
      </c>
      <c r="T101" t="s">
        <v>159</v>
      </c>
    </row>
    <row r="102" spans="1:20" x14ac:dyDescent="0.3">
      <c r="A102" t="s">
        <v>192</v>
      </c>
      <c r="B102" t="s">
        <v>87</v>
      </c>
      <c r="C102">
        <v>47228746</v>
      </c>
      <c r="D102">
        <v>2016</v>
      </c>
      <c r="F102" t="s">
        <v>423</v>
      </c>
      <c r="G102">
        <v>6</v>
      </c>
      <c r="I102">
        <v>17000</v>
      </c>
      <c r="J102">
        <v>0.247</v>
      </c>
      <c r="M102">
        <v>260</v>
      </c>
      <c r="N102">
        <v>73.8</v>
      </c>
      <c r="R102" t="s">
        <v>465</v>
      </c>
      <c r="S102" t="s">
        <v>425</v>
      </c>
      <c r="T102" t="s">
        <v>156</v>
      </c>
    </row>
    <row r="103" spans="1:20" x14ac:dyDescent="0.3">
      <c r="A103" t="s">
        <v>192</v>
      </c>
      <c r="B103" t="s">
        <v>87</v>
      </c>
      <c r="C103">
        <v>48267779</v>
      </c>
      <c r="D103">
        <v>2017</v>
      </c>
      <c r="F103" t="s">
        <v>462</v>
      </c>
      <c r="G103">
        <v>6</v>
      </c>
      <c r="I103">
        <v>1500000</v>
      </c>
      <c r="J103">
        <v>0.33</v>
      </c>
      <c r="M103">
        <v>28000</v>
      </c>
      <c r="N103">
        <v>73.8</v>
      </c>
      <c r="R103" t="s">
        <v>466</v>
      </c>
      <c r="S103" t="s">
        <v>464</v>
      </c>
      <c r="T103" t="s">
        <v>159</v>
      </c>
    </row>
    <row r="104" spans="1:20" x14ac:dyDescent="0.3">
      <c r="A104" t="s">
        <v>192</v>
      </c>
      <c r="B104" t="s">
        <v>87</v>
      </c>
      <c r="C104">
        <v>49329670</v>
      </c>
      <c r="D104">
        <v>2018</v>
      </c>
      <c r="F104" t="s">
        <v>423</v>
      </c>
      <c r="G104">
        <v>6</v>
      </c>
      <c r="I104">
        <v>3967</v>
      </c>
      <c r="J104">
        <v>0.247</v>
      </c>
      <c r="M104">
        <v>71</v>
      </c>
      <c r="N104">
        <v>73.8</v>
      </c>
      <c r="R104" t="s">
        <v>467</v>
      </c>
      <c r="S104" t="s">
        <v>425</v>
      </c>
      <c r="T104" t="s">
        <v>156</v>
      </c>
    </row>
    <row r="105" spans="1:20" x14ac:dyDescent="0.3">
      <c r="A105" t="s">
        <v>192</v>
      </c>
      <c r="B105" t="s">
        <v>87</v>
      </c>
      <c r="C105">
        <v>50414923</v>
      </c>
      <c r="D105">
        <v>2019</v>
      </c>
      <c r="F105" t="s">
        <v>462</v>
      </c>
      <c r="G105">
        <v>6</v>
      </c>
      <c r="I105">
        <v>1460000</v>
      </c>
      <c r="J105">
        <v>0.33</v>
      </c>
      <c r="M105">
        <v>25000</v>
      </c>
      <c r="N105">
        <v>73.8</v>
      </c>
      <c r="R105" t="s">
        <v>468</v>
      </c>
      <c r="S105" t="s">
        <v>464</v>
      </c>
      <c r="T105" t="s">
        <v>159</v>
      </c>
    </row>
    <row r="106" spans="1:20" x14ac:dyDescent="0.3">
      <c r="A106" t="s">
        <v>192</v>
      </c>
      <c r="B106" t="s">
        <v>87</v>
      </c>
      <c r="C106">
        <v>51524051</v>
      </c>
      <c r="D106">
        <v>2020</v>
      </c>
      <c r="F106" t="s">
        <v>299</v>
      </c>
      <c r="G106">
        <v>6</v>
      </c>
      <c r="I106">
        <v>96000</v>
      </c>
      <c r="J106">
        <v>0.13300000000000001</v>
      </c>
      <c r="M106">
        <v>1700</v>
      </c>
      <c r="N106">
        <v>73.8</v>
      </c>
      <c r="R106" t="s">
        <v>469</v>
      </c>
      <c r="S106" t="s">
        <v>470</v>
      </c>
      <c r="T106" t="s">
        <v>159</v>
      </c>
    </row>
    <row r="107" spans="1:20" x14ac:dyDescent="0.3">
      <c r="A107" t="s">
        <v>192</v>
      </c>
      <c r="B107" t="s">
        <v>87</v>
      </c>
      <c r="C107">
        <v>52657580</v>
      </c>
      <c r="D107">
        <v>2021</v>
      </c>
      <c r="F107" t="s">
        <v>299</v>
      </c>
      <c r="G107">
        <v>6</v>
      </c>
      <c r="I107">
        <v>244000</v>
      </c>
      <c r="J107">
        <v>0.13300000000000001</v>
      </c>
      <c r="M107">
        <v>4800</v>
      </c>
      <c r="N107">
        <v>73.8</v>
      </c>
      <c r="R107" t="s">
        <v>471</v>
      </c>
      <c r="S107" t="s">
        <v>470</v>
      </c>
      <c r="T107" t="s">
        <v>159</v>
      </c>
    </row>
    <row r="108" spans="1:20" x14ac:dyDescent="0.3">
      <c r="A108" t="s">
        <v>192</v>
      </c>
      <c r="B108" t="s">
        <v>87</v>
      </c>
      <c r="C108">
        <v>53816047</v>
      </c>
      <c r="D108">
        <v>2022</v>
      </c>
      <c r="F108" t="s">
        <v>420</v>
      </c>
      <c r="G108">
        <v>7</v>
      </c>
      <c r="I108">
        <v>4350000</v>
      </c>
      <c r="J108">
        <v>0.2</v>
      </c>
      <c r="M108">
        <v>1000</v>
      </c>
      <c r="N108">
        <v>73.8</v>
      </c>
      <c r="R108" t="s">
        <v>472</v>
      </c>
      <c r="S108" t="s">
        <v>473</v>
      </c>
      <c r="T108" t="s">
        <v>156</v>
      </c>
    </row>
    <row r="109" spans="1:20" x14ac:dyDescent="0.3">
      <c r="A109" t="s">
        <v>192</v>
      </c>
      <c r="B109" t="s">
        <v>87</v>
      </c>
      <c r="C109">
        <v>55000000</v>
      </c>
      <c r="D109">
        <v>2023</v>
      </c>
      <c r="F109" t="s">
        <v>423</v>
      </c>
      <c r="G109">
        <v>6</v>
      </c>
      <c r="I109">
        <v>12000</v>
      </c>
      <c r="J109">
        <v>0.247</v>
      </c>
      <c r="M109">
        <v>220</v>
      </c>
      <c r="N109">
        <v>73.8</v>
      </c>
      <c r="R109" t="s">
        <v>474</v>
      </c>
      <c r="S109" t="s">
        <v>425</v>
      </c>
      <c r="T109" t="s">
        <v>156</v>
      </c>
    </row>
    <row r="110" spans="1:20" x14ac:dyDescent="0.3">
      <c r="A110" t="s">
        <v>192</v>
      </c>
      <c r="B110" t="s">
        <v>87</v>
      </c>
      <c r="C110">
        <v>56210000</v>
      </c>
      <c r="D110">
        <v>2024</v>
      </c>
      <c r="F110" t="s">
        <v>420</v>
      </c>
      <c r="G110">
        <v>7</v>
      </c>
      <c r="I110">
        <v>900000</v>
      </c>
      <c r="J110">
        <v>0.2</v>
      </c>
      <c r="M110">
        <v>291</v>
      </c>
      <c r="N110">
        <v>73.8</v>
      </c>
      <c r="R110" t="s">
        <v>475</v>
      </c>
      <c r="S110" t="s">
        <v>473</v>
      </c>
      <c r="T110" t="s">
        <v>156</v>
      </c>
    </row>
    <row r="111" spans="1:20" x14ac:dyDescent="0.3">
      <c r="A111" t="s">
        <v>192</v>
      </c>
      <c r="B111" t="s">
        <v>87</v>
      </c>
      <c r="C111">
        <v>57446620</v>
      </c>
      <c r="D111">
        <v>2025</v>
      </c>
      <c r="F111" t="s">
        <v>462</v>
      </c>
      <c r="G111">
        <v>6</v>
      </c>
      <c r="I111">
        <v>1400000</v>
      </c>
      <c r="J111">
        <v>0.33</v>
      </c>
      <c r="M111">
        <v>20000</v>
      </c>
      <c r="N111">
        <v>73.8</v>
      </c>
      <c r="R111" t="s">
        <v>476</v>
      </c>
      <c r="S111" t="s">
        <v>464</v>
      </c>
      <c r="T111" t="s">
        <v>159</v>
      </c>
    </row>
    <row r="112" spans="1:20" x14ac:dyDescent="0.3">
      <c r="A112" t="s">
        <v>206</v>
      </c>
      <c r="B112" t="s">
        <v>148</v>
      </c>
      <c r="C112">
        <v>118205852</v>
      </c>
      <c r="D112">
        <v>2015</v>
      </c>
      <c r="F112" t="s">
        <v>405</v>
      </c>
      <c r="G112">
        <v>4</v>
      </c>
      <c r="I112">
        <v>620000</v>
      </c>
      <c r="J112">
        <v>0.193</v>
      </c>
      <c r="M112">
        <v>245000</v>
      </c>
      <c r="N112">
        <v>73.8</v>
      </c>
      <c r="R112" t="s">
        <v>477</v>
      </c>
      <c r="S112" t="s">
        <v>478</v>
      </c>
      <c r="T112" t="s">
        <v>32</v>
      </c>
    </row>
    <row r="113" spans="1:20" x14ac:dyDescent="0.3">
      <c r="A113" t="s">
        <v>206</v>
      </c>
      <c r="B113" t="s">
        <v>148</v>
      </c>
      <c r="C113">
        <v>119387911</v>
      </c>
      <c r="D113">
        <v>2016</v>
      </c>
      <c r="F113" t="s">
        <v>299</v>
      </c>
      <c r="G113">
        <v>6</v>
      </c>
      <c r="I113">
        <v>351000</v>
      </c>
      <c r="J113">
        <v>0.13300000000000001</v>
      </c>
      <c r="M113">
        <v>108</v>
      </c>
      <c r="N113">
        <v>73.8</v>
      </c>
      <c r="R113" t="s">
        <v>479</v>
      </c>
      <c r="S113" t="s">
        <v>403</v>
      </c>
      <c r="T113" t="s">
        <v>159</v>
      </c>
    </row>
    <row r="114" spans="1:20" x14ac:dyDescent="0.3">
      <c r="A114" t="s">
        <v>206</v>
      </c>
      <c r="B114" t="s">
        <v>148</v>
      </c>
      <c r="C114">
        <v>120581790</v>
      </c>
      <c r="D114">
        <v>2017</v>
      </c>
      <c r="F114" t="s">
        <v>405</v>
      </c>
      <c r="G114">
        <v>4</v>
      </c>
      <c r="I114">
        <v>640000</v>
      </c>
      <c r="J114">
        <v>0.193</v>
      </c>
      <c r="M114">
        <v>250000</v>
      </c>
      <c r="N114">
        <v>73.8</v>
      </c>
      <c r="R114" t="s">
        <v>480</v>
      </c>
      <c r="S114" t="s">
        <v>478</v>
      </c>
      <c r="T114" t="s">
        <v>32</v>
      </c>
    </row>
    <row r="115" spans="1:20" x14ac:dyDescent="0.3">
      <c r="A115" t="s">
        <v>206</v>
      </c>
      <c r="B115" t="s">
        <v>148</v>
      </c>
      <c r="C115">
        <v>121787608</v>
      </c>
      <c r="D115">
        <v>2018</v>
      </c>
      <c r="F115" t="s">
        <v>299</v>
      </c>
      <c r="G115">
        <v>6</v>
      </c>
      <c r="I115">
        <v>236000</v>
      </c>
      <c r="J115">
        <v>0.13300000000000001</v>
      </c>
      <c r="M115">
        <v>494</v>
      </c>
      <c r="N115">
        <v>73.8</v>
      </c>
      <c r="R115" t="s">
        <v>481</v>
      </c>
      <c r="S115" t="s">
        <v>403</v>
      </c>
      <c r="T115" t="s">
        <v>159</v>
      </c>
    </row>
    <row r="116" spans="1:20" x14ac:dyDescent="0.3">
      <c r="A116" t="s">
        <v>206</v>
      </c>
      <c r="B116" t="s">
        <v>148</v>
      </c>
      <c r="C116">
        <v>123005484</v>
      </c>
      <c r="D116">
        <v>2019</v>
      </c>
      <c r="F116" t="s">
        <v>405</v>
      </c>
      <c r="G116">
        <v>4</v>
      </c>
      <c r="I116">
        <v>650000</v>
      </c>
      <c r="J116">
        <v>0.193</v>
      </c>
      <c r="M116">
        <v>255000</v>
      </c>
      <c r="N116">
        <v>73.8</v>
      </c>
      <c r="R116" t="s">
        <v>482</v>
      </c>
      <c r="S116" t="s">
        <v>478</v>
      </c>
      <c r="T116" t="s">
        <v>32</v>
      </c>
    </row>
    <row r="117" spans="1:20" x14ac:dyDescent="0.3">
      <c r="A117" t="s">
        <v>206</v>
      </c>
      <c r="B117" t="s">
        <v>148</v>
      </c>
      <c r="C117">
        <v>124235539</v>
      </c>
      <c r="D117">
        <v>2020</v>
      </c>
      <c r="F117" t="s">
        <v>299</v>
      </c>
      <c r="G117">
        <v>6</v>
      </c>
      <c r="I117">
        <v>1450000</v>
      </c>
      <c r="J117">
        <v>0.13300000000000001</v>
      </c>
      <c r="M117">
        <v>149000</v>
      </c>
      <c r="N117">
        <v>73.8</v>
      </c>
      <c r="R117" t="s">
        <v>483</v>
      </c>
      <c r="S117" t="s">
        <v>484</v>
      </c>
      <c r="T117" t="s">
        <v>159</v>
      </c>
    </row>
    <row r="118" spans="1:20" x14ac:dyDescent="0.3">
      <c r="A118" t="s">
        <v>206</v>
      </c>
      <c r="B118" t="s">
        <v>148</v>
      </c>
      <c r="C118">
        <v>125477894</v>
      </c>
      <c r="D118">
        <v>2021</v>
      </c>
      <c r="F118" t="s">
        <v>299</v>
      </c>
      <c r="G118">
        <v>6</v>
      </c>
      <c r="I118">
        <v>3900000</v>
      </c>
      <c r="J118">
        <v>0.13300000000000001</v>
      </c>
      <c r="M118">
        <v>300000</v>
      </c>
      <c r="N118">
        <v>73.8</v>
      </c>
      <c r="R118" t="s">
        <v>485</v>
      </c>
      <c r="S118" t="s">
        <v>484</v>
      </c>
      <c r="T118" t="s">
        <v>159</v>
      </c>
    </row>
    <row r="119" spans="1:20" x14ac:dyDescent="0.3">
      <c r="A119" t="s">
        <v>206</v>
      </c>
      <c r="B119" t="s">
        <v>148</v>
      </c>
      <c r="C119">
        <v>126732673</v>
      </c>
      <c r="D119">
        <v>2022</v>
      </c>
      <c r="F119" t="s">
        <v>299</v>
      </c>
      <c r="G119">
        <v>6</v>
      </c>
      <c r="I119">
        <v>1200000</v>
      </c>
      <c r="J119">
        <v>0.13300000000000001</v>
      </c>
      <c r="M119">
        <v>25000</v>
      </c>
      <c r="N119">
        <v>73.8</v>
      </c>
      <c r="R119" t="s">
        <v>413</v>
      </c>
      <c r="S119" t="s">
        <v>484</v>
      </c>
      <c r="T119" t="s">
        <v>159</v>
      </c>
    </row>
    <row r="120" spans="1:20" x14ac:dyDescent="0.3">
      <c r="A120" t="s">
        <v>206</v>
      </c>
      <c r="B120" t="s">
        <v>148</v>
      </c>
      <c r="C120">
        <v>128000000</v>
      </c>
      <c r="D120">
        <v>2023</v>
      </c>
      <c r="F120" t="s">
        <v>405</v>
      </c>
      <c r="G120">
        <v>4</v>
      </c>
      <c r="I120">
        <v>660000</v>
      </c>
      <c r="J120">
        <v>0.193</v>
      </c>
      <c r="M120">
        <v>260000</v>
      </c>
      <c r="N120">
        <v>73.8</v>
      </c>
      <c r="R120" t="s">
        <v>486</v>
      </c>
      <c r="S120" t="s">
        <v>478</v>
      </c>
      <c r="T120" t="s">
        <v>32</v>
      </c>
    </row>
    <row r="121" spans="1:20" x14ac:dyDescent="0.3">
      <c r="A121" t="s">
        <v>206</v>
      </c>
      <c r="B121" t="s">
        <v>148</v>
      </c>
      <c r="C121">
        <v>129280000</v>
      </c>
      <c r="D121">
        <v>2024</v>
      </c>
      <c r="F121" t="s">
        <v>299</v>
      </c>
      <c r="G121">
        <v>6</v>
      </c>
      <c r="I121">
        <v>250000</v>
      </c>
      <c r="J121">
        <v>0.13300000000000001</v>
      </c>
      <c r="M121">
        <v>460</v>
      </c>
      <c r="N121">
        <v>73.8</v>
      </c>
      <c r="R121" t="s">
        <v>487</v>
      </c>
      <c r="S121" t="s">
        <v>403</v>
      </c>
      <c r="T121" t="s">
        <v>159</v>
      </c>
    </row>
    <row r="122" spans="1:20" x14ac:dyDescent="0.3">
      <c r="A122" t="s">
        <v>206</v>
      </c>
      <c r="B122" t="s">
        <v>148</v>
      </c>
      <c r="C122">
        <v>130572800</v>
      </c>
      <c r="D122">
        <v>2025</v>
      </c>
      <c r="F122" t="s">
        <v>405</v>
      </c>
      <c r="G122">
        <v>4</v>
      </c>
      <c r="I122">
        <v>670000</v>
      </c>
      <c r="J122">
        <v>0.193</v>
      </c>
      <c r="M122">
        <v>265000</v>
      </c>
      <c r="N122">
        <v>73.8</v>
      </c>
      <c r="R122" t="s">
        <v>488</v>
      </c>
      <c r="S122" t="s">
        <v>478</v>
      </c>
      <c r="T122" t="s">
        <v>32</v>
      </c>
    </row>
    <row r="123" spans="1:20" x14ac:dyDescent="0.3">
      <c r="A123" t="s">
        <v>215</v>
      </c>
      <c r="B123" t="s">
        <v>216</v>
      </c>
      <c r="C123">
        <v>21308505</v>
      </c>
      <c r="D123">
        <v>2015</v>
      </c>
      <c r="F123" t="s">
        <v>299</v>
      </c>
      <c r="G123">
        <v>6</v>
      </c>
      <c r="I123">
        <v>29000</v>
      </c>
      <c r="J123">
        <v>0.13300000000000001</v>
      </c>
      <c r="M123">
        <v>25</v>
      </c>
      <c r="N123">
        <v>73.8</v>
      </c>
      <c r="R123" t="s">
        <v>489</v>
      </c>
      <c r="S123" t="s">
        <v>425</v>
      </c>
      <c r="T123" t="s">
        <v>159</v>
      </c>
    </row>
    <row r="124" spans="1:20" x14ac:dyDescent="0.3">
      <c r="A124" t="s">
        <v>215</v>
      </c>
      <c r="B124" t="s">
        <v>216</v>
      </c>
      <c r="C124">
        <v>21393739</v>
      </c>
      <c r="D124">
        <v>2016</v>
      </c>
      <c r="F124" t="s">
        <v>299</v>
      </c>
      <c r="G124">
        <v>6</v>
      </c>
      <c r="I124">
        <v>55000</v>
      </c>
      <c r="J124">
        <v>0.13300000000000001</v>
      </c>
      <c r="M124">
        <v>79</v>
      </c>
      <c r="N124">
        <v>73.8</v>
      </c>
      <c r="R124" t="s">
        <v>490</v>
      </c>
      <c r="S124" t="s">
        <v>491</v>
      </c>
      <c r="T124" t="s">
        <v>159</v>
      </c>
    </row>
    <row r="125" spans="1:20" x14ac:dyDescent="0.3">
      <c r="A125" t="s">
        <v>215</v>
      </c>
      <c r="B125" t="s">
        <v>216</v>
      </c>
      <c r="C125">
        <v>21479314</v>
      </c>
      <c r="D125">
        <v>2017</v>
      </c>
      <c r="F125" t="s">
        <v>405</v>
      </c>
      <c r="G125">
        <v>4</v>
      </c>
      <c r="I125">
        <v>45000</v>
      </c>
      <c r="J125">
        <v>0.193</v>
      </c>
      <c r="M125">
        <v>33000</v>
      </c>
      <c r="N125">
        <v>73.8</v>
      </c>
      <c r="R125" t="s">
        <v>492</v>
      </c>
      <c r="S125" t="s">
        <v>491</v>
      </c>
      <c r="T125" t="s">
        <v>32</v>
      </c>
    </row>
    <row r="126" spans="1:20" x14ac:dyDescent="0.3">
      <c r="A126" t="s">
        <v>215</v>
      </c>
      <c r="B126" t="s">
        <v>216</v>
      </c>
      <c r="C126">
        <v>21565231</v>
      </c>
      <c r="D126">
        <v>2018</v>
      </c>
      <c r="F126" t="s">
        <v>299</v>
      </c>
      <c r="G126">
        <v>6</v>
      </c>
      <c r="I126">
        <v>51000</v>
      </c>
      <c r="J126">
        <v>0.13300000000000001</v>
      </c>
      <c r="M126">
        <v>56</v>
      </c>
      <c r="N126">
        <v>73.8</v>
      </c>
      <c r="R126" t="s">
        <v>493</v>
      </c>
      <c r="S126" t="s">
        <v>425</v>
      </c>
      <c r="T126" t="s">
        <v>159</v>
      </c>
    </row>
    <row r="127" spans="1:20" x14ac:dyDescent="0.3">
      <c r="A127" t="s">
        <v>215</v>
      </c>
      <c r="B127" t="s">
        <v>216</v>
      </c>
      <c r="C127">
        <v>21651492</v>
      </c>
      <c r="D127">
        <v>2019</v>
      </c>
      <c r="F127" t="s">
        <v>405</v>
      </c>
      <c r="G127">
        <v>4</v>
      </c>
      <c r="I127">
        <v>46000</v>
      </c>
      <c r="J127">
        <v>0.193</v>
      </c>
      <c r="M127">
        <v>34000</v>
      </c>
      <c r="N127">
        <v>73.8</v>
      </c>
      <c r="R127" t="s">
        <v>494</v>
      </c>
      <c r="S127" t="s">
        <v>491</v>
      </c>
      <c r="T127" t="s">
        <v>32</v>
      </c>
    </row>
    <row r="128" spans="1:20" x14ac:dyDescent="0.3">
      <c r="A128" t="s">
        <v>215</v>
      </c>
      <c r="B128" t="s">
        <v>216</v>
      </c>
      <c r="C128">
        <v>21738098</v>
      </c>
      <c r="D128">
        <v>2020</v>
      </c>
      <c r="F128" t="s">
        <v>299</v>
      </c>
      <c r="G128">
        <v>6</v>
      </c>
      <c r="I128">
        <v>33000</v>
      </c>
      <c r="J128">
        <v>0.13300000000000001</v>
      </c>
      <c r="M128">
        <v>190</v>
      </c>
      <c r="N128">
        <v>73.8</v>
      </c>
      <c r="R128" t="s">
        <v>495</v>
      </c>
      <c r="S128" t="s">
        <v>496</v>
      </c>
      <c r="T128" t="s">
        <v>159</v>
      </c>
    </row>
    <row r="129" spans="1:20" x14ac:dyDescent="0.3">
      <c r="A129" t="s">
        <v>215</v>
      </c>
      <c r="B129" t="s">
        <v>216</v>
      </c>
      <c r="C129">
        <v>21825050</v>
      </c>
      <c r="D129">
        <v>2021</v>
      </c>
      <c r="F129" t="s">
        <v>299</v>
      </c>
      <c r="G129">
        <v>6</v>
      </c>
      <c r="I129">
        <v>570000</v>
      </c>
      <c r="J129">
        <v>0.13300000000000001</v>
      </c>
      <c r="M129">
        <v>15800</v>
      </c>
      <c r="N129">
        <v>73.8</v>
      </c>
      <c r="R129" t="s">
        <v>497</v>
      </c>
      <c r="S129" t="s">
        <v>496</v>
      </c>
      <c r="T129" t="s">
        <v>159</v>
      </c>
    </row>
    <row r="130" spans="1:20" x14ac:dyDescent="0.3">
      <c r="A130" t="s">
        <v>215</v>
      </c>
      <c r="B130" t="s">
        <v>216</v>
      </c>
      <c r="C130">
        <v>21912351</v>
      </c>
      <c r="D130">
        <v>2022</v>
      </c>
      <c r="F130" t="s">
        <v>420</v>
      </c>
      <c r="G130">
        <v>7</v>
      </c>
      <c r="I130">
        <v>22000000</v>
      </c>
      <c r="J130">
        <v>0.2</v>
      </c>
      <c r="M130">
        <v>0</v>
      </c>
      <c r="N130">
        <v>73.8</v>
      </c>
      <c r="R130" t="s">
        <v>498</v>
      </c>
      <c r="S130" t="s">
        <v>499</v>
      </c>
      <c r="T130" t="s">
        <v>156</v>
      </c>
    </row>
    <row r="131" spans="1:20" x14ac:dyDescent="0.3">
      <c r="A131" t="s">
        <v>215</v>
      </c>
      <c r="B131" t="s">
        <v>216</v>
      </c>
      <c r="C131">
        <v>22000000</v>
      </c>
      <c r="D131">
        <v>2023</v>
      </c>
      <c r="F131" t="s">
        <v>405</v>
      </c>
      <c r="G131">
        <v>4</v>
      </c>
      <c r="I131">
        <v>44000</v>
      </c>
      <c r="J131">
        <v>0.193</v>
      </c>
      <c r="M131">
        <v>32000</v>
      </c>
      <c r="N131">
        <v>73.8</v>
      </c>
      <c r="R131" t="s">
        <v>500</v>
      </c>
      <c r="S131" t="s">
        <v>491</v>
      </c>
      <c r="T131" t="s">
        <v>32</v>
      </c>
    </row>
    <row r="132" spans="1:20" x14ac:dyDescent="0.3">
      <c r="A132" t="s">
        <v>215</v>
      </c>
      <c r="B132" t="s">
        <v>216</v>
      </c>
      <c r="C132">
        <v>22088000</v>
      </c>
      <c r="D132">
        <v>2024</v>
      </c>
      <c r="F132" t="s">
        <v>299</v>
      </c>
      <c r="G132">
        <v>6</v>
      </c>
      <c r="I132">
        <v>40000</v>
      </c>
      <c r="J132">
        <v>0.13300000000000001</v>
      </c>
      <c r="M132">
        <v>40</v>
      </c>
      <c r="N132">
        <v>73.8</v>
      </c>
      <c r="R132" t="s">
        <v>501</v>
      </c>
      <c r="S132" t="s">
        <v>425</v>
      </c>
      <c r="T132" t="s">
        <v>159</v>
      </c>
    </row>
    <row r="133" spans="1:20" x14ac:dyDescent="0.3">
      <c r="A133" t="s">
        <v>215</v>
      </c>
      <c r="B133" t="s">
        <v>216</v>
      </c>
      <c r="C133">
        <v>22176352</v>
      </c>
      <c r="D133">
        <v>2025</v>
      </c>
      <c r="F133" t="s">
        <v>405</v>
      </c>
      <c r="G133">
        <v>4</v>
      </c>
      <c r="I133">
        <v>45000</v>
      </c>
      <c r="J133">
        <v>0.193</v>
      </c>
      <c r="M133">
        <v>33500</v>
      </c>
      <c r="N133">
        <v>73.8</v>
      </c>
      <c r="R133" t="s">
        <v>502</v>
      </c>
      <c r="S133" t="s">
        <v>491</v>
      </c>
      <c r="T133" t="s">
        <v>32</v>
      </c>
    </row>
    <row r="134" spans="1:20" x14ac:dyDescent="0.3">
      <c r="A134" t="s">
        <v>226</v>
      </c>
      <c r="B134" t="s">
        <v>181</v>
      </c>
      <c r="C134">
        <v>70099832</v>
      </c>
      <c r="D134">
        <v>2015</v>
      </c>
      <c r="F134" t="s">
        <v>299</v>
      </c>
      <c r="G134">
        <v>6</v>
      </c>
      <c r="I134">
        <v>145000</v>
      </c>
      <c r="J134">
        <v>0.13300000000000001</v>
      </c>
      <c r="M134">
        <v>141</v>
      </c>
      <c r="N134">
        <v>73.8</v>
      </c>
      <c r="R134" t="s">
        <v>503</v>
      </c>
      <c r="S134" t="s">
        <v>425</v>
      </c>
      <c r="T134" t="s">
        <v>159</v>
      </c>
    </row>
    <row r="135" spans="1:20" x14ac:dyDescent="0.3">
      <c r="A135" t="s">
        <v>226</v>
      </c>
      <c r="B135" t="s">
        <v>181</v>
      </c>
      <c r="C135">
        <v>70310132</v>
      </c>
      <c r="D135">
        <v>2016</v>
      </c>
      <c r="F135" t="s">
        <v>451</v>
      </c>
      <c r="G135">
        <v>6</v>
      </c>
      <c r="I135">
        <v>119000</v>
      </c>
      <c r="J135">
        <v>0.33300000000000002</v>
      </c>
      <c r="M135">
        <v>12000</v>
      </c>
      <c r="N135">
        <v>73.8</v>
      </c>
      <c r="R135" t="s">
        <v>504</v>
      </c>
      <c r="S135" t="s">
        <v>453</v>
      </c>
      <c r="T135" t="s">
        <v>32</v>
      </c>
    </row>
    <row r="136" spans="1:20" x14ac:dyDescent="0.3">
      <c r="A136" t="s">
        <v>226</v>
      </c>
      <c r="B136" t="s">
        <v>181</v>
      </c>
      <c r="C136">
        <v>70521062</v>
      </c>
      <c r="D136">
        <v>2017</v>
      </c>
      <c r="F136" t="s">
        <v>299</v>
      </c>
      <c r="G136">
        <v>6</v>
      </c>
      <c r="I136">
        <v>53000</v>
      </c>
      <c r="J136">
        <v>0.13300000000000001</v>
      </c>
      <c r="M136">
        <v>60</v>
      </c>
      <c r="N136">
        <v>73.8</v>
      </c>
      <c r="R136" t="s">
        <v>505</v>
      </c>
      <c r="S136" t="s">
        <v>425</v>
      </c>
      <c r="T136" t="s">
        <v>159</v>
      </c>
    </row>
    <row r="137" spans="1:20" x14ac:dyDescent="0.3">
      <c r="A137" t="s">
        <v>226</v>
      </c>
      <c r="B137" t="s">
        <v>181</v>
      </c>
      <c r="C137">
        <v>70732626</v>
      </c>
      <c r="D137">
        <v>2018</v>
      </c>
      <c r="F137" t="s">
        <v>451</v>
      </c>
      <c r="G137">
        <v>6</v>
      </c>
      <c r="I137">
        <v>108000</v>
      </c>
      <c r="J137">
        <v>0.33300000000000002</v>
      </c>
      <c r="M137">
        <v>11000</v>
      </c>
      <c r="N137">
        <v>73.8</v>
      </c>
      <c r="R137" t="s">
        <v>506</v>
      </c>
      <c r="S137" t="s">
        <v>453</v>
      </c>
      <c r="T137" t="s">
        <v>32</v>
      </c>
    </row>
    <row r="138" spans="1:20" x14ac:dyDescent="0.3">
      <c r="A138" t="s">
        <v>226</v>
      </c>
      <c r="B138" t="s">
        <v>181</v>
      </c>
      <c r="C138">
        <v>70944823</v>
      </c>
      <c r="D138">
        <v>2019</v>
      </c>
      <c r="F138" t="s">
        <v>299</v>
      </c>
      <c r="G138">
        <v>6</v>
      </c>
      <c r="I138">
        <v>126000</v>
      </c>
      <c r="J138">
        <v>0.13300000000000001</v>
      </c>
      <c r="M138">
        <v>133</v>
      </c>
      <c r="N138">
        <v>73.8</v>
      </c>
      <c r="R138" t="s">
        <v>449</v>
      </c>
      <c r="S138" t="s">
        <v>507</v>
      </c>
      <c r="T138" t="s">
        <v>159</v>
      </c>
    </row>
    <row r="139" spans="1:20" x14ac:dyDescent="0.3">
      <c r="A139" t="s">
        <v>226</v>
      </c>
      <c r="B139" t="s">
        <v>181</v>
      </c>
      <c r="C139">
        <v>71157658</v>
      </c>
      <c r="D139">
        <v>2020</v>
      </c>
      <c r="F139" t="s">
        <v>299</v>
      </c>
      <c r="G139">
        <v>6</v>
      </c>
      <c r="I139">
        <v>4237</v>
      </c>
      <c r="J139">
        <v>0.13300000000000001</v>
      </c>
      <c r="M139">
        <v>60</v>
      </c>
      <c r="N139">
        <v>73.8</v>
      </c>
      <c r="R139" t="s">
        <v>508</v>
      </c>
      <c r="S139" t="s">
        <v>509</v>
      </c>
      <c r="T139" t="s">
        <v>159</v>
      </c>
    </row>
    <row r="140" spans="1:20" x14ac:dyDescent="0.3">
      <c r="A140" t="s">
        <v>226</v>
      </c>
      <c r="B140" t="s">
        <v>181</v>
      </c>
      <c r="C140">
        <v>71371131</v>
      </c>
      <c r="D140">
        <v>2021</v>
      </c>
      <c r="F140" t="s">
        <v>299</v>
      </c>
      <c r="G140">
        <v>6</v>
      </c>
      <c r="I140">
        <v>2240000</v>
      </c>
      <c r="J140">
        <v>0.13300000000000001</v>
      </c>
      <c r="M140">
        <v>21500</v>
      </c>
      <c r="N140">
        <v>73.8</v>
      </c>
      <c r="R140" t="s">
        <v>510</v>
      </c>
      <c r="S140" t="s">
        <v>509</v>
      </c>
      <c r="T140" t="s">
        <v>159</v>
      </c>
    </row>
    <row r="141" spans="1:20" x14ac:dyDescent="0.3">
      <c r="A141" t="s">
        <v>226</v>
      </c>
      <c r="B141" t="s">
        <v>181</v>
      </c>
      <c r="C141">
        <v>71585244</v>
      </c>
      <c r="D141">
        <v>2022</v>
      </c>
      <c r="F141" t="s">
        <v>299</v>
      </c>
      <c r="G141">
        <v>6</v>
      </c>
      <c r="I141">
        <v>2450000</v>
      </c>
      <c r="J141">
        <v>0.13300000000000001</v>
      </c>
      <c r="M141">
        <v>12000</v>
      </c>
      <c r="N141">
        <v>73.8</v>
      </c>
      <c r="R141" t="s">
        <v>413</v>
      </c>
      <c r="S141" t="s">
        <v>509</v>
      </c>
      <c r="T141" t="s">
        <v>159</v>
      </c>
    </row>
    <row r="142" spans="1:20" x14ac:dyDescent="0.3">
      <c r="A142" t="s">
        <v>226</v>
      </c>
      <c r="B142" t="s">
        <v>181</v>
      </c>
      <c r="C142">
        <v>71800000</v>
      </c>
      <c r="D142">
        <v>2023</v>
      </c>
      <c r="F142" t="s">
        <v>451</v>
      </c>
      <c r="G142">
        <v>6</v>
      </c>
      <c r="I142">
        <v>106000</v>
      </c>
      <c r="J142">
        <v>0.33300000000000002</v>
      </c>
      <c r="M142">
        <v>10500</v>
      </c>
      <c r="N142">
        <v>73.8</v>
      </c>
      <c r="R142" t="s">
        <v>511</v>
      </c>
      <c r="S142" t="s">
        <v>453</v>
      </c>
      <c r="T142" t="s">
        <v>32</v>
      </c>
    </row>
    <row r="143" spans="1:20" x14ac:dyDescent="0.3">
      <c r="A143" t="s">
        <v>226</v>
      </c>
      <c r="B143" t="s">
        <v>181</v>
      </c>
      <c r="C143">
        <v>72015400</v>
      </c>
      <c r="D143">
        <v>2024</v>
      </c>
      <c r="F143" t="s">
        <v>299</v>
      </c>
      <c r="G143">
        <v>6</v>
      </c>
      <c r="I143">
        <v>100000</v>
      </c>
      <c r="J143">
        <v>0.13300000000000001</v>
      </c>
      <c r="M143">
        <v>90</v>
      </c>
      <c r="N143">
        <v>73.8</v>
      </c>
      <c r="R143" t="s">
        <v>512</v>
      </c>
      <c r="S143" t="s">
        <v>425</v>
      </c>
      <c r="T143" t="s">
        <v>159</v>
      </c>
    </row>
    <row r="144" spans="1:20" x14ac:dyDescent="0.3">
      <c r="A144" t="s">
        <v>226</v>
      </c>
      <c r="B144" t="s">
        <v>181</v>
      </c>
      <c r="C144">
        <v>72231446</v>
      </c>
      <c r="D144">
        <v>2025</v>
      </c>
      <c r="F144" t="s">
        <v>451</v>
      </c>
      <c r="G144">
        <v>6</v>
      </c>
      <c r="I144">
        <v>102000</v>
      </c>
      <c r="J144">
        <v>0.33300000000000002</v>
      </c>
      <c r="M144">
        <v>10000</v>
      </c>
      <c r="N144">
        <v>73.8</v>
      </c>
      <c r="R144" t="s">
        <v>513</v>
      </c>
      <c r="S144" t="s">
        <v>453</v>
      </c>
      <c r="T144" t="s">
        <v>32</v>
      </c>
    </row>
    <row r="145" spans="1:20" x14ac:dyDescent="0.3">
      <c r="A145" t="s">
        <v>234</v>
      </c>
      <c r="B145" t="s">
        <v>129</v>
      </c>
      <c r="C145">
        <v>11356134</v>
      </c>
      <c r="D145">
        <v>2015</v>
      </c>
      <c r="F145" t="s">
        <v>405</v>
      </c>
      <c r="G145">
        <v>4</v>
      </c>
      <c r="I145">
        <v>26000</v>
      </c>
      <c r="J145">
        <v>0.193</v>
      </c>
      <c r="M145">
        <v>15500</v>
      </c>
      <c r="N145">
        <v>73.8</v>
      </c>
      <c r="R145" t="s">
        <v>514</v>
      </c>
      <c r="S145" t="s">
        <v>515</v>
      </c>
      <c r="T145" t="s">
        <v>32</v>
      </c>
    </row>
    <row r="146" spans="1:20" x14ac:dyDescent="0.3">
      <c r="A146" t="s">
        <v>234</v>
      </c>
      <c r="B146" t="s">
        <v>129</v>
      </c>
      <c r="C146">
        <v>11458339</v>
      </c>
      <c r="D146">
        <v>2016</v>
      </c>
      <c r="F146" t="s">
        <v>405</v>
      </c>
      <c r="G146">
        <v>4</v>
      </c>
      <c r="I146">
        <v>26500</v>
      </c>
      <c r="J146">
        <v>0.193</v>
      </c>
      <c r="M146">
        <v>15800</v>
      </c>
      <c r="N146">
        <v>73.8</v>
      </c>
      <c r="R146" t="s">
        <v>516</v>
      </c>
      <c r="S146" t="s">
        <v>515</v>
      </c>
      <c r="T146" t="s">
        <v>32</v>
      </c>
    </row>
    <row r="147" spans="1:20" x14ac:dyDescent="0.3">
      <c r="A147" t="s">
        <v>234</v>
      </c>
      <c r="B147" t="s">
        <v>129</v>
      </c>
      <c r="C147">
        <v>11561464</v>
      </c>
      <c r="D147">
        <v>2017</v>
      </c>
      <c r="F147" t="s">
        <v>299</v>
      </c>
      <c r="G147">
        <v>6</v>
      </c>
      <c r="I147">
        <v>4200</v>
      </c>
      <c r="J147">
        <v>0.13300000000000001</v>
      </c>
      <c r="M147">
        <v>2</v>
      </c>
      <c r="N147">
        <v>73.8</v>
      </c>
      <c r="R147" t="s">
        <v>517</v>
      </c>
      <c r="S147" t="s">
        <v>425</v>
      </c>
      <c r="T147" t="s">
        <v>159</v>
      </c>
    </row>
    <row r="148" spans="1:20" x14ac:dyDescent="0.3">
      <c r="A148" t="s">
        <v>234</v>
      </c>
      <c r="B148" t="s">
        <v>129</v>
      </c>
      <c r="C148">
        <v>11665517</v>
      </c>
      <c r="D148">
        <v>2018</v>
      </c>
      <c r="F148" t="s">
        <v>405</v>
      </c>
      <c r="G148">
        <v>4</v>
      </c>
      <c r="I148">
        <v>27000</v>
      </c>
      <c r="J148">
        <v>0.193</v>
      </c>
      <c r="M148">
        <v>16000</v>
      </c>
      <c r="N148">
        <v>73.8</v>
      </c>
      <c r="R148" t="s">
        <v>518</v>
      </c>
      <c r="S148" t="s">
        <v>515</v>
      </c>
      <c r="T148" t="s">
        <v>32</v>
      </c>
    </row>
    <row r="149" spans="1:20" x14ac:dyDescent="0.3">
      <c r="A149" t="s">
        <v>234</v>
      </c>
      <c r="B149" t="s">
        <v>129</v>
      </c>
      <c r="C149">
        <v>11770507</v>
      </c>
      <c r="D149">
        <v>2019</v>
      </c>
      <c r="F149" t="s">
        <v>405</v>
      </c>
      <c r="G149">
        <v>4</v>
      </c>
      <c r="I149">
        <v>27500</v>
      </c>
      <c r="J149">
        <v>0.193</v>
      </c>
      <c r="M149">
        <v>16300</v>
      </c>
      <c r="N149">
        <v>73.8</v>
      </c>
      <c r="R149" t="s">
        <v>494</v>
      </c>
      <c r="S149" t="s">
        <v>515</v>
      </c>
      <c r="T149" t="s">
        <v>32</v>
      </c>
    </row>
    <row r="150" spans="1:20" x14ac:dyDescent="0.3">
      <c r="A150" t="s">
        <v>234</v>
      </c>
      <c r="B150" t="s">
        <v>129</v>
      </c>
      <c r="C150">
        <v>11876441</v>
      </c>
      <c r="D150">
        <v>2020</v>
      </c>
      <c r="F150" t="s">
        <v>299</v>
      </c>
      <c r="G150">
        <v>6</v>
      </c>
      <c r="I150">
        <v>131000</v>
      </c>
      <c r="J150">
        <v>0.13300000000000001</v>
      </c>
      <c r="M150">
        <v>4800</v>
      </c>
      <c r="N150">
        <v>73.8</v>
      </c>
      <c r="R150" t="s">
        <v>410</v>
      </c>
      <c r="S150" t="s">
        <v>519</v>
      </c>
      <c r="T150" t="s">
        <v>159</v>
      </c>
    </row>
    <row r="151" spans="1:20" x14ac:dyDescent="0.3">
      <c r="A151" t="s">
        <v>234</v>
      </c>
      <c r="B151" t="s">
        <v>129</v>
      </c>
      <c r="C151">
        <v>11983329</v>
      </c>
      <c r="D151">
        <v>2021</v>
      </c>
      <c r="F151" t="s">
        <v>299</v>
      </c>
      <c r="G151">
        <v>6</v>
      </c>
      <c r="I151">
        <v>590000</v>
      </c>
      <c r="J151">
        <v>0.13300000000000001</v>
      </c>
      <c r="M151">
        <v>21500</v>
      </c>
      <c r="N151">
        <v>73.8</v>
      </c>
      <c r="R151" t="s">
        <v>520</v>
      </c>
      <c r="S151" t="s">
        <v>519</v>
      </c>
      <c r="T151" t="s">
        <v>159</v>
      </c>
    </row>
    <row r="152" spans="1:20" x14ac:dyDescent="0.3">
      <c r="A152" t="s">
        <v>234</v>
      </c>
      <c r="B152" t="s">
        <v>129</v>
      </c>
      <c r="C152">
        <v>12091179</v>
      </c>
      <c r="D152">
        <v>2022</v>
      </c>
      <c r="F152" t="s">
        <v>299</v>
      </c>
      <c r="G152">
        <v>6</v>
      </c>
      <c r="I152">
        <v>220000</v>
      </c>
      <c r="J152">
        <v>0.13300000000000001</v>
      </c>
      <c r="M152">
        <v>1100</v>
      </c>
      <c r="N152">
        <v>73.8</v>
      </c>
      <c r="R152" t="s">
        <v>413</v>
      </c>
      <c r="S152" t="s">
        <v>519</v>
      </c>
      <c r="T152" t="s">
        <v>159</v>
      </c>
    </row>
    <row r="153" spans="1:20" x14ac:dyDescent="0.3">
      <c r="A153" t="s">
        <v>234</v>
      </c>
      <c r="B153" t="s">
        <v>129</v>
      </c>
      <c r="C153">
        <v>12200000</v>
      </c>
      <c r="D153">
        <v>2023</v>
      </c>
      <c r="F153" t="s">
        <v>405</v>
      </c>
      <c r="G153">
        <v>4</v>
      </c>
      <c r="I153">
        <v>28000</v>
      </c>
      <c r="J153">
        <v>0.193</v>
      </c>
      <c r="M153">
        <v>16600</v>
      </c>
      <c r="N153">
        <v>73.8</v>
      </c>
      <c r="R153" t="s">
        <v>486</v>
      </c>
      <c r="S153" t="s">
        <v>515</v>
      </c>
      <c r="T153" t="s">
        <v>32</v>
      </c>
    </row>
    <row r="154" spans="1:20" x14ac:dyDescent="0.3">
      <c r="A154" t="s">
        <v>234</v>
      </c>
      <c r="B154" t="s">
        <v>129</v>
      </c>
      <c r="C154">
        <v>12309800</v>
      </c>
      <c r="D154">
        <v>2024</v>
      </c>
      <c r="F154" t="s">
        <v>405</v>
      </c>
      <c r="G154">
        <v>4</v>
      </c>
      <c r="I154">
        <v>28300</v>
      </c>
      <c r="J154">
        <v>0.193</v>
      </c>
      <c r="M154">
        <v>16800</v>
      </c>
      <c r="N154">
        <v>73.8</v>
      </c>
      <c r="R154" t="s">
        <v>521</v>
      </c>
      <c r="S154" t="s">
        <v>515</v>
      </c>
      <c r="T154" t="s">
        <v>32</v>
      </c>
    </row>
    <row r="155" spans="1:20" x14ac:dyDescent="0.3">
      <c r="A155" t="s">
        <v>234</v>
      </c>
      <c r="B155" t="s">
        <v>129</v>
      </c>
      <c r="C155">
        <v>12420588</v>
      </c>
      <c r="D155">
        <v>2025</v>
      </c>
      <c r="F155" t="s">
        <v>405</v>
      </c>
      <c r="G155">
        <v>4</v>
      </c>
      <c r="I155">
        <v>28500</v>
      </c>
      <c r="J155">
        <v>0.193</v>
      </c>
      <c r="M155">
        <v>17000</v>
      </c>
      <c r="N155">
        <v>73.8</v>
      </c>
      <c r="R155" t="s">
        <v>502</v>
      </c>
      <c r="S155" t="s">
        <v>515</v>
      </c>
      <c r="T155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zoomScaleNormal="100" workbookViewId="0"/>
  </sheetViews>
  <sheetFormatPr defaultColWidth="8.6640625" defaultRowHeight="14.4" x14ac:dyDescent="0.3"/>
  <cols>
    <col min="1" max="1" width="20" customWidth="1"/>
    <col min="2" max="2" width="90" customWidth="1"/>
    <col min="3" max="3" width="45" customWidth="1"/>
    <col min="4" max="4" width="70" customWidth="1"/>
  </cols>
  <sheetData>
    <row r="1" spans="1:4" x14ac:dyDescent="0.3">
      <c r="A1" s="1" t="s">
        <v>522</v>
      </c>
      <c r="B1" s="1" t="s">
        <v>523</v>
      </c>
      <c r="C1" s="1" t="s">
        <v>524</v>
      </c>
      <c r="D1" s="1" t="s">
        <v>525</v>
      </c>
    </row>
    <row r="2" spans="1:4" x14ac:dyDescent="0.3">
      <c r="A2" s="2" t="s">
        <v>28</v>
      </c>
      <c r="B2" s="2" t="s">
        <v>526</v>
      </c>
      <c r="C2" s="2" t="s">
        <v>527</v>
      </c>
      <c r="D2" s="2" t="s">
        <v>528</v>
      </c>
    </row>
    <row r="3" spans="1:4" x14ac:dyDescent="0.3">
      <c r="A3" s="2" t="s">
        <v>163</v>
      </c>
      <c r="B3" s="2" t="s">
        <v>529</v>
      </c>
      <c r="C3" s="2" t="s">
        <v>530</v>
      </c>
      <c r="D3" s="2" t="s">
        <v>531</v>
      </c>
    </row>
    <row r="4" spans="1:4" x14ac:dyDescent="0.3">
      <c r="A4" s="2" t="s">
        <v>32</v>
      </c>
      <c r="B4" s="2" t="s">
        <v>532</v>
      </c>
      <c r="C4" s="2" t="s">
        <v>533</v>
      </c>
      <c r="D4" s="2" t="s">
        <v>534</v>
      </c>
    </row>
    <row r="5" spans="1:4" x14ac:dyDescent="0.3">
      <c r="A5" s="2" t="s">
        <v>159</v>
      </c>
      <c r="B5" s="2" t="s">
        <v>535</v>
      </c>
      <c r="C5" s="2" t="s">
        <v>536</v>
      </c>
      <c r="D5" s="2" t="s">
        <v>537</v>
      </c>
    </row>
    <row r="6" spans="1:4" x14ac:dyDescent="0.3">
      <c r="A6" s="2" t="s">
        <v>155</v>
      </c>
      <c r="B6" s="2" t="s">
        <v>538</v>
      </c>
      <c r="C6" s="2" t="s">
        <v>539</v>
      </c>
      <c r="D6" s="2" t="s">
        <v>540</v>
      </c>
    </row>
    <row r="7" spans="1:4" x14ac:dyDescent="0.3">
      <c r="A7" s="2" t="s">
        <v>158</v>
      </c>
      <c r="B7" s="2" t="s">
        <v>541</v>
      </c>
      <c r="C7" s="2" t="s">
        <v>542</v>
      </c>
      <c r="D7" s="2" t="s">
        <v>543</v>
      </c>
    </row>
    <row r="8" spans="1:4" x14ac:dyDescent="0.3">
      <c r="A8" s="2" t="s">
        <v>35</v>
      </c>
      <c r="B8" s="2" t="s">
        <v>544</v>
      </c>
      <c r="C8" s="2" t="s">
        <v>545</v>
      </c>
      <c r="D8" s="2" t="s">
        <v>546</v>
      </c>
    </row>
    <row r="9" spans="1:4" x14ac:dyDescent="0.3">
      <c r="A9" s="2" t="s">
        <v>547</v>
      </c>
      <c r="B9" s="2" t="s">
        <v>548</v>
      </c>
      <c r="C9" s="2" t="s">
        <v>549</v>
      </c>
      <c r="D9" s="2" t="s">
        <v>550</v>
      </c>
    </row>
    <row r="10" spans="1:4" x14ac:dyDescent="0.3">
      <c r="A10" s="2" t="s">
        <v>150</v>
      </c>
      <c r="B10" s="2" t="s">
        <v>551</v>
      </c>
      <c r="C10" s="2" t="s">
        <v>552</v>
      </c>
      <c r="D10" s="2" t="s">
        <v>553</v>
      </c>
    </row>
    <row r="11" spans="1:4" x14ac:dyDescent="0.3">
      <c r="A11" s="2" t="s">
        <v>156</v>
      </c>
      <c r="B11" s="2" t="s">
        <v>554</v>
      </c>
      <c r="C11" s="2" t="s">
        <v>555</v>
      </c>
      <c r="D11" s="2" t="s">
        <v>556</v>
      </c>
    </row>
    <row r="12" spans="1:4" x14ac:dyDescent="0.3">
      <c r="A12" s="2" t="s">
        <v>453</v>
      </c>
      <c r="B12" s="2" t="s">
        <v>557</v>
      </c>
      <c r="C12" s="2" t="s">
        <v>558</v>
      </c>
      <c r="D12" s="2" t="s">
        <v>559</v>
      </c>
    </row>
    <row r="13" spans="1:4" x14ac:dyDescent="0.3">
      <c r="A13" s="2" t="s">
        <v>419</v>
      </c>
      <c r="B13" s="2" t="s">
        <v>560</v>
      </c>
      <c r="C13" s="2" t="s">
        <v>561</v>
      </c>
      <c r="D13" s="2" t="s">
        <v>562</v>
      </c>
    </row>
    <row r="14" spans="1:4" x14ac:dyDescent="0.3">
      <c r="A14" s="2" t="s">
        <v>373</v>
      </c>
      <c r="B14" s="2" t="s">
        <v>563</v>
      </c>
      <c r="C14" s="2" t="s">
        <v>564</v>
      </c>
      <c r="D14" s="2" t="s">
        <v>565</v>
      </c>
    </row>
    <row r="15" spans="1:4" x14ac:dyDescent="0.3">
      <c r="A15" s="2" t="s">
        <v>403</v>
      </c>
      <c r="B15" s="2" t="s">
        <v>566</v>
      </c>
      <c r="C15" s="2" t="s">
        <v>567</v>
      </c>
      <c r="D15" s="2" t="s">
        <v>568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GTBI Panel</vt:lpstr>
      <vt:lpstr>Notes and Formula</vt:lpstr>
      <vt:lpstr>Severity Scale</vt:lpstr>
      <vt:lpstr>Public Health Threats</vt:lpstr>
      <vt:lpstr>APA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Luke Igweobi</cp:lastModifiedBy>
  <cp:revision>0</cp:revision>
  <dcterms:created xsi:type="dcterms:W3CDTF">2026-07-23T19:42:30Z</dcterms:created>
  <dcterms:modified xsi:type="dcterms:W3CDTF">2026-07-23T19:56:03Z</dcterms:modified>
  <dc:language>en-US</dc:language>
</cp:coreProperties>
</file>