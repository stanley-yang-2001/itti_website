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S" sheetId="1" r:id="rId5"/>
    <sheet state="visible" name="TIE" sheetId="2" r:id="rId6"/>
    <sheet state="visible" name="PDL" sheetId="3" r:id="rId7"/>
    <sheet state="visible" name="ITS" sheetId="4" r:id="rId8"/>
    <sheet state="visible" name="ETTI" sheetId="5" r:id="rId9"/>
    <sheet state="visible" name="Methodology" sheetId="6" r:id="rId10"/>
  </sheets>
  <definedNames/>
  <calcPr/>
</workbook>
</file>

<file path=xl/sharedStrings.xml><?xml version="1.0" encoding="utf-8"?>
<sst xmlns="http://schemas.openxmlformats.org/spreadsheetml/2006/main" count="671" uniqueCount="110">
  <si>
    <t>Election Violence &amp; Security (EVS) Module</t>
  </si>
  <si>
    <t>EVS = 0.40(D) + 0.25(I) + 0.20(K) + 0.15(A) — each sub-variable min-max normalized 0-1 across the dataset before weighting.</t>
  </si>
  <si>
    <t>Country</t>
  </si>
  <si>
    <t>Election Year</t>
  </si>
  <si>
    <t>Year Range</t>
  </si>
  <si>
    <t>Deaths (D)</t>
  </si>
  <si>
    <t>Injuries (I)</t>
  </si>
  <si>
    <t>Kidnappings (K)</t>
  </si>
  <si>
    <t>Attacks/Incidents (A)</t>
  </si>
  <si>
    <t>Source / Basis</t>
  </si>
  <si>
    <t>D norm</t>
  </si>
  <si>
    <t>I norm</t>
  </si>
  <si>
    <t>K norm</t>
  </si>
  <si>
    <t>A norm</t>
  </si>
  <si>
    <t>EVS Score (0-1)</t>
  </si>
  <si>
    <t>Mexico</t>
  </si>
  <si>
    <t>2024 General Election (2 Jun 2024)</t>
  </si>
  <si>
    <t>January 1st 2023 to December 31st 2024</t>
  </si>
  <si>
    <t>N/A</t>
  </si>
  <si>
    <t>ACLED</t>
  </si>
  <si>
    <t>2021 Federal Midterm Election (6 Jun 2021)</t>
  </si>
  <si>
    <t>January 1st 2020 to December 31st 2021</t>
  </si>
  <si>
    <t>Nigeria</t>
  </si>
  <si>
    <t>2023 General Election (25 Feb 2023)</t>
  </si>
  <si>
    <t>January 1st 2022 to December 31st 2023</t>
  </si>
  <si>
    <t>2019 General Election (23 Feb 2019)</t>
  </si>
  <si>
    <t>January 1st 2018 to December 31st 2019</t>
  </si>
  <si>
    <t>Kenya</t>
  </si>
  <si>
    <t>2022 General Election (9 Aug 2022)</t>
  </si>
  <si>
    <t>January 1st 2021 to December 31st 2022</t>
  </si>
  <si>
    <t>2017 General Election (8 Aug / rerun 26 Oct 2017)</t>
  </si>
  <si>
    <t>January 1st 2016 to December 31st 2017</t>
  </si>
  <si>
    <t>Indonesia</t>
  </si>
  <si>
    <t>2024 General Election (14 Feb 2024)</t>
  </si>
  <si>
    <t>2019 General Election (17 Apr 2019)</t>
  </si>
  <si>
    <t>South Africa</t>
  </si>
  <si>
    <t>2024 General Election (29 May 2024)</t>
  </si>
  <si>
    <t>2019 General Election (8 May 2019)</t>
  </si>
  <si>
    <t>United States</t>
  </si>
  <si>
    <t>2024 Presidential Election (5 Nov 2024)</t>
  </si>
  <si>
    <t>2020 Presidential Election (3 Nov 2020)</t>
  </si>
  <si>
    <t>January 1st 2019 to December 31st 2020</t>
  </si>
  <si>
    <t>Brazil</t>
  </si>
  <si>
    <t>2022 General Election (2 / 30 Oct 2022)</t>
  </si>
  <si>
    <t>2018 General Election (7 / 28 Oct 2018)</t>
  </si>
  <si>
    <t>January 1st 2017 to December 31st 2018</t>
  </si>
  <si>
    <t>India</t>
  </si>
  <si>
    <t>2024 Lok Sabha Election (19 Apr - 1 Jun 2024)</t>
  </si>
  <si>
    <t>2019 Lok Sabha Election (11 Apr - 19 May 2019)</t>
  </si>
  <si>
    <t>Tunisia</t>
  </si>
  <si>
    <t>2024 Presidential Election (6 Oct 2024)</t>
  </si>
  <si>
    <t>2022 Parliamentary Election (17 Dec 2022 / 29 Jan 2023)</t>
  </si>
  <si>
    <t>Israel</t>
  </si>
  <si>
    <t>2022 Legislative Election (1 Nov 2022)</t>
  </si>
  <si>
    <t>2021 Legislative Election (23 Mar 2021)</t>
  </si>
  <si>
    <t>Sri Lanka</t>
  </si>
  <si>
    <t>2024 Parliamentary Election (14 Nov 2024)</t>
  </si>
  <si>
    <t>2024 Presidential Election (21 Sep 2024)</t>
  </si>
  <si>
    <t>Thailand</t>
  </si>
  <si>
    <t>2023 General Election (14 May 2023)</t>
  </si>
  <si>
    <t>2019 General Election (24 Mar 2019)</t>
  </si>
  <si>
    <t>Ghana</t>
  </si>
  <si>
    <t>2024 General Election (7 Dec 2024)</t>
  </si>
  <si>
    <t>2020 General Election (7 Dec 2020)</t>
  </si>
  <si>
    <t>Iran</t>
  </si>
  <si>
    <t>2024 Presidential Election (28 Jun / 5 Jul 2024)</t>
  </si>
  <si>
    <t>2021 Presidential Election (18 Jun 2021)</t>
  </si>
  <si>
    <t>Congo</t>
  </si>
  <si>
    <t>2026 Presidential Election (15 Mar 2026)</t>
  </si>
  <si>
    <t>January 1st 2025 to December 31st 2026</t>
  </si>
  <si>
    <t>2021 Presidential Election (21 Mar 2021)</t>
  </si>
  <si>
    <t>Threats, Intimidation &amp; Election-Related Coercion (TIE) Module</t>
  </si>
  <si>
    <t>TIE = 0.30(P) + 0.25(T) + 0.25(H) + 0.20(R) — P/T/H/R are Estimated Severity Index (ESI, 0-10) unless a real count is cited; normalized 0-1 across the dataset.</t>
  </si>
  <si>
    <t>Political Intimidation (P)</t>
  </si>
  <si>
    <t>Threats to Candidates/Press/Voters (T)</t>
  </si>
  <si>
    <t>Harassment (H)</t>
  </si>
  <si>
    <t>Politically-Motivated Arrests/Detentions (R)</t>
  </si>
  <si>
    <t>P norm</t>
  </si>
  <si>
    <t>T norm</t>
  </si>
  <si>
    <t>H norm</t>
  </si>
  <si>
    <t>R norm</t>
  </si>
  <si>
    <t>TIE Score (0-1)</t>
  </si>
  <si>
    <t>Public Distress Load (PDL) Module</t>
  </si>
  <si>
    <t>PDL = 0.55(G) + 0.45(S) — G/S are Estimated Severity Index (ESI, 0-10) proxies for search-interest / societal-distress signals; normalized 0-1 across the dataset.</t>
  </si>
  <si>
    <t>Search/Media Distress Signal (G)</t>
  </si>
  <si>
    <t>Societal Distress Composite (S)</t>
  </si>
  <si>
    <t>G norm</t>
  </si>
  <si>
    <t>S norm</t>
  </si>
  <si>
    <t>PDL Score (0-1)</t>
  </si>
  <si>
    <t>Institutional Trust Shock (ITS) Module</t>
  </si>
  <si>
    <t>ITS = 0.30(C) + 0.25(L) + 0.25(P) + 0.20(S) — Court Challenges (C), Legal Disputes (L), Protests (P), Security Interventions (S); counts where cited, else Estimated Severity Index 0-10; normalized 0-1 across the dataset.</t>
  </si>
  <si>
    <t>Court Challenges (C)</t>
  </si>
  <si>
    <t>Legal Disputes (L)</t>
  </si>
  <si>
    <t>Protests (P)</t>
  </si>
  <si>
    <t>Security Interventions (S)</t>
  </si>
  <si>
    <t>C norm</t>
  </si>
  <si>
    <t>L norm</t>
  </si>
  <si>
    <t>ITS Score (0-1)</t>
  </si>
  <si>
    <t>Election Trauma Temperature Index (ETTI) — Composite Scores</t>
  </si>
  <si>
    <t>ETTI = 100 x [0.30xEVS + 0.20xTIE + 0.30xPDL + 0.20xITS]. Scale: 0-100.</t>
  </si>
  <si>
    <t>EVS (0-1)</t>
  </si>
  <si>
    <t>TIE (0-1)</t>
  </si>
  <si>
    <t>PDL (0-1)</t>
  </si>
  <si>
    <t>ITS (0-1)</t>
  </si>
  <si>
    <t>ETTI (0-100)</t>
  </si>
  <si>
    <t>Category</t>
  </si>
  <si>
    <r>
      <rPr>
        <rFont val="Calibri"/>
        <color theme="1"/>
      </rPr>
      <t xml:space="preserve">EVS: </t>
    </r>
    <r>
      <rPr>
        <rFont val="Calibri"/>
        <b/>
        <color theme="1"/>
      </rPr>
      <t>Death</t>
    </r>
    <r>
      <rPr>
        <rFont val="Calibri"/>
        <color theme="1"/>
      </rPr>
      <t xml:space="preserve"> gathered from fatalities for all event type in the specified time range. </t>
    </r>
    <r>
      <rPr>
        <rFont val="Calibri"/>
        <b/>
        <color theme="1"/>
      </rPr>
      <t xml:space="preserve">Injuries </t>
    </r>
    <r>
      <rPr>
        <rFont val="Calibri"/>
        <color theme="1"/>
      </rPr>
      <t xml:space="preserve">data cannot be found. </t>
    </r>
    <r>
      <rPr>
        <rFont val="Calibri"/>
        <b/>
        <color theme="1"/>
      </rPr>
      <t>Kidnappings</t>
    </r>
    <r>
      <rPr>
        <rFont val="Calibri"/>
        <color theme="1"/>
      </rPr>
      <t xml:space="preserve"> filled with Abduction/forced disappearance. </t>
    </r>
    <r>
      <rPr>
        <rFont val="Calibri"/>
        <b/>
        <color theme="1"/>
      </rPr>
      <t>Attack/arson</t>
    </r>
    <r>
      <rPr>
        <rFont val="Calibri"/>
        <color theme="1"/>
      </rPr>
      <t xml:space="preserve"> filled with the count of all event type except Protest with intervention, Distruptive weapon use, and Non-violent transfer of territory</t>
    </r>
  </si>
  <si>
    <r>
      <rPr>
        <rFont val="Calibri"/>
        <color theme="1"/>
      </rPr>
      <t xml:space="preserve">TIE: All data gathered by total count of event type. </t>
    </r>
    <r>
      <rPr>
        <rFont val="Calibri"/>
        <b/>
        <color theme="1"/>
      </rPr>
      <t xml:space="preserve">Political intimidation </t>
    </r>
    <r>
      <rPr>
        <rFont val="Calibri"/>
        <color theme="1"/>
      </rPr>
      <t xml:space="preserve">gathered from Attack, Mob violence, Violent demonstration, Excessive force against protesters.  </t>
    </r>
    <r>
      <rPr>
        <rFont val="Calibri"/>
        <b/>
        <color theme="1"/>
      </rPr>
      <t>Threats</t>
    </r>
    <r>
      <rPr>
        <rFont val="Calibri"/>
        <color theme="1"/>
      </rPr>
      <t xml:space="preserve"> is gathered from Abduction/forced disappearance, Remote explosive/landmine/IED, Suicide bomb, Chemical weapon, Grenade.  </t>
    </r>
    <r>
      <rPr>
        <rFont val="Calibri"/>
        <b/>
        <color theme="1"/>
      </rPr>
      <t>Harrasement</t>
    </r>
    <r>
      <rPr>
        <rFont val="Calibri"/>
        <color theme="1"/>
      </rPr>
      <t xml:space="preserve"> gathered from Looting/property destruction and Sexual violence. </t>
    </r>
    <r>
      <rPr>
        <rFont val="Calibri"/>
        <b/>
        <color theme="1"/>
      </rPr>
      <t>Politically-Motivated</t>
    </r>
    <r>
      <rPr>
        <rFont val="Calibri"/>
        <color theme="1"/>
      </rPr>
      <t xml:space="preserve"> </t>
    </r>
    <r>
      <rPr>
        <rFont val="Calibri"/>
        <b/>
        <color theme="1"/>
      </rPr>
      <t>Arrest/Detention</t>
    </r>
    <r>
      <rPr>
        <rFont val="Calibri"/>
        <color theme="1"/>
      </rPr>
      <t xml:space="preserve"> gathered from Arrest.</t>
    </r>
  </si>
  <si>
    <r>
      <rPr>
        <rFont val="Calibri"/>
        <color theme="1"/>
      </rPr>
      <t xml:space="preserve">PDL: All data gathered by total count of event type. </t>
    </r>
    <r>
      <rPr>
        <rFont val="Calibri"/>
        <b/>
        <color theme="1"/>
      </rPr>
      <t xml:space="preserve">Search/Media Distress Signal </t>
    </r>
    <r>
      <rPr>
        <rFont val="Calibri"/>
        <color theme="1"/>
      </rPr>
      <t xml:space="preserve">gathered from Violent demonstration, Protest with intervention, Change to group/activity, and Disrupted weapons use. </t>
    </r>
    <r>
      <rPr>
        <rFont val="Calibri"/>
        <b/>
        <color theme="1"/>
      </rPr>
      <t>Societal Distress Composite</t>
    </r>
    <r>
      <rPr>
        <rFont val="Calibri"/>
        <color theme="1"/>
      </rPr>
      <t xml:space="preserve"> gathered from Abduction/forced disappearance, Looting/property destruction, Mob violence, Excessive force against protesters, Sexual violence, Arrests</t>
    </r>
  </si>
  <si>
    <r>
      <rPr>
        <rFont val="Calibri"/>
        <color theme="1"/>
      </rPr>
      <t xml:space="preserve">ITS: All data except court challenges and legal disputes gathered from total count of event type. </t>
    </r>
    <r>
      <rPr>
        <rFont val="Calibri"/>
        <b/>
        <color theme="1"/>
      </rPr>
      <t xml:space="preserve">Protest </t>
    </r>
    <r>
      <rPr>
        <rFont val="Calibri"/>
        <color theme="1"/>
      </rPr>
      <t xml:space="preserve">gathered from Peaceful protest and Violent demonstration. </t>
    </r>
    <r>
      <rPr>
        <rFont val="Calibri"/>
        <b/>
        <color theme="1"/>
      </rPr>
      <t xml:space="preserve">Security intervention </t>
    </r>
    <r>
      <rPr>
        <rFont val="Calibri"/>
        <color theme="1"/>
      </rPr>
      <t>gathered from Attack and Protest with intervention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</si>
</sst>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theme="1"/>
      <name val="Arial"/>
    </font>
    <font>
      <i/>
      <sz val="9.0"/>
      <color rgb="FF555555"/>
      <name val="Arial"/>
    </font>
    <font>
      <sz val="11.0"/>
      <color theme="1"/>
      <name val="Calibri"/>
    </font>
    <font>
      <b/>
      <sz val="11.0"/>
      <color rgb="FFFFFFFF"/>
      <name val="Arial"/>
    </font>
    <font>
      <sz val="10.0"/>
      <color theme="1"/>
      <name val="Arial"/>
    </font>
    <font>
      <color theme="1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shrinkToFit="0" vertical="center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right" vertical="bottom"/>
    </xf>
    <xf borderId="0" fillId="0" fontId="7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42.0"/>
    <col customWidth="1" min="3" max="3" width="36.86"/>
    <col customWidth="1" min="4" max="13" width="20.0"/>
    <col customWidth="1" min="14" max="26" width="8.71"/>
  </cols>
  <sheetData>
    <row r="1" ht="15.0" customHeight="1">
      <c r="A1" s="1" t="s">
        <v>0</v>
      </c>
    </row>
    <row r="2" ht="15.0" customHeight="1">
      <c r="A2" s="2" t="s">
        <v>1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26.25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5" ht="15.0" customHeight="1">
      <c r="A5" s="5" t="s">
        <v>15</v>
      </c>
      <c r="B5" s="5" t="s">
        <v>16</v>
      </c>
      <c r="C5" s="5" t="s">
        <v>17</v>
      </c>
      <c r="D5" s="6">
        <v>15654.0</v>
      </c>
      <c r="E5" s="6" t="s">
        <v>18</v>
      </c>
      <c r="F5" s="6">
        <v>459.0</v>
      </c>
      <c r="G5" s="6">
        <v>16477.0</v>
      </c>
      <c r="H5" s="6" t="s">
        <v>19</v>
      </c>
      <c r="I5" s="7">
        <f t="shared" ref="I5:I34" si="1">(D5-min($D$5:$D$34))/(max($D$5:$D$34)-min($D$5:$D$34))</f>
        <v>0.7972580399</v>
      </c>
      <c r="J5" s="7" t="str">
        <f t="shared" ref="J5:J34" si="2">(E5-min($E$5:$E$34))/(max($E$5:$E$34)-min($E$5:$E$34))</f>
        <v>#VALUE!</v>
      </c>
      <c r="K5" s="7">
        <f t="shared" ref="K5:K34" si="3">(F5-min($F$5:$F$34))/(max($F$5:$F$34)-min($F$5:$F$34))</f>
        <v>0.3834586466</v>
      </c>
      <c r="L5" s="7">
        <f t="shared" ref="L5:L34" si="4">(G5-min($G$5:$G$34))/(max($G$5:$G$34)-min($G$5:$G$34))</f>
        <v>0.8688152759</v>
      </c>
      <c r="M5" s="7" t="str">
        <f t="shared" ref="M5:M34" si="5">0.4*I5+0.25*J5+0.2*K5+0.15*L5</f>
        <v>#VALUE!</v>
      </c>
    </row>
    <row r="6" ht="15.0" customHeight="1">
      <c r="A6" s="5" t="s">
        <v>15</v>
      </c>
      <c r="B6" s="5" t="s">
        <v>20</v>
      </c>
      <c r="C6" s="5" t="s">
        <v>21</v>
      </c>
      <c r="D6" s="6">
        <v>16667.0</v>
      </c>
      <c r="E6" s="6" t="s">
        <v>18</v>
      </c>
      <c r="F6" s="6">
        <v>362.0</v>
      </c>
      <c r="G6" s="6">
        <v>16279.0</v>
      </c>
      <c r="H6" s="6" t="s">
        <v>19</v>
      </c>
      <c r="I6" s="7">
        <f t="shared" si="1"/>
        <v>0.8488863972</v>
      </c>
      <c r="J6" s="7" t="str">
        <f t="shared" si="2"/>
        <v>#VALUE!</v>
      </c>
      <c r="K6" s="7">
        <f t="shared" si="3"/>
        <v>0.3024227235</v>
      </c>
      <c r="L6" s="7">
        <f t="shared" si="4"/>
        <v>0.8583711362</v>
      </c>
      <c r="M6" s="7" t="str">
        <f t="shared" si="5"/>
        <v>#VALUE!</v>
      </c>
    </row>
    <row r="7" ht="15.0" customHeight="1">
      <c r="A7" s="5" t="s">
        <v>22</v>
      </c>
      <c r="B7" s="5" t="s">
        <v>23</v>
      </c>
      <c r="C7" s="5" t="s">
        <v>24</v>
      </c>
      <c r="D7" s="6">
        <v>19632.0</v>
      </c>
      <c r="E7" s="6" t="s">
        <v>18</v>
      </c>
      <c r="F7" s="6">
        <v>1197.0</v>
      </c>
      <c r="G7" s="6">
        <v>7994.0</v>
      </c>
      <c r="H7" s="6" t="s">
        <v>19</v>
      </c>
      <c r="I7" s="7">
        <f t="shared" si="1"/>
        <v>1</v>
      </c>
      <c r="J7" s="7" t="str">
        <f t="shared" si="2"/>
        <v>#VALUE!</v>
      </c>
      <c r="K7" s="7">
        <f t="shared" si="3"/>
        <v>1</v>
      </c>
      <c r="L7" s="7">
        <f t="shared" si="4"/>
        <v>0.4213524633</v>
      </c>
      <c r="M7" s="7" t="str">
        <f t="shared" si="5"/>
        <v>#VALUE!</v>
      </c>
    </row>
    <row r="8" ht="15.0" customHeight="1">
      <c r="A8" s="5" t="s">
        <v>22</v>
      </c>
      <c r="B8" s="5" t="s">
        <v>25</v>
      </c>
      <c r="C8" s="5" t="s">
        <v>26</v>
      </c>
      <c r="D8" s="6">
        <v>11823.0</v>
      </c>
      <c r="E8" s="6" t="s">
        <v>18</v>
      </c>
      <c r="F8" s="6">
        <v>193.0</v>
      </c>
      <c r="G8" s="6">
        <v>3366.0</v>
      </c>
      <c r="H8" s="6" t="s">
        <v>19</v>
      </c>
      <c r="I8" s="7">
        <f t="shared" si="1"/>
        <v>0.6020080526</v>
      </c>
      <c r="J8" s="7" t="str">
        <f t="shared" si="2"/>
        <v>#VALUE!</v>
      </c>
      <c r="K8" s="7">
        <f t="shared" si="3"/>
        <v>0.1612364244</v>
      </c>
      <c r="L8" s="7">
        <f t="shared" si="4"/>
        <v>0.1772338854</v>
      </c>
      <c r="M8" s="7" t="str">
        <f t="shared" si="5"/>
        <v>#VALUE!</v>
      </c>
    </row>
    <row r="9" ht="15.0" customHeight="1">
      <c r="A9" s="5" t="s">
        <v>27</v>
      </c>
      <c r="B9" s="5" t="s">
        <v>28</v>
      </c>
      <c r="C9" s="5" t="s">
        <v>29</v>
      </c>
      <c r="D9" s="6">
        <v>1196.0</v>
      </c>
      <c r="E9" s="6" t="s">
        <v>18</v>
      </c>
      <c r="F9" s="6">
        <v>61.0</v>
      </c>
      <c r="G9" s="6">
        <v>1800.0</v>
      </c>
      <c r="H9" s="6" t="s">
        <v>19</v>
      </c>
      <c r="I9" s="7">
        <f t="shared" si="1"/>
        <v>0.06039447531</v>
      </c>
      <c r="J9" s="7" t="str">
        <f t="shared" si="2"/>
        <v>#VALUE!</v>
      </c>
      <c r="K9" s="7">
        <f t="shared" si="3"/>
        <v>0.05096073517</v>
      </c>
      <c r="L9" s="7">
        <f t="shared" si="4"/>
        <v>0.09463023526</v>
      </c>
      <c r="M9" s="7" t="str">
        <f t="shared" si="5"/>
        <v>#VALUE!</v>
      </c>
    </row>
    <row r="10" ht="15.0" customHeight="1">
      <c r="A10" s="5" t="s">
        <v>27</v>
      </c>
      <c r="B10" s="5" t="s">
        <v>30</v>
      </c>
      <c r="C10" s="5" t="s">
        <v>31</v>
      </c>
      <c r="D10" s="6">
        <v>1010.0</v>
      </c>
      <c r="E10" s="6" t="s">
        <v>18</v>
      </c>
      <c r="F10" s="6">
        <v>7.0</v>
      </c>
      <c r="G10" s="6">
        <v>1003.0</v>
      </c>
      <c r="H10" s="6" t="s">
        <v>19</v>
      </c>
      <c r="I10" s="7">
        <f t="shared" si="1"/>
        <v>0.05091483614</v>
      </c>
      <c r="J10" s="7" t="str">
        <f t="shared" si="2"/>
        <v>#VALUE!</v>
      </c>
      <c r="K10" s="7">
        <f t="shared" si="3"/>
        <v>0.005847953216</v>
      </c>
      <c r="L10" s="7">
        <f t="shared" si="4"/>
        <v>0.05258993565</v>
      </c>
      <c r="M10" s="7" t="str">
        <f t="shared" si="5"/>
        <v>#VALUE!</v>
      </c>
    </row>
    <row r="11" ht="15.0" customHeight="1">
      <c r="A11" s="5" t="s">
        <v>32</v>
      </c>
      <c r="B11" s="5" t="s">
        <v>33</v>
      </c>
      <c r="C11" s="5" t="s">
        <v>17</v>
      </c>
      <c r="D11" s="6">
        <v>384.0</v>
      </c>
      <c r="E11" s="6" t="s">
        <v>18</v>
      </c>
      <c r="F11" s="6">
        <v>11.0</v>
      </c>
      <c r="G11" s="6">
        <v>1345.0</v>
      </c>
      <c r="H11" s="6" t="s">
        <v>19</v>
      </c>
      <c r="I11" s="7">
        <f t="shared" si="1"/>
        <v>0.01901024413</v>
      </c>
      <c r="J11" s="7" t="str">
        <f t="shared" si="2"/>
        <v>#VALUE!</v>
      </c>
      <c r="K11" s="7">
        <f t="shared" si="3"/>
        <v>0.009189640769</v>
      </c>
      <c r="L11" s="7">
        <f t="shared" si="4"/>
        <v>0.07062981327</v>
      </c>
      <c r="M11" s="7" t="str">
        <f t="shared" si="5"/>
        <v>#VALUE!</v>
      </c>
    </row>
    <row r="12" ht="15.0" customHeight="1">
      <c r="A12" s="5" t="s">
        <v>32</v>
      </c>
      <c r="B12" s="5" t="s">
        <v>34</v>
      </c>
      <c r="C12" s="5" t="s">
        <v>26</v>
      </c>
      <c r="D12" s="6">
        <v>376.0</v>
      </c>
      <c r="E12" s="6" t="s">
        <v>18</v>
      </c>
      <c r="F12" s="6">
        <v>3.0</v>
      </c>
      <c r="G12" s="6">
        <v>779.0</v>
      </c>
      <c r="H12" s="6" t="s">
        <v>19</v>
      </c>
      <c r="I12" s="7">
        <f t="shared" si="1"/>
        <v>0.01860251771</v>
      </c>
      <c r="J12" s="7" t="str">
        <f t="shared" si="2"/>
        <v>#VALUE!</v>
      </c>
      <c r="K12" s="7">
        <f t="shared" si="3"/>
        <v>0.002506265664</v>
      </c>
      <c r="L12" s="7">
        <f t="shared" si="4"/>
        <v>0.04077434329</v>
      </c>
      <c r="M12" s="7" t="str">
        <f t="shared" si="5"/>
        <v>#VALUE!</v>
      </c>
    </row>
    <row r="13" ht="15.0" customHeight="1">
      <c r="A13" s="5" t="s">
        <v>35</v>
      </c>
      <c r="B13" s="5" t="s">
        <v>36</v>
      </c>
      <c r="C13" s="5" t="s">
        <v>17</v>
      </c>
      <c r="D13" s="6">
        <v>600.0</v>
      </c>
      <c r="E13" s="6" t="s">
        <v>18</v>
      </c>
      <c r="F13" s="6">
        <v>6.0</v>
      </c>
      <c r="G13" s="6">
        <v>1720.0</v>
      </c>
      <c r="H13" s="6" t="s">
        <v>19</v>
      </c>
      <c r="I13" s="7">
        <f t="shared" si="1"/>
        <v>0.03001885735</v>
      </c>
      <c r="J13" s="7" t="str">
        <f t="shared" si="2"/>
        <v>#VALUE!</v>
      </c>
      <c r="K13" s="7">
        <f t="shared" si="3"/>
        <v>0.005012531328</v>
      </c>
      <c r="L13" s="7">
        <f t="shared" si="4"/>
        <v>0.09041038084</v>
      </c>
      <c r="M13" s="7" t="str">
        <f t="shared" si="5"/>
        <v>#VALUE!</v>
      </c>
    </row>
    <row r="14" ht="15.0" customHeight="1">
      <c r="A14" s="5" t="s">
        <v>35</v>
      </c>
      <c r="B14" s="5" t="s">
        <v>37</v>
      </c>
      <c r="C14" s="5" t="s">
        <v>26</v>
      </c>
      <c r="D14" s="6">
        <v>309.0</v>
      </c>
      <c r="E14" s="6" t="s">
        <v>18</v>
      </c>
      <c r="F14" s="6">
        <v>0.0</v>
      </c>
      <c r="G14" s="6">
        <v>1341.0</v>
      </c>
      <c r="H14" s="6" t="s">
        <v>19</v>
      </c>
      <c r="I14" s="7">
        <f t="shared" si="1"/>
        <v>0.01518780898</v>
      </c>
      <c r="J14" s="7" t="str">
        <f t="shared" si="2"/>
        <v>#VALUE!</v>
      </c>
      <c r="K14" s="7">
        <f t="shared" si="3"/>
        <v>0</v>
      </c>
      <c r="L14" s="7">
        <f t="shared" si="4"/>
        <v>0.07041882055</v>
      </c>
      <c r="M14" s="7" t="str">
        <f t="shared" si="5"/>
        <v>#VALUE!</v>
      </c>
    </row>
    <row r="15" ht="15.0" customHeight="1">
      <c r="A15" s="5" t="s">
        <v>38</v>
      </c>
      <c r="B15" s="5" t="s">
        <v>39</v>
      </c>
      <c r="C15" s="5" t="s">
        <v>17</v>
      </c>
      <c r="D15" s="6">
        <v>98.0</v>
      </c>
      <c r="E15" s="6" t="s">
        <v>18</v>
      </c>
      <c r="F15" s="6">
        <v>0.0</v>
      </c>
      <c r="G15" s="6">
        <v>1390.0</v>
      </c>
      <c r="H15" s="6" t="s">
        <v>19</v>
      </c>
      <c r="I15" s="7">
        <f t="shared" si="1"/>
        <v>0.004434024769</v>
      </c>
      <c r="J15" s="7" t="str">
        <f t="shared" si="2"/>
        <v>#VALUE!</v>
      </c>
      <c r="K15" s="7">
        <f t="shared" si="3"/>
        <v>0</v>
      </c>
      <c r="L15" s="7">
        <f t="shared" si="4"/>
        <v>0.07300348138</v>
      </c>
      <c r="M15" s="7" t="str">
        <f t="shared" si="5"/>
        <v>#VALUE!</v>
      </c>
    </row>
    <row r="16" ht="15.0" customHeight="1">
      <c r="A16" s="5" t="s">
        <v>38</v>
      </c>
      <c r="B16" s="5" t="s">
        <v>40</v>
      </c>
      <c r="C16" s="5" t="s">
        <v>41</v>
      </c>
      <c r="D16" s="6">
        <v>69.0</v>
      </c>
      <c r="E16" s="6" t="s">
        <v>18</v>
      </c>
      <c r="F16" s="6">
        <v>0.0</v>
      </c>
      <c r="G16" s="6">
        <v>1738.0</v>
      </c>
      <c r="H16" s="6" t="s">
        <v>19</v>
      </c>
      <c r="I16" s="7">
        <f t="shared" si="1"/>
        <v>0.002956016513</v>
      </c>
      <c r="J16" s="7" t="str">
        <f t="shared" si="2"/>
        <v>#VALUE!</v>
      </c>
      <c r="K16" s="7">
        <f t="shared" si="3"/>
        <v>0</v>
      </c>
      <c r="L16" s="7">
        <f t="shared" si="4"/>
        <v>0.09135984809</v>
      </c>
      <c r="M16" s="7" t="str">
        <f t="shared" si="5"/>
        <v>#VALUE!</v>
      </c>
    </row>
    <row r="17" ht="15.0" customHeight="1">
      <c r="A17" s="5" t="s">
        <v>42</v>
      </c>
      <c r="B17" s="5" t="s">
        <v>43</v>
      </c>
      <c r="C17" s="5" t="s">
        <v>29</v>
      </c>
      <c r="D17" s="6">
        <v>14487.0</v>
      </c>
      <c r="E17" s="6" t="s">
        <v>18</v>
      </c>
      <c r="F17" s="6">
        <v>144.0</v>
      </c>
      <c r="G17" s="6">
        <v>18964.0</v>
      </c>
      <c r="H17" s="6" t="s">
        <v>19</v>
      </c>
      <c r="I17" s="7">
        <f t="shared" si="1"/>
        <v>0.737780949</v>
      </c>
      <c r="J17" s="7" t="str">
        <f t="shared" si="2"/>
        <v>#VALUE!</v>
      </c>
      <c r="K17" s="7">
        <f t="shared" si="3"/>
        <v>0.1203007519</v>
      </c>
      <c r="L17" s="7">
        <f t="shared" si="4"/>
        <v>1</v>
      </c>
      <c r="M17" s="7" t="str">
        <f t="shared" si="5"/>
        <v>#VALUE!</v>
      </c>
    </row>
    <row r="18" ht="15.0" customHeight="1">
      <c r="A18" s="5" t="s">
        <v>42</v>
      </c>
      <c r="B18" s="5" t="s">
        <v>44</v>
      </c>
      <c r="C18" s="5" t="s">
        <v>45</v>
      </c>
      <c r="D18" s="6">
        <v>7373.0</v>
      </c>
      <c r="E18" s="6" t="s">
        <v>18</v>
      </c>
      <c r="F18" s="6">
        <v>53.0</v>
      </c>
      <c r="G18" s="6">
        <v>10358.0</v>
      </c>
      <c r="H18" s="6" t="s">
        <v>19</v>
      </c>
      <c r="I18" s="7">
        <f t="shared" si="1"/>
        <v>0.3752102339</v>
      </c>
      <c r="J18" s="7" t="str">
        <f t="shared" si="2"/>
        <v>#VALUE!</v>
      </c>
      <c r="K18" s="7">
        <f t="shared" si="3"/>
        <v>0.04427736007</v>
      </c>
      <c r="L18" s="7">
        <f t="shared" si="4"/>
        <v>0.5460491613</v>
      </c>
      <c r="M18" s="7" t="str">
        <f t="shared" si="5"/>
        <v>#VALUE!</v>
      </c>
    </row>
    <row r="19" ht="15.0" customHeight="1">
      <c r="A19" s="5" t="s">
        <v>46</v>
      </c>
      <c r="B19" s="5" t="s">
        <v>47</v>
      </c>
      <c r="C19" s="5" t="s">
        <v>17</v>
      </c>
      <c r="D19" s="6">
        <v>2414.0</v>
      </c>
      <c r="E19" s="6" t="s">
        <v>18</v>
      </c>
      <c r="F19" s="6">
        <v>148.0</v>
      </c>
      <c r="G19" s="6">
        <v>12657.0</v>
      </c>
      <c r="H19" s="6" t="s">
        <v>19</v>
      </c>
      <c r="I19" s="7">
        <f t="shared" si="1"/>
        <v>0.1224708221</v>
      </c>
      <c r="J19" s="7" t="str">
        <f t="shared" si="2"/>
        <v>#VALUE!</v>
      </c>
      <c r="K19" s="7">
        <f t="shared" si="3"/>
        <v>0.1236424394</v>
      </c>
      <c r="L19" s="7">
        <f t="shared" si="4"/>
        <v>0.6673172276</v>
      </c>
      <c r="M19" s="7" t="str">
        <f t="shared" si="5"/>
        <v>#VALUE!</v>
      </c>
    </row>
    <row r="20" ht="15.0" customHeight="1">
      <c r="A20" s="5" t="s">
        <v>46</v>
      </c>
      <c r="B20" s="5" t="s">
        <v>48</v>
      </c>
      <c r="C20" s="5" t="s">
        <v>26</v>
      </c>
      <c r="D20" s="6">
        <v>3630.0</v>
      </c>
      <c r="E20" s="6" t="s">
        <v>18</v>
      </c>
      <c r="F20" s="6">
        <v>75.0</v>
      </c>
      <c r="G20" s="6">
        <v>14523.0</v>
      </c>
      <c r="H20" s="6" t="s">
        <v>19</v>
      </c>
      <c r="I20" s="7">
        <f t="shared" si="1"/>
        <v>0.1844452372</v>
      </c>
      <c r="J20" s="7" t="str">
        <f t="shared" si="2"/>
        <v>#VALUE!</v>
      </c>
      <c r="K20" s="7">
        <f t="shared" si="3"/>
        <v>0.0626566416</v>
      </c>
      <c r="L20" s="7">
        <f t="shared" si="4"/>
        <v>0.7657453318</v>
      </c>
      <c r="M20" s="7" t="str">
        <f t="shared" si="5"/>
        <v>#VALUE!</v>
      </c>
    </row>
    <row r="21" ht="15.0" customHeight="1">
      <c r="A21" s="5" t="s">
        <v>49</v>
      </c>
      <c r="B21" s="5" t="s">
        <v>50</v>
      </c>
      <c r="C21" s="5" t="s">
        <v>17</v>
      </c>
      <c r="D21" s="6">
        <v>12.0</v>
      </c>
      <c r="E21" s="6" t="s">
        <v>18</v>
      </c>
      <c r="F21" s="6">
        <v>0.0</v>
      </c>
      <c r="G21" s="6">
        <v>166.0</v>
      </c>
      <c r="H21" s="6" t="s">
        <v>19</v>
      </c>
      <c r="I21" s="7">
        <f t="shared" si="1"/>
        <v>0.00005096580195</v>
      </c>
      <c r="J21" s="7" t="str">
        <f t="shared" si="2"/>
        <v>#VALUE!</v>
      </c>
      <c r="K21" s="7">
        <f t="shared" si="3"/>
        <v>0</v>
      </c>
      <c r="L21" s="7">
        <f t="shared" si="4"/>
        <v>0.00843970883</v>
      </c>
      <c r="M21" s="7" t="str">
        <f t="shared" si="5"/>
        <v>#VALUE!</v>
      </c>
    </row>
    <row r="22" ht="15.0" customHeight="1">
      <c r="A22" s="5" t="s">
        <v>49</v>
      </c>
      <c r="B22" s="5" t="s">
        <v>51</v>
      </c>
      <c r="C22" s="5" t="s">
        <v>29</v>
      </c>
      <c r="D22" s="6">
        <v>20.0</v>
      </c>
      <c r="E22" s="6" t="s">
        <v>18</v>
      </c>
      <c r="F22" s="6">
        <v>1.0</v>
      </c>
      <c r="G22" s="6">
        <v>434.0</v>
      </c>
      <c r="H22" s="6" t="s">
        <v>19</v>
      </c>
      <c r="I22" s="7">
        <f t="shared" si="1"/>
        <v>0.0004586922175</v>
      </c>
      <c r="J22" s="7" t="str">
        <f t="shared" si="2"/>
        <v>#VALUE!</v>
      </c>
      <c r="K22" s="7">
        <f t="shared" si="3"/>
        <v>0.0008354218881</v>
      </c>
      <c r="L22" s="7">
        <f t="shared" si="4"/>
        <v>0.02257622112</v>
      </c>
      <c r="M22" s="7" t="str">
        <f t="shared" si="5"/>
        <v>#VALUE!</v>
      </c>
    </row>
    <row r="23" ht="15.0" customHeight="1">
      <c r="A23" s="5" t="s">
        <v>52</v>
      </c>
      <c r="B23" s="5" t="s">
        <v>53</v>
      </c>
      <c r="C23" s="5" t="s">
        <v>29</v>
      </c>
      <c r="D23" s="6">
        <v>56.0</v>
      </c>
      <c r="E23" s="6" t="s">
        <v>18</v>
      </c>
      <c r="F23" s="6">
        <v>1.0</v>
      </c>
      <c r="G23" s="6">
        <v>1082.0</v>
      </c>
      <c r="H23" s="6" t="s">
        <v>19</v>
      </c>
      <c r="I23" s="7">
        <f t="shared" si="1"/>
        <v>0.002293461088</v>
      </c>
      <c r="J23" s="7" t="str">
        <f t="shared" si="2"/>
        <v>#VALUE!</v>
      </c>
      <c r="K23" s="7">
        <f t="shared" si="3"/>
        <v>0.0008354218881</v>
      </c>
      <c r="L23" s="7">
        <f t="shared" si="4"/>
        <v>0.05675704188</v>
      </c>
      <c r="M23" s="7" t="str">
        <f t="shared" si="5"/>
        <v>#VALUE!</v>
      </c>
    </row>
    <row r="24" ht="15.0" customHeight="1">
      <c r="A24" s="5" t="s">
        <v>52</v>
      </c>
      <c r="B24" s="5" t="s">
        <v>54</v>
      </c>
      <c r="C24" s="5" t="s">
        <v>21</v>
      </c>
      <c r="D24" s="6">
        <v>26.0</v>
      </c>
      <c r="E24" s="6" t="s">
        <v>18</v>
      </c>
      <c r="F24" s="6">
        <v>0.0</v>
      </c>
      <c r="G24" s="6">
        <v>1239.0</v>
      </c>
      <c r="H24" s="6" t="s">
        <v>19</v>
      </c>
      <c r="I24" s="7">
        <f t="shared" si="1"/>
        <v>0.0007644870292</v>
      </c>
      <c r="J24" s="7" t="str">
        <f t="shared" si="2"/>
        <v>#VALUE!</v>
      </c>
      <c r="K24" s="7">
        <f t="shared" si="3"/>
        <v>0</v>
      </c>
      <c r="L24" s="7">
        <f t="shared" si="4"/>
        <v>0.06503850617</v>
      </c>
      <c r="M24" s="7" t="str">
        <f t="shared" si="5"/>
        <v>#VALUE!</v>
      </c>
    </row>
    <row r="25" ht="15.0" customHeight="1">
      <c r="A25" s="5" t="s">
        <v>55</v>
      </c>
      <c r="B25" s="5" t="s">
        <v>56</v>
      </c>
      <c r="C25" s="5" t="s">
        <v>17</v>
      </c>
      <c r="D25" s="6">
        <v>12.0</v>
      </c>
      <c r="E25" s="6" t="s">
        <v>18</v>
      </c>
      <c r="F25" s="6">
        <v>1.0</v>
      </c>
      <c r="G25" s="6">
        <v>227.0</v>
      </c>
      <c r="H25" s="6" t="s">
        <v>19</v>
      </c>
      <c r="I25" s="7">
        <f t="shared" si="1"/>
        <v>0.00005096580195</v>
      </c>
      <c r="J25" s="7" t="str">
        <f t="shared" si="2"/>
        <v>#VALUE!</v>
      </c>
      <c r="K25" s="7">
        <f t="shared" si="3"/>
        <v>0.0008354218881</v>
      </c>
      <c r="L25" s="7">
        <f t="shared" si="4"/>
        <v>0.01165734782</v>
      </c>
      <c r="M25" s="7" t="str">
        <f t="shared" si="5"/>
        <v>#VALUE!</v>
      </c>
    </row>
    <row r="26" ht="15.0" customHeight="1">
      <c r="A26" s="5" t="s">
        <v>55</v>
      </c>
      <c r="B26" s="5" t="s">
        <v>57</v>
      </c>
      <c r="C26" s="5" t="s">
        <v>17</v>
      </c>
      <c r="D26" s="6">
        <v>12.0</v>
      </c>
      <c r="E26" s="6" t="s">
        <v>18</v>
      </c>
      <c r="F26" s="6">
        <v>1.0</v>
      </c>
      <c r="G26" s="6">
        <v>227.0</v>
      </c>
      <c r="H26" s="6" t="s">
        <v>19</v>
      </c>
      <c r="I26" s="7">
        <f t="shared" si="1"/>
        <v>0.00005096580195</v>
      </c>
      <c r="J26" s="7" t="str">
        <f t="shared" si="2"/>
        <v>#VALUE!</v>
      </c>
      <c r="K26" s="7">
        <f t="shared" si="3"/>
        <v>0.0008354218881</v>
      </c>
      <c r="L26" s="7">
        <f t="shared" si="4"/>
        <v>0.01165734782</v>
      </c>
      <c r="M26" s="7" t="str">
        <f t="shared" si="5"/>
        <v>#VALUE!</v>
      </c>
    </row>
    <row r="27" ht="15.0" customHeight="1">
      <c r="A27" s="5" t="s">
        <v>58</v>
      </c>
      <c r="B27" s="5" t="s">
        <v>59</v>
      </c>
      <c r="C27" s="5" t="s">
        <v>24</v>
      </c>
      <c r="D27" s="6">
        <v>100.0</v>
      </c>
      <c r="E27" s="6" t="s">
        <v>18</v>
      </c>
      <c r="F27" s="6">
        <v>0.0</v>
      </c>
      <c r="G27" s="6">
        <v>550.0</v>
      </c>
      <c r="H27" s="6" t="s">
        <v>19</v>
      </c>
      <c r="I27" s="7">
        <f t="shared" si="1"/>
        <v>0.004535956373</v>
      </c>
      <c r="J27" s="7" t="str">
        <f t="shared" si="2"/>
        <v>#VALUE!</v>
      </c>
      <c r="K27" s="7">
        <f t="shared" si="3"/>
        <v>0</v>
      </c>
      <c r="L27" s="7">
        <f t="shared" si="4"/>
        <v>0.02869501002</v>
      </c>
      <c r="M27" s="7" t="str">
        <f t="shared" si="5"/>
        <v>#VALUE!</v>
      </c>
    </row>
    <row r="28" ht="15.0" customHeight="1">
      <c r="A28" s="5" t="s">
        <v>58</v>
      </c>
      <c r="B28" s="5" t="s">
        <v>60</v>
      </c>
      <c r="C28" s="5" t="s">
        <v>26</v>
      </c>
      <c r="D28" s="6">
        <v>291.0</v>
      </c>
      <c r="E28" s="6" t="s">
        <v>18</v>
      </c>
      <c r="F28" s="6">
        <v>5.0</v>
      </c>
      <c r="G28" s="6">
        <v>726.0</v>
      </c>
      <c r="H28" s="6" t="s">
        <v>19</v>
      </c>
      <c r="I28" s="7">
        <f t="shared" si="1"/>
        <v>0.01427042455</v>
      </c>
      <c r="J28" s="7" t="str">
        <f t="shared" si="2"/>
        <v>#VALUE!</v>
      </c>
      <c r="K28" s="7">
        <f t="shared" si="3"/>
        <v>0.00417710944</v>
      </c>
      <c r="L28" s="7">
        <f t="shared" si="4"/>
        <v>0.03797868974</v>
      </c>
      <c r="M28" s="7" t="str">
        <f t="shared" si="5"/>
        <v>#VALUE!</v>
      </c>
    </row>
    <row r="29" ht="15.0" customHeight="1">
      <c r="A29" s="5" t="s">
        <v>61</v>
      </c>
      <c r="B29" s="5" t="s">
        <v>62</v>
      </c>
      <c r="C29" s="5" t="s">
        <v>17</v>
      </c>
      <c r="D29" s="6">
        <v>364.0</v>
      </c>
      <c r="E29" s="6" t="s">
        <v>18</v>
      </c>
      <c r="F29" s="6">
        <v>2.0</v>
      </c>
      <c r="G29" s="6">
        <v>678.0</v>
      </c>
      <c r="H29" s="6" t="s">
        <v>19</v>
      </c>
      <c r="I29" s="7">
        <f t="shared" si="1"/>
        <v>0.01799092809</v>
      </c>
      <c r="J29" s="7" t="str">
        <f t="shared" si="2"/>
        <v>#VALUE!</v>
      </c>
      <c r="K29" s="7">
        <f t="shared" si="3"/>
        <v>0.001670843776</v>
      </c>
      <c r="L29" s="7">
        <f t="shared" si="4"/>
        <v>0.03544677709</v>
      </c>
      <c r="M29" s="7" t="str">
        <f t="shared" si="5"/>
        <v>#VALUE!</v>
      </c>
    </row>
    <row r="30" ht="15.0" customHeight="1">
      <c r="A30" s="5" t="s">
        <v>61</v>
      </c>
      <c r="B30" s="5" t="s">
        <v>63</v>
      </c>
      <c r="C30" s="5" t="s">
        <v>41</v>
      </c>
      <c r="D30" s="6">
        <v>112.0</v>
      </c>
      <c r="E30" s="6" t="s">
        <v>18</v>
      </c>
      <c r="F30" s="6">
        <v>3.0</v>
      </c>
      <c r="G30" s="6">
        <v>355.0</v>
      </c>
      <c r="H30" s="6" t="s">
        <v>19</v>
      </c>
      <c r="I30" s="7">
        <f t="shared" si="1"/>
        <v>0.005147545997</v>
      </c>
      <c r="J30" s="7" t="str">
        <f t="shared" si="2"/>
        <v>#VALUE!</v>
      </c>
      <c r="K30" s="7">
        <f t="shared" si="3"/>
        <v>0.002506265664</v>
      </c>
      <c r="L30" s="7">
        <f t="shared" si="4"/>
        <v>0.01840911489</v>
      </c>
      <c r="M30" s="7" t="str">
        <f t="shared" si="5"/>
        <v>#VALUE!</v>
      </c>
    </row>
    <row r="31" ht="15.0" customHeight="1">
      <c r="A31" s="5" t="s">
        <v>64</v>
      </c>
      <c r="B31" s="5" t="s">
        <v>65</v>
      </c>
      <c r="C31" s="5" t="s">
        <v>17</v>
      </c>
      <c r="D31" s="6">
        <v>519.0</v>
      </c>
      <c r="E31" s="6" t="s">
        <v>18</v>
      </c>
      <c r="F31" s="6">
        <v>0.0</v>
      </c>
      <c r="G31" s="6">
        <v>760.0</v>
      </c>
      <c r="H31" s="6" t="s">
        <v>19</v>
      </c>
      <c r="I31" s="7">
        <f t="shared" si="1"/>
        <v>0.02589062739</v>
      </c>
      <c r="J31" s="7" t="str">
        <f t="shared" si="2"/>
        <v>#VALUE!</v>
      </c>
      <c r="K31" s="7">
        <f t="shared" si="3"/>
        <v>0</v>
      </c>
      <c r="L31" s="7">
        <f t="shared" si="4"/>
        <v>0.03977212786</v>
      </c>
      <c r="M31" s="7" t="str">
        <f t="shared" si="5"/>
        <v>#VALUE!</v>
      </c>
    </row>
    <row r="32" ht="15.0" customHeight="1">
      <c r="A32" s="5" t="s">
        <v>64</v>
      </c>
      <c r="B32" s="5" t="s">
        <v>66</v>
      </c>
      <c r="C32" s="5" t="s">
        <v>21</v>
      </c>
      <c r="D32" s="6">
        <v>534.0</v>
      </c>
      <c r="E32" s="6" t="s">
        <v>18</v>
      </c>
      <c r="F32" s="6">
        <v>1.0</v>
      </c>
      <c r="G32" s="6">
        <v>740.0</v>
      </c>
      <c r="H32" s="6" t="s">
        <v>19</v>
      </c>
      <c r="I32" s="7">
        <f t="shared" si="1"/>
        <v>0.02665511442</v>
      </c>
      <c r="J32" s="7" t="str">
        <f t="shared" si="2"/>
        <v>#VALUE!</v>
      </c>
      <c r="K32" s="7">
        <f t="shared" si="3"/>
        <v>0.0008354218881</v>
      </c>
      <c r="L32" s="7">
        <f t="shared" si="4"/>
        <v>0.03871716426</v>
      </c>
      <c r="M32" s="7" t="str">
        <f t="shared" si="5"/>
        <v>#VALUE!</v>
      </c>
    </row>
    <row r="33" ht="15.0" customHeight="1">
      <c r="A33" s="5" t="s">
        <v>67</v>
      </c>
      <c r="B33" s="5" t="s">
        <v>68</v>
      </c>
      <c r="C33" s="5" t="s">
        <v>69</v>
      </c>
      <c r="D33" s="6">
        <v>17.0</v>
      </c>
      <c r="E33" s="6" t="s">
        <v>18</v>
      </c>
      <c r="F33" s="6">
        <v>0.0</v>
      </c>
      <c r="G33" s="6">
        <v>6.0</v>
      </c>
      <c r="H33" s="6" t="s">
        <v>19</v>
      </c>
      <c r="I33" s="7">
        <f t="shared" si="1"/>
        <v>0.0003057948117</v>
      </c>
      <c r="J33" s="7" t="str">
        <f t="shared" si="2"/>
        <v>#VALUE!</v>
      </c>
      <c r="K33" s="7">
        <f t="shared" si="3"/>
        <v>0</v>
      </c>
      <c r="L33" s="7">
        <f t="shared" si="4"/>
        <v>0</v>
      </c>
      <c r="M33" s="7" t="str">
        <f t="shared" si="5"/>
        <v>#VALUE!</v>
      </c>
    </row>
    <row r="34" ht="15.0" customHeight="1">
      <c r="A34" s="5" t="s">
        <v>67</v>
      </c>
      <c r="B34" s="5" t="s">
        <v>70</v>
      </c>
      <c r="C34" s="5" t="s">
        <v>21</v>
      </c>
      <c r="D34" s="6">
        <v>11.0</v>
      </c>
      <c r="E34" s="6" t="s">
        <v>18</v>
      </c>
      <c r="F34" s="6">
        <v>1.0</v>
      </c>
      <c r="G34" s="6">
        <v>21.0</v>
      </c>
      <c r="H34" s="6" t="s">
        <v>19</v>
      </c>
      <c r="I34" s="7">
        <f t="shared" si="1"/>
        <v>0</v>
      </c>
      <c r="J34" s="7" t="str">
        <f t="shared" si="2"/>
        <v>#VALUE!</v>
      </c>
      <c r="K34" s="7">
        <f t="shared" si="3"/>
        <v>0.0008354218881</v>
      </c>
      <c r="L34" s="7">
        <f t="shared" si="4"/>
        <v>0.0007912227028</v>
      </c>
      <c r="M34" s="7" t="str">
        <f t="shared" si="5"/>
        <v>#VALUE!</v>
      </c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</sheetData>
  <mergeCells count="2">
    <mergeCell ref="A1:M1"/>
    <mergeCell ref="A2:M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42.0"/>
    <col customWidth="1" min="3" max="3" width="38.57"/>
    <col customWidth="1" min="4" max="13" width="20.0"/>
    <col customWidth="1" min="14" max="26" width="8.71"/>
  </cols>
  <sheetData>
    <row r="1" ht="15.0" customHeight="1">
      <c r="A1" s="1" t="s">
        <v>71</v>
      </c>
    </row>
    <row r="2" ht="15.0" customHeight="1">
      <c r="A2" s="2" t="s">
        <v>72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51.75" customHeight="1">
      <c r="A4" s="4" t="s">
        <v>2</v>
      </c>
      <c r="B4" s="4" t="s">
        <v>3</v>
      </c>
      <c r="C4" s="4" t="s">
        <v>4</v>
      </c>
      <c r="D4" s="4" t="s">
        <v>73</v>
      </c>
      <c r="E4" s="4" t="s">
        <v>74</v>
      </c>
      <c r="F4" s="4" t="s">
        <v>75</v>
      </c>
      <c r="G4" s="4" t="s">
        <v>76</v>
      </c>
      <c r="H4" s="4" t="s">
        <v>9</v>
      </c>
      <c r="I4" s="4" t="s">
        <v>77</v>
      </c>
      <c r="J4" s="4" t="s">
        <v>78</v>
      </c>
      <c r="K4" s="4" t="s">
        <v>79</v>
      </c>
      <c r="L4" s="4" t="s">
        <v>80</v>
      </c>
      <c r="M4" s="4" t="s">
        <v>81</v>
      </c>
    </row>
    <row r="5" ht="15.0" customHeight="1">
      <c r="A5" s="5" t="s">
        <v>15</v>
      </c>
      <c r="B5" s="5" t="s">
        <v>16</v>
      </c>
      <c r="C5" s="5" t="s">
        <v>17</v>
      </c>
      <c r="D5" s="8">
        <v>11390.0</v>
      </c>
      <c r="E5" s="8">
        <v>508.0</v>
      </c>
      <c r="F5" s="8">
        <v>988.0</v>
      </c>
      <c r="G5" s="8">
        <v>419.0</v>
      </c>
      <c r="H5" s="6" t="s">
        <v>19</v>
      </c>
      <c r="I5" s="7">
        <f t="shared" ref="I5:I34" si="1">(D5-min($D$5:$D$34))/(max($D$5:$D$34)-min($D$5:$D$34))</f>
        <v>0.9226031283</v>
      </c>
      <c r="J5" s="7">
        <f t="shared" ref="J5:J34" si="2">(E5-min($E$5:$E$34))/(max($E$5:$E$34)-min($E$5:$E$34))</f>
        <v>0.3793876027</v>
      </c>
      <c r="K5" s="7">
        <f t="shared" ref="K5:K34" si="3">(F5-min($F$5:$F$34))/(max($F$5:$F$34)-min($F$5:$F$34))</f>
        <v>1</v>
      </c>
      <c r="L5" s="7">
        <f t="shared" ref="L5:L34" si="4">(G5-min($G$5:$G$34))/(max($G$5:$G$34)-min($G$5:$G$34))</f>
        <v>1</v>
      </c>
      <c r="M5" s="7">
        <f t="shared" ref="M5:M34" si="5"> (0.3*I5 + 0.25*J5 + 0.25*K5 + 0.2*L5)*100</f>
        <v>82.16278392</v>
      </c>
    </row>
    <row r="6" ht="15.0" customHeight="1">
      <c r="A6" s="5" t="s">
        <v>15</v>
      </c>
      <c r="B6" s="5" t="s">
        <v>20</v>
      </c>
      <c r="C6" s="5" t="s">
        <v>21</v>
      </c>
      <c r="D6" s="8">
        <v>12345.0</v>
      </c>
      <c r="E6" s="8">
        <v>377.0</v>
      </c>
      <c r="F6" s="8">
        <v>574.0</v>
      </c>
      <c r="G6" s="8">
        <v>258.0</v>
      </c>
      <c r="H6" s="6" t="s">
        <v>19</v>
      </c>
      <c r="I6" s="7">
        <f t="shared" si="1"/>
        <v>1</v>
      </c>
      <c r="J6" s="7">
        <f t="shared" si="2"/>
        <v>0.2815533981</v>
      </c>
      <c r="K6" s="7">
        <f t="shared" si="3"/>
        <v>0.5809716599</v>
      </c>
      <c r="L6" s="7">
        <f t="shared" si="4"/>
        <v>0.61575179</v>
      </c>
      <c r="M6" s="7">
        <f t="shared" si="5"/>
        <v>63.87816225</v>
      </c>
    </row>
    <row r="7" ht="15.0" customHeight="1">
      <c r="A7" s="5" t="s">
        <v>22</v>
      </c>
      <c r="B7" s="5" t="s">
        <v>23</v>
      </c>
      <c r="C7" s="5" t="s">
        <v>24</v>
      </c>
      <c r="D7" s="8">
        <v>3384.0</v>
      </c>
      <c r="E7" s="8">
        <v>1339.0</v>
      </c>
      <c r="F7" s="8">
        <v>403.0</v>
      </c>
      <c r="G7" s="8">
        <v>33.0</v>
      </c>
      <c r="H7" s="6" t="s">
        <v>19</v>
      </c>
      <c r="I7" s="7">
        <f t="shared" si="1"/>
        <v>0.2737661075</v>
      </c>
      <c r="J7" s="7">
        <f t="shared" si="2"/>
        <v>1</v>
      </c>
      <c r="K7" s="7">
        <f t="shared" si="3"/>
        <v>0.4078947368</v>
      </c>
      <c r="L7" s="7">
        <f t="shared" si="4"/>
        <v>0.07875894988</v>
      </c>
      <c r="M7" s="7">
        <f t="shared" si="5"/>
        <v>44.98553064</v>
      </c>
    </row>
    <row r="8" ht="15.0" customHeight="1">
      <c r="A8" s="5" t="s">
        <v>22</v>
      </c>
      <c r="B8" s="5" t="s">
        <v>25</v>
      </c>
      <c r="C8" s="5" t="s">
        <v>26</v>
      </c>
      <c r="D8" s="8">
        <v>1693.0</v>
      </c>
      <c r="E8" s="8">
        <v>250.0</v>
      </c>
      <c r="F8" s="8">
        <v>106.0</v>
      </c>
      <c r="G8" s="8">
        <v>23.0</v>
      </c>
      <c r="H8" s="6" t="s">
        <v>19</v>
      </c>
      <c r="I8" s="7">
        <f t="shared" si="1"/>
        <v>0.136720966</v>
      </c>
      <c r="J8" s="7">
        <f t="shared" si="2"/>
        <v>0.1867064974</v>
      </c>
      <c r="K8" s="7">
        <f t="shared" si="3"/>
        <v>0.1072874494</v>
      </c>
      <c r="L8" s="7">
        <f t="shared" si="4"/>
        <v>0.05489260143</v>
      </c>
      <c r="M8" s="7">
        <f t="shared" si="5"/>
        <v>12.54932968</v>
      </c>
    </row>
    <row r="9" ht="15.0" customHeight="1">
      <c r="A9" s="5" t="s">
        <v>27</v>
      </c>
      <c r="B9" s="5" t="s">
        <v>28</v>
      </c>
      <c r="C9" s="5" t="s">
        <v>29</v>
      </c>
      <c r="D9" s="8">
        <v>1211.0</v>
      </c>
      <c r="E9" s="8">
        <v>102.0</v>
      </c>
      <c r="F9" s="8">
        <v>113.0</v>
      </c>
      <c r="G9" s="8">
        <v>10.0</v>
      </c>
      <c r="H9" s="6" t="s">
        <v>19</v>
      </c>
      <c r="I9" s="7">
        <f t="shared" si="1"/>
        <v>0.09765783289</v>
      </c>
      <c r="J9" s="7">
        <f t="shared" si="2"/>
        <v>0.07617625093</v>
      </c>
      <c r="K9" s="7">
        <f t="shared" si="3"/>
        <v>0.1143724696</v>
      </c>
      <c r="L9" s="7">
        <f t="shared" si="4"/>
        <v>0.02386634845</v>
      </c>
      <c r="M9" s="7">
        <f t="shared" si="5"/>
        <v>8.17077997</v>
      </c>
    </row>
    <row r="10" ht="15.0" customHeight="1">
      <c r="A10" s="5" t="s">
        <v>27</v>
      </c>
      <c r="B10" s="5" t="s">
        <v>30</v>
      </c>
      <c r="C10" s="5" t="s">
        <v>31</v>
      </c>
      <c r="D10" s="8">
        <v>721.0</v>
      </c>
      <c r="E10" s="8">
        <v>44.0</v>
      </c>
      <c r="F10" s="8">
        <v>22.0</v>
      </c>
      <c r="G10" s="8">
        <v>3.0</v>
      </c>
      <c r="H10" s="6" t="s">
        <v>19</v>
      </c>
      <c r="I10" s="7">
        <f t="shared" si="1"/>
        <v>0.05794634897</v>
      </c>
      <c r="J10" s="7">
        <f t="shared" si="2"/>
        <v>0.03286034354</v>
      </c>
      <c r="K10" s="7">
        <f t="shared" si="3"/>
        <v>0.02226720648</v>
      </c>
      <c r="L10" s="7">
        <f t="shared" si="4"/>
        <v>0.007159904535</v>
      </c>
      <c r="M10" s="7">
        <f t="shared" si="5"/>
        <v>3.25977731</v>
      </c>
    </row>
    <row r="11" ht="15.0" customHeight="1">
      <c r="A11" s="5" t="s">
        <v>32</v>
      </c>
      <c r="B11" s="5" t="s">
        <v>33</v>
      </c>
      <c r="C11" s="5" t="s">
        <v>17</v>
      </c>
      <c r="D11" s="8">
        <v>871.0</v>
      </c>
      <c r="E11" s="8">
        <v>15.0</v>
      </c>
      <c r="F11" s="8">
        <v>114.0</v>
      </c>
      <c r="G11" s="8">
        <v>22.0</v>
      </c>
      <c r="H11" s="6" t="s">
        <v>19</v>
      </c>
      <c r="I11" s="7">
        <f t="shared" si="1"/>
        <v>0.07010292568</v>
      </c>
      <c r="J11" s="7">
        <f t="shared" si="2"/>
        <v>0.01120238984</v>
      </c>
      <c r="K11" s="7">
        <f t="shared" si="3"/>
        <v>0.1153846154</v>
      </c>
      <c r="L11" s="7">
        <f t="shared" si="4"/>
        <v>0.05250596659</v>
      </c>
      <c r="M11" s="7">
        <f t="shared" si="5"/>
        <v>6.317882233</v>
      </c>
    </row>
    <row r="12" ht="15.0" customHeight="1">
      <c r="A12" s="5" t="s">
        <v>32</v>
      </c>
      <c r="B12" s="5" t="s">
        <v>34</v>
      </c>
      <c r="C12" s="5" t="s">
        <v>26</v>
      </c>
      <c r="D12" s="8">
        <v>448.0</v>
      </c>
      <c r="E12" s="8">
        <v>16.0</v>
      </c>
      <c r="F12" s="8">
        <v>47.0</v>
      </c>
      <c r="G12" s="8">
        <v>37.0</v>
      </c>
      <c r="H12" s="6" t="s">
        <v>19</v>
      </c>
      <c r="I12" s="7">
        <f t="shared" si="1"/>
        <v>0.03582137937</v>
      </c>
      <c r="J12" s="7">
        <f t="shared" si="2"/>
        <v>0.01194921583</v>
      </c>
      <c r="K12" s="7">
        <f t="shared" si="3"/>
        <v>0.0475708502</v>
      </c>
      <c r="L12" s="7">
        <f t="shared" si="4"/>
        <v>0.08830548926</v>
      </c>
      <c r="M12" s="7">
        <f t="shared" si="5"/>
        <v>4.328752817</v>
      </c>
    </row>
    <row r="13" ht="15.0" customHeight="1">
      <c r="A13" s="5" t="s">
        <v>35</v>
      </c>
      <c r="B13" s="5" t="s">
        <v>36</v>
      </c>
      <c r="C13" s="5" t="s">
        <v>17</v>
      </c>
      <c r="D13" s="8">
        <v>1545.0</v>
      </c>
      <c r="E13" s="8">
        <v>6.0</v>
      </c>
      <c r="F13" s="8">
        <v>41.0</v>
      </c>
      <c r="G13" s="8">
        <v>35.0</v>
      </c>
      <c r="H13" s="6" t="s">
        <v>19</v>
      </c>
      <c r="I13" s="7">
        <f t="shared" si="1"/>
        <v>0.124726477</v>
      </c>
      <c r="J13" s="7">
        <f t="shared" si="2"/>
        <v>0.004480955937</v>
      </c>
      <c r="K13" s="7">
        <f t="shared" si="3"/>
        <v>0.04149797571</v>
      </c>
      <c r="L13" s="7">
        <f t="shared" si="4"/>
        <v>0.08353221957</v>
      </c>
      <c r="M13" s="7">
        <f t="shared" si="5"/>
        <v>6.561911993</v>
      </c>
    </row>
    <row r="14" ht="15.0" customHeight="1">
      <c r="A14" s="5" t="s">
        <v>35</v>
      </c>
      <c r="B14" s="5" t="s">
        <v>37</v>
      </c>
      <c r="C14" s="5" t="s">
        <v>26</v>
      </c>
      <c r="D14" s="8">
        <v>1232.0</v>
      </c>
      <c r="E14" s="8">
        <v>2.0</v>
      </c>
      <c r="F14" s="8">
        <v>14.0</v>
      </c>
      <c r="G14" s="8">
        <v>2.0</v>
      </c>
      <c r="H14" s="6" t="s">
        <v>19</v>
      </c>
      <c r="I14" s="7">
        <f t="shared" si="1"/>
        <v>0.09935975363</v>
      </c>
      <c r="J14" s="7">
        <f t="shared" si="2"/>
        <v>0.001493651979</v>
      </c>
      <c r="K14" s="7">
        <f t="shared" si="3"/>
        <v>0.01417004049</v>
      </c>
      <c r="L14" s="7">
        <f t="shared" si="4"/>
        <v>0.00477326969</v>
      </c>
      <c r="M14" s="7">
        <f t="shared" si="5"/>
        <v>3.467850314</v>
      </c>
    </row>
    <row r="15" ht="15.0" customHeight="1">
      <c r="A15" s="5" t="s">
        <v>38</v>
      </c>
      <c r="B15" s="5" t="s">
        <v>39</v>
      </c>
      <c r="C15" s="5" t="s">
        <v>17</v>
      </c>
      <c r="D15" s="8">
        <v>420.0</v>
      </c>
      <c r="E15" s="8">
        <v>6.0</v>
      </c>
      <c r="F15" s="8">
        <v>226.0</v>
      </c>
      <c r="G15" s="8">
        <v>30.0</v>
      </c>
      <c r="H15" s="6" t="s">
        <v>19</v>
      </c>
      <c r="I15" s="7">
        <f t="shared" si="1"/>
        <v>0.03355215171</v>
      </c>
      <c r="J15" s="7">
        <f t="shared" si="2"/>
        <v>0.004480955937</v>
      </c>
      <c r="K15" s="7">
        <f t="shared" si="3"/>
        <v>0.2287449393</v>
      </c>
      <c r="L15" s="7">
        <f t="shared" si="4"/>
        <v>0.07159904535</v>
      </c>
      <c r="M15" s="7">
        <f t="shared" si="5"/>
        <v>8.269192839</v>
      </c>
    </row>
    <row r="16" ht="15.0" customHeight="1">
      <c r="A16" s="5" t="s">
        <v>38</v>
      </c>
      <c r="B16" s="5" t="s">
        <v>40</v>
      </c>
      <c r="C16" s="5" t="s">
        <v>41</v>
      </c>
      <c r="D16" s="8">
        <v>1048.0</v>
      </c>
      <c r="E16" s="8">
        <v>3.0</v>
      </c>
      <c r="F16" s="8">
        <v>33.0</v>
      </c>
      <c r="G16" s="8">
        <v>30.0</v>
      </c>
      <c r="H16" s="6" t="s">
        <v>19</v>
      </c>
      <c r="I16" s="7">
        <f t="shared" si="1"/>
        <v>0.0844476862</v>
      </c>
      <c r="J16" s="7">
        <f t="shared" si="2"/>
        <v>0.002240477969</v>
      </c>
      <c r="K16" s="7">
        <f t="shared" si="3"/>
        <v>0.03340080972</v>
      </c>
      <c r="L16" s="7">
        <f t="shared" si="4"/>
        <v>0.07159904535</v>
      </c>
      <c r="M16" s="7">
        <f t="shared" si="5"/>
        <v>4.856443685</v>
      </c>
    </row>
    <row r="17" ht="15.0" customHeight="1">
      <c r="A17" s="5" t="s">
        <v>42</v>
      </c>
      <c r="B17" s="5" t="s">
        <v>43</v>
      </c>
      <c r="C17" s="5" t="s">
        <v>29</v>
      </c>
      <c r="D17" s="8">
        <v>9846.0</v>
      </c>
      <c r="E17" s="8">
        <v>286.0</v>
      </c>
      <c r="F17" s="8">
        <v>714.0</v>
      </c>
      <c r="G17" s="8">
        <v>26.0</v>
      </c>
      <c r="H17" s="6" t="s">
        <v>19</v>
      </c>
      <c r="I17" s="7">
        <f t="shared" si="1"/>
        <v>0.797471432</v>
      </c>
      <c r="J17" s="7">
        <f t="shared" si="2"/>
        <v>0.213592233</v>
      </c>
      <c r="K17" s="7">
        <f t="shared" si="3"/>
        <v>0.7226720648</v>
      </c>
      <c r="L17" s="7">
        <f t="shared" si="4"/>
        <v>0.06205250597</v>
      </c>
      <c r="M17" s="7">
        <f t="shared" si="5"/>
        <v>48.57180053</v>
      </c>
    </row>
    <row r="18" ht="15.0" customHeight="1">
      <c r="A18" s="5" t="s">
        <v>42</v>
      </c>
      <c r="B18" s="5" t="s">
        <v>44</v>
      </c>
      <c r="C18" s="5" t="s">
        <v>45</v>
      </c>
      <c r="D18" s="8">
        <v>4481.0</v>
      </c>
      <c r="E18" s="8">
        <v>521.0</v>
      </c>
      <c r="F18" s="8">
        <v>490.0</v>
      </c>
      <c r="G18" s="8">
        <v>63.0</v>
      </c>
      <c r="H18" s="6" t="s">
        <v>19</v>
      </c>
      <c r="I18" s="7">
        <f t="shared" si="1"/>
        <v>0.3626712051</v>
      </c>
      <c r="J18" s="7">
        <f t="shared" si="2"/>
        <v>0.3890963406</v>
      </c>
      <c r="K18" s="7">
        <f t="shared" si="3"/>
        <v>0.495951417</v>
      </c>
      <c r="L18" s="7">
        <f t="shared" si="4"/>
        <v>0.1503579952</v>
      </c>
      <c r="M18" s="7">
        <f t="shared" si="5"/>
        <v>36.01349</v>
      </c>
    </row>
    <row r="19" ht="15.0" customHeight="1">
      <c r="A19" s="5" t="s">
        <v>46</v>
      </c>
      <c r="B19" s="5" t="s">
        <v>47</v>
      </c>
      <c r="C19" s="5" t="s">
        <v>17</v>
      </c>
      <c r="D19" s="8">
        <v>6670.0</v>
      </c>
      <c r="E19" s="8">
        <v>426.0</v>
      </c>
      <c r="F19" s="8">
        <v>874.0</v>
      </c>
      <c r="G19" s="8">
        <v>245.0</v>
      </c>
      <c r="H19" s="6" t="s">
        <v>19</v>
      </c>
      <c r="I19" s="7">
        <f t="shared" si="1"/>
        <v>0.5400761812</v>
      </c>
      <c r="J19" s="7">
        <f t="shared" si="2"/>
        <v>0.3181478715</v>
      </c>
      <c r="K19" s="7">
        <f t="shared" si="3"/>
        <v>0.8846153846</v>
      </c>
      <c r="L19" s="7">
        <f t="shared" si="4"/>
        <v>0.584725537</v>
      </c>
      <c r="M19" s="7">
        <f t="shared" si="5"/>
        <v>57.96587758</v>
      </c>
    </row>
    <row r="20" ht="15.0" customHeight="1">
      <c r="A20" s="5" t="s">
        <v>46</v>
      </c>
      <c r="B20" s="5" t="s">
        <v>48</v>
      </c>
      <c r="C20" s="5" t="s">
        <v>26</v>
      </c>
      <c r="D20" s="8">
        <v>9513.0</v>
      </c>
      <c r="E20" s="8">
        <v>582.0</v>
      </c>
      <c r="F20" s="8">
        <v>199.0</v>
      </c>
      <c r="G20" s="8">
        <v>86.0</v>
      </c>
      <c r="H20" s="6" t="s">
        <v>19</v>
      </c>
      <c r="I20" s="7">
        <f t="shared" si="1"/>
        <v>0.7704838318</v>
      </c>
      <c r="J20" s="7">
        <f t="shared" si="2"/>
        <v>0.4346527259</v>
      </c>
      <c r="K20" s="7">
        <f t="shared" si="3"/>
        <v>0.201417004</v>
      </c>
      <c r="L20" s="7">
        <f t="shared" si="4"/>
        <v>0.2052505967</v>
      </c>
      <c r="M20" s="7">
        <f t="shared" si="5"/>
        <v>43.12127013</v>
      </c>
    </row>
    <row r="21" ht="15.0" customHeight="1">
      <c r="A21" s="5" t="s">
        <v>49</v>
      </c>
      <c r="B21" s="5" t="s">
        <v>50</v>
      </c>
      <c r="C21" s="5" t="s">
        <v>17</v>
      </c>
      <c r="D21" s="8">
        <v>104.0</v>
      </c>
      <c r="E21" s="8">
        <v>15.0</v>
      </c>
      <c r="F21" s="8">
        <v>1.0</v>
      </c>
      <c r="G21" s="8">
        <v>13.0</v>
      </c>
      <c r="H21" s="6" t="s">
        <v>19</v>
      </c>
      <c r="I21" s="7">
        <f t="shared" si="1"/>
        <v>0.007942296783</v>
      </c>
      <c r="J21" s="7">
        <f t="shared" si="2"/>
        <v>0.01120238984</v>
      </c>
      <c r="K21" s="7">
        <f t="shared" si="3"/>
        <v>0.001012145749</v>
      </c>
      <c r="L21" s="7">
        <f t="shared" si="4"/>
        <v>0.03102625298</v>
      </c>
      <c r="M21" s="7">
        <f t="shared" si="5"/>
        <v>1.164157353</v>
      </c>
    </row>
    <row r="22" ht="15.0" customHeight="1">
      <c r="A22" s="5" t="s">
        <v>49</v>
      </c>
      <c r="B22" s="5" t="s">
        <v>51</v>
      </c>
      <c r="C22" s="5" t="s">
        <v>29</v>
      </c>
      <c r="D22" s="8">
        <v>354.0</v>
      </c>
      <c r="E22" s="8">
        <v>12.0</v>
      </c>
      <c r="F22" s="8">
        <v>0.0</v>
      </c>
      <c r="G22" s="8">
        <v>2.0</v>
      </c>
      <c r="H22" s="6" t="s">
        <v>19</v>
      </c>
      <c r="I22" s="7">
        <f t="shared" si="1"/>
        <v>0.02820325796</v>
      </c>
      <c r="J22" s="7">
        <f t="shared" si="2"/>
        <v>0.008961911875</v>
      </c>
      <c r="K22" s="7">
        <f t="shared" si="3"/>
        <v>0</v>
      </c>
      <c r="L22" s="7">
        <f t="shared" si="4"/>
        <v>0.00477326969</v>
      </c>
      <c r="M22" s="7">
        <f t="shared" si="5"/>
        <v>1.16561093</v>
      </c>
    </row>
    <row r="23" ht="15.0" customHeight="1">
      <c r="A23" s="5" t="s">
        <v>52</v>
      </c>
      <c r="B23" s="5" t="s">
        <v>53</v>
      </c>
      <c r="C23" s="5" t="s">
        <v>29</v>
      </c>
      <c r="D23" s="8">
        <v>509.0</v>
      </c>
      <c r="E23" s="8">
        <v>8.0</v>
      </c>
      <c r="F23" s="8">
        <v>119.0</v>
      </c>
      <c r="G23" s="8">
        <v>12.0</v>
      </c>
      <c r="H23" s="6" t="s">
        <v>19</v>
      </c>
      <c r="I23" s="7">
        <f t="shared" si="1"/>
        <v>0.04076505389</v>
      </c>
      <c r="J23" s="7">
        <f t="shared" si="2"/>
        <v>0.005974607916</v>
      </c>
      <c r="K23" s="7">
        <f t="shared" si="3"/>
        <v>0.1204453441</v>
      </c>
      <c r="L23" s="7">
        <f t="shared" si="4"/>
        <v>0.02863961814</v>
      </c>
      <c r="M23" s="7">
        <f t="shared" si="5"/>
        <v>4.956242781</v>
      </c>
    </row>
    <row r="24" ht="15.0" customHeight="1">
      <c r="A24" s="5" t="s">
        <v>52</v>
      </c>
      <c r="B24" s="5" t="s">
        <v>54</v>
      </c>
      <c r="C24" s="5" t="s">
        <v>21</v>
      </c>
      <c r="D24" s="8">
        <v>507.0</v>
      </c>
      <c r="E24" s="8">
        <v>3.0</v>
      </c>
      <c r="F24" s="8">
        <v>99.0</v>
      </c>
      <c r="G24" s="8">
        <v>10.0</v>
      </c>
      <c r="H24" s="6" t="s">
        <v>19</v>
      </c>
      <c r="I24" s="7">
        <f t="shared" si="1"/>
        <v>0.0406029662</v>
      </c>
      <c r="J24" s="7">
        <f t="shared" si="2"/>
        <v>0.002240477969</v>
      </c>
      <c r="K24" s="7">
        <f t="shared" si="3"/>
        <v>0.1002024291</v>
      </c>
      <c r="L24" s="7">
        <f t="shared" si="4"/>
        <v>0.02386634845</v>
      </c>
      <c r="M24" s="7">
        <f t="shared" si="5"/>
        <v>4.256488633</v>
      </c>
    </row>
    <row r="25" ht="15.0" customHeight="1">
      <c r="A25" s="5" t="s">
        <v>55</v>
      </c>
      <c r="B25" s="5" t="s">
        <v>56</v>
      </c>
      <c r="C25" s="5" t="s">
        <v>17</v>
      </c>
      <c r="D25" s="9">
        <v>114.0</v>
      </c>
      <c r="E25" s="9">
        <v>5.0</v>
      </c>
      <c r="F25" s="9">
        <v>8.0</v>
      </c>
      <c r="G25" s="9">
        <v>33.0</v>
      </c>
      <c r="H25" s="6" t="s">
        <v>19</v>
      </c>
      <c r="I25" s="7">
        <f t="shared" si="1"/>
        <v>0.00875273523</v>
      </c>
      <c r="J25" s="7">
        <f t="shared" si="2"/>
        <v>0.003734129948</v>
      </c>
      <c r="K25" s="7">
        <f t="shared" si="3"/>
        <v>0.008097165992</v>
      </c>
      <c r="L25" s="7">
        <f t="shared" si="4"/>
        <v>0.07875894988</v>
      </c>
      <c r="M25" s="7">
        <f t="shared" si="5"/>
        <v>2.133543453</v>
      </c>
    </row>
    <row r="26" ht="15.0" customHeight="1">
      <c r="A26" s="5" t="s">
        <v>55</v>
      </c>
      <c r="B26" s="5" t="s">
        <v>57</v>
      </c>
      <c r="C26" s="5" t="s">
        <v>17</v>
      </c>
      <c r="D26" s="8">
        <v>114.0</v>
      </c>
      <c r="E26" s="8">
        <v>5.0</v>
      </c>
      <c r="F26" s="8">
        <v>8.0</v>
      </c>
      <c r="G26" s="8">
        <v>33.0</v>
      </c>
      <c r="H26" s="6" t="s">
        <v>19</v>
      </c>
      <c r="I26" s="7">
        <f t="shared" si="1"/>
        <v>0.00875273523</v>
      </c>
      <c r="J26" s="7">
        <f t="shared" si="2"/>
        <v>0.003734129948</v>
      </c>
      <c r="K26" s="7">
        <f t="shared" si="3"/>
        <v>0.008097165992</v>
      </c>
      <c r="L26" s="7">
        <f t="shared" si="4"/>
        <v>0.07875894988</v>
      </c>
      <c r="M26" s="7">
        <f t="shared" si="5"/>
        <v>2.133543453</v>
      </c>
    </row>
    <row r="27" ht="15.0" customHeight="1">
      <c r="A27" s="5" t="s">
        <v>58</v>
      </c>
      <c r="B27" s="5" t="s">
        <v>59</v>
      </c>
      <c r="C27" s="5" t="s">
        <v>24</v>
      </c>
      <c r="D27" s="8">
        <v>36.0</v>
      </c>
      <c r="E27" s="8">
        <v>133.0</v>
      </c>
      <c r="F27" s="8">
        <v>69.0</v>
      </c>
      <c r="G27" s="8">
        <v>162.0</v>
      </c>
      <c r="H27" s="6" t="s">
        <v>19</v>
      </c>
      <c r="I27" s="7">
        <f t="shared" si="1"/>
        <v>0.002431315342</v>
      </c>
      <c r="J27" s="7">
        <f t="shared" si="2"/>
        <v>0.09932785661</v>
      </c>
      <c r="K27" s="7">
        <f t="shared" si="3"/>
        <v>0.06983805668</v>
      </c>
      <c r="L27" s="7">
        <f t="shared" si="4"/>
        <v>0.3866348449</v>
      </c>
      <c r="M27" s="7">
        <f t="shared" si="5"/>
        <v>12.03478419</v>
      </c>
    </row>
    <row r="28" ht="15.0" customHeight="1">
      <c r="A28" s="5" t="s">
        <v>58</v>
      </c>
      <c r="B28" s="5" t="s">
        <v>60</v>
      </c>
      <c r="C28" s="5" t="s">
        <v>26</v>
      </c>
      <c r="D28" s="8">
        <v>201.0</v>
      </c>
      <c r="E28" s="8">
        <v>174.0</v>
      </c>
      <c r="F28" s="8">
        <v>70.0</v>
      </c>
      <c r="G28" s="8">
        <v>56.0</v>
      </c>
      <c r="H28" s="6" t="s">
        <v>19</v>
      </c>
      <c r="I28" s="7">
        <f t="shared" si="1"/>
        <v>0.01580354972</v>
      </c>
      <c r="J28" s="7">
        <f t="shared" si="2"/>
        <v>0.1299477222</v>
      </c>
      <c r="K28" s="7">
        <f t="shared" si="3"/>
        <v>0.07085020243</v>
      </c>
      <c r="L28" s="7">
        <f t="shared" si="4"/>
        <v>0.1336515513</v>
      </c>
      <c r="M28" s="7">
        <f t="shared" si="5"/>
        <v>8.167085633</v>
      </c>
    </row>
    <row r="29" ht="15.0" customHeight="1">
      <c r="A29" s="5" t="s">
        <v>61</v>
      </c>
      <c r="B29" s="5" t="s">
        <v>62</v>
      </c>
      <c r="C29" s="5" t="s">
        <v>17</v>
      </c>
      <c r="D29" s="8">
        <v>545.0</v>
      </c>
      <c r="E29" s="8">
        <v>2.0</v>
      </c>
      <c r="F29" s="8">
        <v>27.0</v>
      </c>
      <c r="G29" s="8">
        <v>13.0</v>
      </c>
      <c r="H29" s="6" t="s">
        <v>19</v>
      </c>
      <c r="I29" s="7">
        <f t="shared" si="1"/>
        <v>0.0436826323</v>
      </c>
      <c r="J29" s="7">
        <f t="shared" si="2"/>
        <v>0.001493651979</v>
      </c>
      <c r="K29" s="7">
        <f t="shared" si="3"/>
        <v>0.02732793522</v>
      </c>
      <c r="L29" s="7">
        <f t="shared" si="4"/>
        <v>0.03102625298</v>
      </c>
      <c r="M29" s="7">
        <f t="shared" si="5"/>
        <v>2.651543709</v>
      </c>
    </row>
    <row r="30" ht="15.0" customHeight="1">
      <c r="A30" s="5" t="s">
        <v>61</v>
      </c>
      <c r="B30" s="5" t="s">
        <v>63</v>
      </c>
      <c r="C30" s="5" t="s">
        <v>41</v>
      </c>
      <c r="D30" s="8">
        <v>260.0</v>
      </c>
      <c r="E30" s="8">
        <v>3.0</v>
      </c>
      <c r="F30" s="8">
        <v>13.0</v>
      </c>
      <c r="G30" s="8">
        <v>2.0</v>
      </c>
      <c r="H30" s="6" t="s">
        <v>19</v>
      </c>
      <c r="I30" s="7">
        <f t="shared" si="1"/>
        <v>0.02058513656</v>
      </c>
      <c r="J30" s="7">
        <f t="shared" si="2"/>
        <v>0.002240477969</v>
      </c>
      <c r="K30" s="7">
        <f t="shared" si="3"/>
        <v>0.01315789474</v>
      </c>
      <c r="L30" s="7">
        <f t="shared" si="4"/>
        <v>0.00477326969</v>
      </c>
      <c r="M30" s="7">
        <f t="shared" si="5"/>
        <v>1.097978808</v>
      </c>
    </row>
    <row r="31" ht="15.0" customHeight="1">
      <c r="A31" s="5" t="s">
        <v>64</v>
      </c>
      <c r="B31" s="5" t="s">
        <v>65</v>
      </c>
      <c r="C31" s="5" t="s">
        <v>17</v>
      </c>
      <c r="D31" s="8">
        <v>279.0</v>
      </c>
      <c r="E31" s="8">
        <v>25.0</v>
      </c>
      <c r="F31" s="8">
        <v>34.0</v>
      </c>
      <c r="G31" s="8">
        <v>28.0</v>
      </c>
      <c r="H31" s="6" t="s">
        <v>19</v>
      </c>
      <c r="I31" s="7">
        <f t="shared" si="1"/>
        <v>0.02212496961</v>
      </c>
      <c r="J31" s="7">
        <f t="shared" si="2"/>
        <v>0.01867064974</v>
      </c>
      <c r="K31" s="7">
        <f t="shared" si="3"/>
        <v>0.03441295547</v>
      </c>
      <c r="L31" s="7">
        <f t="shared" si="4"/>
        <v>0.06682577566</v>
      </c>
      <c r="M31" s="7">
        <f t="shared" si="5"/>
        <v>3.327354731</v>
      </c>
    </row>
    <row r="32" ht="15.0" customHeight="1">
      <c r="A32" s="5" t="s">
        <v>64</v>
      </c>
      <c r="B32" s="5" t="s">
        <v>66</v>
      </c>
      <c r="C32" s="5" t="s">
        <v>21</v>
      </c>
      <c r="D32" s="8">
        <v>363.0</v>
      </c>
      <c r="E32" s="8">
        <v>9.0</v>
      </c>
      <c r="F32" s="8">
        <v>10.0</v>
      </c>
      <c r="G32" s="8">
        <v>13.0</v>
      </c>
      <c r="H32" s="6" t="s">
        <v>19</v>
      </c>
      <c r="I32" s="7">
        <f t="shared" si="1"/>
        <v>0.02893265257</v>
      </c>
      <c r="J32" s="7">
        <f t="shared" si="2"/>
        <v>0.006721433906</v>
      </c>
      <c r="K32" s="7">
        <f t="shared" si="3"/>
        <v>0.01012145749</v>
      </c>
      <c r="L32" s="7">
        <f t="shared" si="4"/>
        <v>0.03102625298</v>
      </c>
      <c r="M32" s="7">
        <f t="shared" si="5"/>
        <v>1.909576922</v>
      </c>
    </row>
    <row r="33" ht="15.0" customHeight="1">
      <c r="A33" s="5" t="s">
        <v>67</v>
      </c>
      <c r="B33" s="5" t="s">
        <v>68</v>
      </c>
      <c r="C33" s="5" t="s">
        <v>69</v>
      </c>
      <c r="D33" s="8">
        <v>6.0</v>
      </c>
      <c r="E33" s="8">
        <v>0.0</v>
      </c>
      <c r="F33" s="8">
        <v>0.0</v>
      </c>
      <c r="G33" s="8">
        <v>1.0</v>
      </c>
      <c r="H33" s="6" t="s">
        <v>19</v>
      </c>
      <c r="I33" s="7">
        <f t="shared" si="1"/>
        <v>0</v>
      </c>
      <c r="J33" s="7">
        <f t="shared" si="2"/>
        <v>0</v>
      </c>
      <c r="K33" s="7">
        <f t="shared" si="3"/>
        <v>0</v>
      </c>
      <c r="L33" s="7">
        <f t="shared" si="4"/>
        <v>0.002386634845</v>
      </c>
      <c r="M33" s="7">
        <f t="shared" si="5"/>
        <v>0.0477326969</v>
      </c>
    </row>
    <row r="34" ht="15.0" customHeight="1">
      <c r="A34" s="5" t="s">
        <v>67</v>
      </c>
      <c r="B34" s="5" t="s">
        <v>70</v>
      </c>
      <c r="C34" s="5" t="s">
        <v>21</v>
      </c>
      <c r="D34" s="8">
        <v>18.0</v>
      </c>
      <c r="E34" s="8">
        <v>1.0</v>
      </c>
      <c r="F34" s="8">
        <v>0.0</v>
      </c>
      <c r="G34" s="8">
        <v>0.0</v>
      </c>
      <c r="H34" s="6" t="s">
        <v>19</v>
      </c>
      <c r="I34" s="7">
        <f t="shared" si="1"/>
        <v>0.0009725261366</v>
      </c>
      <c r="J34" s="7">
        <f t="shared" si="2"/>
        <v>0.0007468259895</v>
      </c>
      <c r="K34" s="7">
        <f t="shared" si="3"/>
        <v>0</v>
      </c>
      <c r="L34" s="7">
        <f t="shared" si="4"/>
        <v>0</v>
      </c>
      <c r="M34" s="7">
        <f t="shared" si="5"/>
        <v>0.04784643384</v>
      </c>
    </row>
    <row r="35" ht="15.75" customHeight="1">
      <c r="A35" s="3"/>
      <c r="B35" s="3"/>
      <c r="C35" s="3"/>
      <c r="H35" s="3"/>
      <c r="I35" s="3"/>
      <c r="J35" s="3"/>
      <c r="K35" s="3"/>
      <c r="L35" s="3"/>
      <c r="M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</sheetData>
  <mergeCells count="2">
    <mergeCell ref="A1:M1"/>
    <mergeCell ref="A2:M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42.0"/>
    <col customWidth="1" min="3" max="3" width="39.0"/>
    <col customWidth="1" min="4" max="9" width="20.0"/>
    <col customWidth="1" min="10" max="26" width="8.71"/>
  </cols>
  <sheetData>
    <row r="1" ht="15.0" customHeight="1">
      <c r="A1" s="1" t="s">
        <v>82</v>
      </c>
    </row>
    <row r="2" ht="15.0" customHeight="1">
      <c r="A2" s="2" t="s">
        <v>83</v>
      </c>
    </row>
    <row r="3">
      <c r="A3" s="3"/>
      <c r="B3" s="3"/>
      <c r="C3" s="3"/>
      <c r="D3" s="3"/>
      <c r="E3" s="3"/>
      <c r="F3" s="3"/>
      <c r="G3" s="3"/>
      <c r="H3" s="3"/>
      <c r="I3" s="3"/>
    </row>
    <row r="4" ht="26.25" customHeight="1">
      <c r="A4" s="4" t="s">
        <v>2</v>
      </c>
      <c r="B4" s="4" t="s">
        <v>3</v>
      </c>
      <c r="C4" s="4" t="s">
        <v>4</v>
      </c>
      <c r="D4" s="4" t="s">
        <v>84</v>
      </c>
      <c r="E4" s="4" t="s">
        <v>85</v>
      </c>
      <c r="F4" s="4" t="s">
        <v>9</v>
      </c>
      <c r="G4" s="4" t="s">
        <v>86</v>
      </c>
      <c r="H4" s="4" t="s">
        <v>87</v>
      </c>
      <c r="I4" s="4" t="s">
        <v>88</v>
      </c>
    </row>
    <row r="5" ht="15.0" customHeight="1">
      <c r="A5" s="5" t="s">
        <v>15</v>
      </c>
      <c r="B5" s="5" t="s">
        <v>16</v>
      </c>
      <c r="C5" s="5" t="s">
        <v>17</v>
      </c>
      <c r="D5" s="8">
        <v>775.0</v>
      </c>
      <c r="E5" s="8">
        <v>2575.0</v>
      </c>
      <c r="F5" s="6" t="s">
        <v>19</v>
      </c>
      <c r="G5" s="7">
        <f t="shared" ref="G5:G34" si="1">(D5-min($D$5:$D$34))/(max($D$5:$D$34)-min($D$5:$D$34))</f>
        <v>0.1662020159</v>
      </c>
      <c r="H5" s="7">
        <f t="shared" ref="H5:H34" si="2">(E5-min($E$5:$E$34))/(max($E$5:$E$34)-min($E$5:$E$34))</f>
        <v>0.4907318938</v>
      </c>
      <c r="I5" s="7">
        <f t="shared" ref="I5:I34" si="3">(0.55*G5+0.45*H5)*100</f>
        <v>31.22404609</v>
      </c>
    </row>
    <row r="6" ht="15.0" customHeight="1">
      <c r="A6" s="5" t="s">
        <v>15</v>
      </c>
      <c r="B6" s="5" t="s">
        <v>20</v>
      </c>
      <c r="C6" s="5" t="s">
        <v>21</v>
      </c>
      <c r="D6" s="8">
        <v>831.0</v>
      </c>
      <c r="E6" s="8">
        <v>2218.0</v>
      </c>
      <c r="F6" s="6" t="s">
        <v>19</v>
      </c>
      <c r="G6" s="7">
        <f t="shared" si="1"/>
        <v>0.1782114519</v>
      </c>
      <c r="H6" s="7">
        <f t="shared" si="2"/>
        <v>0.422510988</v>
      </c>
      <c r="I6" s="7">
        <f t="shared" si="3"/>
        <v>28.81462431</v>
      </c>
    </row>
    <row r="7" ht="15.0" customHeight="1">
      <c r="A7" s="5" t="s">
        <v>22</v>
      </c>
      <c r="B7" s="5" t="s">
        <v>23</v>
      </c>
      <c r="C7" s="5" t="s">
        <v>24</v>
      </c>
      <c r="D7" s="8">
        <v>324.0</v>
      </c>
      <c r="E7" s="8">
        <v>2246.0</v>
      </c>
      <c r="F7" s="6" t="s">
        <v>19</v>
      </c>
      <c r="G7" s="7">
        <f t="shared" si="1"/>
        <v>0.06948316534</v>
      </c>
      <c r="H7" s="7">
        <f t="shared" si="2"/>
        <v>0.4278616472</v>
      </c>
      <c r="I7" s="7">
        <f t="shared" si="3"/>
        <v>23.07534822</v>
      </c>
    </row>
    <row r="8" ht="15.0" customHeight="1">
      <c r="A8" s="5" t="s">
        <v>22</v>
      </c>
      <c r="B8" s="5" t="s">
        <v>25</v>
      </c>
      <c r="C8" s="5" t="s">
        <v>26</v>
      </c>
      <c r="D8" s="8">
        <v>277.0</v>
      </c>
      <c r="E8" s="8">
        <v>567.0</v>
      </c>
      <c r="F8" s="6" t="s">
        <v>19</v>
      </c>
      <c r="G8" s="7">
        <f t="shared" si="1"/>
        <v>0.05940381729</v>
      </c>
      <c r="H8" s="7">
        <f t="shared" si="2"/>
        <v>0.1070131856</v>
      </c>
      <c r="I8" s="7">
        <f t="shared" si="3"/>
        <v>8.082803301</v>
      </c>
    </row>
    <row r="9" ht="15.0" customHeight="1">
      <c r="A9" s="5" t="s">
        <v>27</v>
      </c>
      <c r="B9" s="5" t="s">
        <v>28</v>
      </c>
      <c r="C9" s="5" t="s">
        <v>29</v>
      </c>
      <c r="D9" s="8">
        <v>311.0</v>
      </c>
      <c r="E9" s="8">
        <v>905.0</v>
      </c>
      <c r="F9" s="6" t="s">
        <v>19</v>
      </c>
      <c r="G9" s="7">
        <f t="shared" si="1"/>
        <v>0.06669526056</v>
      </c>
      <c r="H9" s="7">
        <f t="shared" si="2"/>
        <v>0.1716032868</v>
      </c>
      <c r="I9" s="7">
        <f t="shared" si="3"/>
        <v>11.39038724</v>
      </c>
    </row>
    <row r="10" ht="15.0" customHeight="1">
      <c r="A10" s="5" t="s">
        <v>27</v>
      </c>
      <c r="B10" s="5" t="s">
        <v>30</v>
      </c>
      <c r="C10" s="5" t="s">
        <v>31</v>
      </c>
      <c r="D10" s="8">
        <v>337.0</v>
      </c>
      <c r="E10" s="8">
        <v>269.0</v>
      </c>
      <c r="F10" s="6" t="s">
        <v>19</v>
      </c>
      <c r="G10" s="7">
        <f t="shared" si="1"/>
        <v>0.07227107013</v>
      </c>
      <c r="H10" s="7">
        <f t="shared" si="2"/>
        <v>0.05006688324</v>
      </c>
      <c r="I10" s="7">
        <f t="shared" si="3"/>
        <v>6.227918603</v>
      </c>
    </row>
    <row r="11" ht="15.0" customHeight="1">
      <c r="A11" s="5" t="s">
        <v>32</v>
      </c>
      <c r="B11" s="5" t="s">
        <v>33</v>
      </c>
      <c r="C11" s="5" t="s">
        <v>17</v>
      </c>
      <c r="D11" s="8">
        <v>400.0</v>
      </c>
      <c r="E11" s="8">
        <v>464.0</v>
      </c>
      <c r="F11" s="6" t="s">
        <v>19</v>
      </c>
      <c r="G11" s="7">
        <f t="shared" si="1"/>
        <v>0.08578168561</v>
      </c>
      <c r="H11" s="7">
        <f t="shared" si="2"/>
        <v>0.08733040321</v>
      </c>
      <c r="I11" s="7">
        <f t="shared" si="3"/>
        <v>8.647860853</v>
      </c>
    </row>
    <row r="12" ht="15.0" customHeight="1">
      <c r="A12" s="5" t="s">
        <v>32</v>
      </c>
      <c r="B12" s="5" t="s">
        <v>34</v>
      </c>
      <c r="C12" s="5" t="s">
        <v>26</v>
      </c>
      <c r="D12" s="8">
        <v>289.0</v>
      </c>
      <c r="E12" s="8">
        <v>203.0</v>
      </c>
      <c r="F12" s="6" t="s">
        <v>19</v>
      </c>
      <c r="G12" s="7">
        <f t="shared" si="1"/>
        <v>0.06197726785</v>
      </c>
      <c r="H12" s="7">
        <f t="shared" si="2"/>
        <v>0.03745461494</v>
      </c>
      <c r="I12" s="7">
        <f t="shared" si="3"/>
        <v>5.094207404</v>
      </c>
    </row>
    <row r="13" ht="15.0" customHeight="1">
      <c r="A13" s="5" t="s">
        <v>35</v>
      </c>
      <c r="B13" s="5" t="s">
        <v>36</v>
      </c>
      <c r="C13" s="5" t="s">
        <v>17</v>
      </c>
      <c r="D13" s="8">
        <v>826.0</v>
      </c>
      <c r="E13" s="8">
        <v>585.0</v>
      </c>
      <c r="F13" s="6" t="s">
        <v>19</v>
      </c>
      <c r="G13" s="7">
        <f t="shared" si="1"/>
        <v>0.1771391808</v>
      </c>
      <c r="H13" s="7">
        <f t="shared" si="2"/>
        <v>0.1104528951</v>
      </c>
      <c r="I13" s="7">
        <f t="shared" si="3"/>
        <v>14.71303522</v>
      </c>
    </row>
    <row r="14" ht="15.0" customHeight="1">
      <c r="A14" s="5" t="s">
        <v>35</v>
      </c>
      <c r="B14" s="5" t="s">
        <v>37</v>
      </c>
      <c r="C14" s="5" t="s">
        <v>26</v>
      </c>
      <c r="D14" s="8">
        <v>948.0</v>
      </c>
      <c r="E14" s="8">
        <v>270.0</v>
      </c>
      <c r="F14" s="6" t="s">
        <v>19</v>
      </c>
      <c r="G14" s="7">
        <f t="shared" si="1"/>
        <v>0.2033025949</v>
      </c>
      <c r="H14" s="7">
        <f t="shared" si="2"/>
        <v>0.05025797822</v>
      </c>
      <c r="I14" s="7">
        <f t="shared" si="3"/>
        <v>13.44325174</v>
      </c>
    </row>
    <row r="15" ht="15.0" customHeight="1">
      <c r="A15" s="5" t="s">
        <v>38</v>
      </c>
      <c r="B15" s="5" t="s">
        <v>39</v>
      </c>
      <c r="C15" s="5" t="s">
        <v>17</v>
      </c>
      <c r="D15" s="8">
        <v>1054.0</v>
      </c>
      <c r="E15" s="8">
        <v>422.0</v>
      </c>
      <c r="F15" s="6" t="s">
        <v>19</v>
      </c>
      <c r="G15" s="7">
        <f t="shared" si="1"/>
        <v>0.2260347416</v>
      </c>
      <c r="H15" s="7">
        <f t="shared" si="2"/>
        <v>0.07930441429</v>
      </c>
      <c r="I15" s="7">
        <f t="shared" si="3"/>
        <v>16.00060943</v>
      </c>
    </row>
    <row r="16" ht="15.0" customHeight="1">
      <c r="A16" s="5" t="s">
        <v>38</v>
      </c>
      <c r="B16" s="5" t="s">
        <v>40</v>
      </c>
      <c r="C16" s="5" t="s">
        <v>41</v>
      </c>
      <c r="D16" s="8">
        <v>1808.0</v>
      </c>
      <c r="E16" s="8">
        <v>224.0</v>
      </c>
      <c r="F16" s="6" t="s">
        <v>19</v>
      </c>
      <c r="G16" s="7">
        <f t="shared" si="1"/>
        <v>0.387733219</v>
      </c>
      <c r="H16" s="7">
        <f t="shared" si="2"/>
        <v>0.0414676094</v>
      </c>
      <c r="I16" s="7">
        <f t="shared" si="3"/>
        <v>23.19136947</v>
      </c>
    </row>
    <row r="17" ht="15.0" customHeight="1">
      <c r="A17" s="5" t="s">
        <v>42</v>
      </c>
      <c r="B17" s="5" t="s">
        <v>43</v>
      </c>
      <c r="C17" s="5" t="s">
        <v>29</v>
      </c>
      <c r="D17" s="8">
        <v>1019.0</v>
      </c>
      <c r="E17" s="8">
        <v>1507.0</v>
      </c>
      <c r="F17" s="6" t="s">
        <v>19</v>
      </c>
      <c r="G17" s="7">
        <f t="shared" si="1"/>
        <v>0.2185288441</v>
      </c>
      <c r="H17" s="7">
        <f t="shared" si="2"/>
        <v>0.2866424613</v>
      </c>
      <c r="I17" s="7">
        <f t="shared" si="3"/>
        <v>24.91799718</v>
      </c>
    </row>
    <row r="18" ht="15.0" customHeight="1">
      <c r="A18" s="5" t="s">
        <v>42</v>
      </c>
      <c r="B18" s="5" t="s">
        <v>44</v>
      </c>
      <c r="C18" s="5" t="s">
        <v>45</v>
      </c>
      <c r="D18" s="8">
        <v>788.0</v>
      </c>
      <c r="E18" s="8">
        <v>956.0</v>
      </c>
      <c r="F18" s="6" t="s">
        <v>19</v>
      </c>
      <c r="G18" s="7">
        <f t="shared" si="1"/>
        <v>0.1689899207</v>
      </c>
      <c r="H18" s="7">
        <f t="shared" si="2"/>
        <v>0.1813491305</v>
      </c>
      <c r="I18" s="7">
        <f t="shared" si="3"/>
        <v>17.45515651</v>
      </c>
    </row>
    <row r="19" ht="15.0" customHeight="1">
      <c r="A19" s="5" t="s">
        <v>46</v>
      </c>
      <c r="B19" s="5" t="s">
        <v>47</v>
      </c>
      <c r="C19" s="5" t="s">
        <v>17</v>
      </c>
      <c r="D19" s="8">
        <v>4663.0</v>
      </c>
      <c r="E19" s="8">
        <v>5059.0</v>
      </c>
      <c r="F19" s="6" t="s">
        <v>19</v>
      </c>
      <c r="G19" s="7">
        <f t="shared" si="1"/>
        <v>1</v>
      </c>
      <c r="H19" s="7">
        <f t="shared" si="2"/>
        <v>0.9654118097</v>
      </c>
      <c r="I19" s="7">
        <f t="shared" si="3"/>
        <v>98.44353144</v>
      </c>
    </row>
    <row r="20" ht="15.0" customHeight="1">
      <c r="A20" s="5" t="s">
        <v>46</v>
      </c>
      <c r="B20" s="5" t="s">
        <v>48</v>
      </c>
      <c r="C20" s="5" t="s">
        <v>26</v>
      </c>
      <c r="D20" s="8">
        <v>4641.0</v>
      </c>
      <c r="E20" s="8">
        <v>5240.0</v>
      </c>
      <c r="F20" s="6" t="s">
        <v>19</v>
      </c>
      <c r="G20" s="7">
        <f t="shared" si="1"/>
        <v>0.9952820073</v>
      </c>
      <c r="H20" s="7">
        <f t="shared" si="2"/>
        <v>1</v>
      </c>
      <c r="I20" s="7">
        <f t="shared" si="3"/>
        <v>99.7405104</v>
      </c>
    </row>
    <row r="21" ht="15.0" customHeight="1">
      <c r="A21" s="5" t="s">
        <v>49</v>
      </c>
      <c r="B21" s="5" t="s">
        <v>50</v>
      </c>
      <c r="C21" s="5" t="s">
        <v>17</v>
      </c>
      <c r="D21" s="8">
        <v>97.0</v>
      </c>
      <c r="E21" s="8">
        <v>46.0</v>
      </c>
      <c r="F21" s="6" t="s">
        <v>19</v>
      </c>
      <c r="G21" s="7">
        <f t="shared" si="1"/>
        <v>0.02080205876</v>
      </c>
      <c r="H21" s="7">
        <f t="shared" si="2"/>
        <v>0.007452703994</v>
      </c>
      <c r="I21" s="7">
        <f t="shared" si="3"/>
        <v>1.479484912</v>
      </c>
    </row>
    <row r="22" ht="15.0" customHeight="1">
      <c r="A22" s="5" t="s">
        <v>49</v>
      </c>
      <c r="B22" s="5" t="s">
        <v>51</v>
      </c>
      <c r="C22" s="5" t="s">
        <v>29</v>
      </c>
      <c r="D22" s="8">
        <v>382.0</v>
      </c>
      <c r="E22" s="8">
        <v>26.0</v>
      </c>
      <c r="F22" s="6" t="s">
        <v>19</v>
      </c>
      <c r="G22" s="7">
        <f t="shared" si="1"/>
        <v>0.08192150976</v>
      </c>
      <c r="H22" s="7">
        <f t="shared" si="2"/>
        <v>0.00363080451</v>
      </c>
      <c r="I22" s="7">
        <f t="shared" si="3"/>
        <v>4.66906924</v>
      </c>
    </row>
    <row r="23" ht="15.0" customHeight="1">
      <c r="A23" s="5" t="s">
        <v>52</v>
      </c>
      <c r="B23" s="5" t="s">
        <v>53</v>
      </c>
      <c r="C23" s="5" t="s">
        <v>29</v>
      </c>
      <c r="D23" s="8">
        <v>421.0</v>
      </c>
      <c r="E23" s="8">
        <v>377.0</v>
      </c>
      <c r="F23" s="6" t="s">
        <v>19</v>
      </c>
      <c r="G23" s="7">
        <f t="shared" si="1"/>
        <v>0.0902852241</v>
      </c>
      <c r="H23" s="7">
        <f t="shared" si="2"/>
        <v>0.07070514045</v>
      </c>
      <c r="I23" s="7">
        <f t="shared" si="3"/>
        <v>8.147418646</v>
      </c>
    </row>
    <row r="24" ht="15.0" customHeight="1">
      <c r="A24" s="5" t="s">
        <v>52</v>
      </c>
      <c r="B24" s="5" t="s">
        <v>54</v>
      </c>
      <c r="C24" s="5" t="s">
        <v>21</v>
      </c>
      <c r="D24" s="8">
        <v>510.0</v>
      </c>
      <c r="E24" s="8">
        <v>345.0</v>
      </c>
      <c r="F24" s="6" t="s">
        <v>19</v>
      </c>
      <c r="G24" s="7">
        <f t="shared" si="1"/>
        <v>0.1093716492</v>
      </c>
      <c r="H24" s="7">
        <f t="shared" si="2"/>
        <v>0.06459010128</v>
      </c>
      <c r="I24" s="7">
        <f t="shared" si="3"/>
        <v>8.921995261</v>
      </c>
    </row>
    <row r="25" ht="15.0" customHeight="1">
      <c r="A25" s="5" t="s">
        <v>55</v>
      </c>
      <c r="B25" s="5" t="s">
        <v>56</v>
      </c>
      <c r="C25" s="5" t="s">
        <v>17</v>
      </c>
      <c r="D25" s="9">
        <v>83.0</v>
      </c>
      <c r="E25" s="9">
        <v>98.0</v>
      </c>
      <c r="F25" s="6" t="s">
        <v>19</v>
      </c>
      <c r="G25" s="7">
        <f t="shared" si="1"/>
        <v>0.01779969976</v>
      </c>
      <c r="H25" s="7">
        <f t="shared" si="2"/>
        <v>0.01738964265</v>
      </c>
      <c r="I25" s="7">
        <f t="shared" si="3"/>
        <v>1.761517406</v>
      </c>
    </row>
    <row r="26" ht="15.0" customHeight="1">
      <c r="A26" s="5" t="s">
        <v>55</v>
      </c>
      <c r="B26" s="5" t="s">
        <v>57</v>
      </c>
      <c r="C26" s="5" t="s">
        <v>17</v>
      </c>
      <c r="D26" s="8">
        <v>83.0</v>
      </c>
      <c r="E26" s="8">
        <v>98.0</v>
      </c>
      <c r="F26" s="6" t="s">
        <v>19</v>
      </c>
      <c r="G26" s="7">
        <f t="shared" si="1"/>
        <v>0.01779969976</v>
      </c>
      <c r="H26" s="7">
        <f t="shared" si="2"/>
        <v>0.01738964265</v>
      </c>
      <c r="I26" s="7">
        <f t="shared" si="3"/>
        <v>1.761517406</v>
      </c>
    </row>
    <row r="27" ht="15.0" customHeight="1">
      <c r="A27" s="5" t="s">
        <v>58</v>
      </c>
      <c r="B27" s="5" t="s">
        <v>59</v>
      </c>
      <c r="C27" s="5" t="s">
        <v>24</v>
      </c>
      <c r="D27" s="8">
        <v>72.0</v>
      </c>
      <c r="E27" s="8">
        <v>234.0</v>
      </c>
      <c r="F27" s="6" t="s">
        <v>19</v>
      </c>
      <c r="G27" s="7">
        <f t="shared" si="1"/>
        <v>0.01544070341</v>
      </c>
      <c r="H27" s="7">
        <f t="shared" si="2"/>
        <v>0.04337855914</v>
      </c>
      <c r="I27" s="7">
        <f t="shared" si="3"/>
        <v>2.801273849</v>
      </c>
    </row>
    <row r="28" ht="15.0" customHeight="1">
      <c r="A28" s="5" t="s">
        <v>58</v>
      </c>
      <c r="B28" s="5" t="s">
        <v>60</v>
      </c>
      <c r="C28" s="5" t="s">
        <v>26</v>
      </c>
      <c r="D28" s="8">
        <v>61.0</v>
      </c>
      <c r="E28" s="8">
        <v>137.0</v>
      </c>
      <c r="F28" s="6" t="s">
        <v>19</v>
      </c>
      <c r="G28" s="7">
        <f t="shared" si="1"/>
        <v>0.01308170706</v>
      </c>
      <c r="H28" s="7">
        <f t="shared" si="2"/>
        <v>0.02484234665</v>
      </c>
      <c r="I28" s="7">
        <f t="shared" si="3"/>
        <v>1.837399487</v>
      </c>
    </row>
    <row r="29" ht="15.0" customHeight="1">
      <c r="A29" s="5" t="s">
        <v>61</v>
      </c>
      <c r="B29" s="5" t="s">
        <v>62</v>
      </c>
      <c r="C29" s="5" t="s">
        <v>17</v>
      </c>
      <c r="D29" s="8">
        <v>62.0</v>
      </c>
      <c r="E29" s="8">
        <v>408.0</v>
      </c>
      <c r="F29" s="6" t="s">
        <v>19</v>
      </c>
      <c r="G29" s="7">
        <f t="shared" si="1"/>
        <v>0.01329616127</v>
      </c>
      <c r="H29" s="7">
        <f t="shared" si="2"/>
        <v>0.07662908466</v>
      </c>
      <c r="I29" s="7">
        <f t="shared" si="3"/>
        <v>4.179597679</v>
      </c>
    </row>
    <row r="30" ht="15.0" customHeight="1">
      <c r="A30" s="5" t="s">
        <v>61</v>
      </c>
      <c r="B30" s="5" t="s">
        <v>63</v>
      </c>
      <c r="C30" s="5" t="s">
        <v>41</v>
      </c>
      <c r="D30" s="8">
        <v>87.0</v>
      </c>
      <c r="E30" s="8">
        <v>123.0</v>
      </c>
      <c r="F30" s="6" t="s">
        <v>19</v>
      </c>
      <c r="G30" s="7">
        <f t="shared" si="1"/>
        <v>0.01865751662</v>
      </c>
      <c r="H30" s="7">
        <f t="shared" si="2"/>
        <v>0.02216701701</v>
      </c>
      <c r="I30" s="7">
        <f t="shared" si="3"/>
        <v>2.023679179</v>
      </c>
    </row>
    <row r="31" ht="15.0" customHeight="1">
      <c r="A31" s="5" t="s">
        <v>64</v>
      </c>
      <c r="B31" s="5" t="s">
        <v>65</v>
      </c>
      <c r="C31" s="5" t="s">
        <v>17</v>
      </c>
      <c r="D31" s="8">
        <v>370.0</v>
      </c>
      <c r="E31" s="8">
        <v>110.0</v>
      </c>
      <c r="F31" s="6" t="s">
        <v>19</v>
      </c>
      <c r="G31" s="7">
        <f t="shared" si="1"/>
        <v>0.07934805919</v>
      </c>
      <c r="H31" s="7">
        <f t="shared" si="2"/>
        <v>0.01968278234</v>
      </c>
      <c r="I31" s="7">
        <f t="shared" si="3"/>
        <v>5.249868461</v>
      </c>
    </row>
    <row r="32" ht="15.0" customHeight="1">
      <c r="A32" s="5" t="s">
        <v>64</v>
      </c>
      <c r="B32" s="5" t="s">
        <v>66</v>
      </c>
      <c r="C32" s="5" t="s">
        <v>21</v>
      </c>
      <c r="D32" s="8">
        <v>364.0</v>
      </c>
      <c r="E32" s="8">
        <v>99.0</v>
      </c>
      <c r="F32" s="6" t="s">
        <v>19</v>
      </c>
      <c r="G32" s="7">
        <f t="shared" si="1"/>
        <v>0.07806133391</v>
      </c>
      <c r="H32" s="7">
        <f t="shared" si="2"/>
        <v>0.01758073763</v>
      </c>
      <c r="I32" s="7">
        <f t="shared" si="3"/>
        <v>5.084506558</v>
      </c>
    </row>
    <row r="33" ht="15.0" customHeight="1">
      <c r="A33" s="5" t="s">
        <v>67</v>
      </c>
      <c r="B33" s="5" t="s">
        <v>68</v>
      </c>
      <c r="C33" s="5" t="s">
        <v>69</v>
      </c>
      <c r="D33" s="8">
        <v>0.0</v>
      </c>
      <c r="E33" s="8">
        <v>7.0</v>
      </c>
      <c r="F33" s="6" t="s">
        <v>19</v>
      </c>
      <c r="G33" s="7">
        <f t="shared" si="1"/>
        <v>0</v>
      </c>
      <c r="H33" s="7">
        <f t="shared" si="2"/>
        <v>0</v>
      </c>
      <c r="I33" s="7">
        <f t="shared" si="3"/>
        <v>0</v>
      </c>
    </row>
    <row r="34" ht="15.0" customHeight="1">
      <c r="A34" s="5" t="s">
        <v>67</v>
      </c>
      <c r="B34" s="5" t="s">
        <v>70</v>
      </c>
      <c r="C34" s="5" t="s">
        <v>21</v>
      </c>
      <c r="D34" s="8">
        <v>4.0</v>
      </c>
      <c r="E34" s="8">
        <v>8.0</v>
      </c>
      <c r="F34" s="6" t="s">
        <v>19</v>
      </c>
      <c r="G34" s="7">
        <f t="shared" si="1"/>
        <v>0.0008578168561</v>
      </c>
      <c r="H34" s="7">
        <f t="shared" si="2"/>
        <v>0.0001910949742</v>
      </c>
      <c r="I34" s="7">
        <f t="shared" si="3"/>
        <v>0.05577920092</v>
      </c>
    </row>
    <row r="35" ht="15.75" customHeight="1">
      <c r="A35" s="3"/>
      <c r="B35" s="3"/>
      <c r="C35" s="3"/>
      <c r="F35" s="3"/>
      <c r="G35" s="3"/>
      <c r="H35" s="3"/>
      <c r="I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</row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42.0"/>
    <col customWidth="1" min="3" max="3" width="34.0"/>
    <col customWidth="1" min="4" max="13" width="20.0"/>
    <col customWidth="1" min="14" max="26" width="8.71"/>
  </cols>
  <sheetData>
    <row r="1" ht="15.0" customHeight="1">
      <c r="A1" s="1" t="s">
        <v>89</v>
      </c>
    </row>
    <row r="2" ht="15.0" customHeight="1">
      <c r="A2" s="2" t="s">
        <v>90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26.25" customHeight="1">
      <c r="A4" s="4" t="s">
        <v>2</v>
      </c>
      <c r="B4" s="4" t="s">
        <v>3</v>
      </c>
      <c r="C4" s="4" t="s">
        <v>4</v>
      </c>
      <c r="D4" s="4" t="s">
        <v>91</v>
      </c>
      <c r="E4" s="4" t="s">
        <v>92</v>
      </c>
      <c r="F4" s="4" t="s">
        <v>93</v>
      </c>
      <c r="G4" s="4" t="s">
        <v>94</v>
      </c>
      <c r="H4" s="4" t="s">
        <v>9</v>
      </c>
      <c r="I4" s="4" t="s">
        <v>95</v>
      </c>
      <c r="J4" s="4" t="s">
        <v>96</v>
      </c>
      <c r="K4" s="4" t="s">
        <v>77</v>
      </c>
      <c r="L4" s="4" t="s">
        <v>87</v>
      </c>
      <c r="M4" s="4" t="s">
        <v>97</v>
      </c>
    </row>
    <row r="5" ht="15.0" customHeight="1">
      <c r="A5" s="5" t="s">
        <v>15</v>
      </c>
      <c r="B5" s="5" t="s">
        <v>16</v>
      </c>
      <c r="C5" s="5" t="s">
        <v>17</v>
      </c>
      <c r="D5" s="10">
        <v>0.0</v>
      </c>
      <c r="E5" s="10">
        <v>0.0</v>
      </c>
      <c r="F5" s="8">
        <v>11892.0</v>
      </c>
      <c r="G5" s="8">
        <v>10382.0</v>
      </c>
      <c r="H5" s="6" t="s">
        <v>19</v>
      </c>
      <c r="I5" s="7" t="str">
        <f t="shared" ref="I5:I34" si="1">(D5-min($D$5:$D$34))/(max($D$5:$D$34)-min($D$5:$D$34))</f>
        <v>#DIV/0!</v>
      </c>
      <c r="J5" s="7" t="str">
        <f t="shared" ref="J5:J34" si="2">(E5-min($E$5:$E$34))/(max($E$5:$E$34)-min($E$5:$E$34))</f>
        <v>#DIV/0!</v>
      </c>
      <c r="K5" s="7">
        <f t="shared" ref="K5:K34" si="3">(F5-min($F$5:$F$34))/(max($F$5:$F$34)-min($F$5:$F$34))</f>
        <v>0.3084907619</v>
      </c>
      <c r="L5" s="7">
        <f t="shared" ref="L5:L34" si="4">(G5-min($G$5:$G$34))/(max($G$5:$G$34)-min($G$5:$G$34))</f>
        <v>0.9526518627</v>
      </c>
      <c r="M5" s="7" t="str">
        <f t="shared" ref="M5:M34" si="5">0.3*I5+0.25*J5+0.25*K5+0.2*L5</f>
        <v>#DIV/0!</v>
      </c>
    </row>
    <row r="6" ht="15.0" customHeight="1">
      <c r="A6" s="5" t="s">
        <v>15</v>
      </c>
      <c r="B6" s="5" t="s">
        <v>20</v>
      </c>
      <c r="C6" s="5" t="s">
        <v>21</v>
      </c>
      <c r="D6" s="10">
        <v>0.0</v>
      </c>
      <c r="E6" s="10">
        <v>0.0</v>
      </c>
      <c r="F6" s="8">
        <v>12217.0</v>
      </c>
      <c r="G6" s="8">
        <v>10898.0</v>
      </c>
      <c r="H6" s="6" t="s">
        <v>19</v>
      </c>
      <c r="I6" s="7" t="str">
        <f t="shared" si="1"/>
        <v>#DIV/0!</v>
      </c>
      <c r="J6" s="7" t="str">
        <f t="shared" si="2"/>
        <v>#DIV/0!</v>
      </c>
      <c r="K6" s="7">
        <f t="shared" si="3"/>
        <v>0.3169244343</v>
      </c>
      <c r="L6" s="7">
        <f t="shared" si="4"/>
        <v>1</v>
      </c>
      <c r="M6" s="7" t="str">
        <f t="shared" si="5"/>
        <v>#DIV/0!</v>
      </c>
    </row>
    <row r="7" ht="15.0" customHeight="1">
      <c r="A7" s="5" t="s">
        <v>22</v>
      </c>
      <c r="B7" s="5" t="s">
        <v>23</v>
      </c>
      <c r="C7" s="5" t="s">
        <v>24</v>
      </c>
      <c r="D7" s="8">
        <v>0.0</v>
      </c>
      <c r="E7" s="8">
        <v>0.0</v>
      </c>
      <c r="F7" s="8">
        <v>1616.0</v>
      </c>
      <c r="G7" s="8">
        <v>2716.0</v>
      </c>
      <c r="H7" s="6" t="s">
        <v>19</v>
      </c>
      <c r="I7" s="7" t="str">
        <f t="shared" si="1"/>
        <v>#DIV/0!</v>
      </c>
      <c r="J7" s="7" t="str">
        <f t="shared" si="2"/>
        <v>#DIV/0!</v>
      </c>
      <c r="K7" s="7">
        <f t="shared" si="3"/>
        <v>0.04183101515</v>
      </c>
      <c r="L7" s="7">
        <f t="shared" si="4"/>
        <v>0.2492200404</v>
      </c>
      <c r="M7" s="7" t="str">
        <f t="shared" si="5"/>
        <v>#DIV/0!</v>
      </c>
    </row>
    <row r="8" ht="15.0" customHeight="1">
      <c r="A8" s="5" t="s">
        <v>22</v>
      </c>
      <c r="B8" s="5" t="s">
        <v>25</v>
      </c>
      <c r="C8" s="5" t="s">
        <v>26</v>
      </c>
      <c r="D8" s="8">
        <v>0.0</v>
      </c>
      <c r="E8" s="8">
        <v>0.0</v>
      </c>
      <c r="F8" s="8">
        <v>1148.0</v>
      </c>
      <c r="G8" s="8">
        <v>1358.0</v>
      </c>
      <c r="H8" s="6" t="s">
        <v>19</v>
      </c>
      <c r="I8" s="7" t="str">
        <f t="shared" si="1"/>
        <v>#DIV/0!</v>
      </c>
      <c r="J8" s="7" t="str">
        <f t="shared" si="2"/>
        <v>#DIV/0!</v>
      </c>
      <c r="K8" s="7">
        <f t="shared" si="3"/>
        <v>0.02968652688</v>
      </c>
      <c r="L8" s="7">
        <f t="shared" si="4"/>
        <v>0.1246100202</v>
      </c>
      <c r="M8" s="7" t="str">
        <f t="shared" si="5"/>
        <v>#DIV/0!</v>
      </c>
    </row>
    <row r="9" ht="15.0" customHeight="1">
      <c r="A9" s="5" t="s">
        <v>27</v>
      </c>
      <c r="B9" s="5" t="s">
        <v>28</v>
      </c>
      <c r="C9" s="5" t="s">
        <v>29</v>
      </c>
      <c r="D9" s="10">
        <v>0.0</v>
      </c>
      <c r="E9" s="10">
        <v>0.0</v>
      </c>
      <c r="F9" s="8">
        <v>823.0</v>
      </c>
      <c r="G9" s="8">
        <v>395.0</v>
      </c>
      <c r="H9" s="6" t="s">
        <v>19</v>
      </c>
      <c r="I9" s="7" t="str">
        <f t="shared" si="1"/>
        <v>#DIV/0!</v>
      </c>
      <c r="J9" s="7" t="str">
        <f t="shared" si="2"/>
        <v>#DIV/0!</v>
      </c>
      <c r="K9" s="7">
        <f t="shared" si="3"/>
        <v>0.02125285447</v>
      </c>
      <c r="L9" s="7">
        <f t="shared" si="4"/>
        <v>0.0362451826</v>
      </c>
      <c r="M9" s="7" t="str">
        <f t="shared" si="5"/>
        <v>#DIV/0!</v>
      </c>
    </row>
    <row r="10" ht="15.0" customHeight="1">
      <c r="A10" s="5" t="s">
        <v>27</v>
      </c>
      <c r="B10" s="5" t="s">
        <v>30</v>
      </c>
      <c r="C10" s="5" t="s">
        <v>31</v>
      </c>
      <c r="D10" s="10">
        <v>0.0</v>
      </c>
      <c r="E10" s="10">
        <v>0.0</v>
      </c>
      <c r="F10" s="8">
        <v>537.0</v>
      </c>
      <c r="G10" s="8">
        <v>250.0</v>
      </c>
      <c r="H10" s="6" t="s">
        <v>19</v>
      </c>
      <c r="I10" s="7" t="str">
        <f t="shared" si="1"/>
        <v>#DIV/0!</v>
      </c>
      <c r="J10" s="7" t="str">
        <f t="shared" si="2"/>
        <v>#DIV/0!</v>
      </c>
      <c r="K10" s="7">
        <f t="shared" si="3"/>
        <v>0.01383122275</v>
      </c>
      <c r="L10" s="7">
        <f t="shared" si="4"/>
        <v>0.02293998899</v>
      </c>
      <c r="M10" s="7" t="str">
        <f t="shared" si="5"/>
        <v>#DIV/0!</v>
      </c>
    </row>
    <row r="11" ht="15.0" customHeight="1">
      <c r="A11" s="5" t="s">
        <v>32</v>
      </c>
      <c r="B11" s="5" t="s">
        <v>33</v>
      </c>
      <c r="C11" s="5" t="s">
        <v>17</v>
      </c>
      <c r="D11" s="10">
        <v>0.0</v>
      </c>
      <c r="E11" s="10">
        <v>0.0</v>
      </c>
      <c r="F11" s="8">
        <v>6502.0</v>
      </c>
      <c r="G11" s="8">
        <v>424.0</v>
      </c>
      <c r="H11" s="6" t="s">
        <v>19</v>
      </c>
      <c r="I11" s="7" t="str">
        <f t="shared" si="1"/>
        <v>#DIV/0!</v>
      </c>
      <c r="J11" s="7" t="str">
        <f t="shared" si="2"/>
        <v>#DIV/0!</v>
      </c>
      <c r="K11" s="7">
        <f t="shared" si="3"/>
        <v>0.1686215487</v>
      </c>
      <c r="L11" s="7">
        <f t="shared" si="4"/>
        <v>0.03890622133</v>
      </c>
      <c r="M11" s="7" t="str">
        <f t="shared" si="5"/>
        <v>#DIV/0!</v>
      </c>
    </row>
    <row r="12" ht="15.0" customHeight="1">
      <c r="A12" s="5" t="s">
        <v>32</v>
      </c>
      <c r="B12" s="5" t="s">
        <v>34</v>
      </c>
      <c r="C12" s="5" t="s">
        <v>26</v>
      </c>
      <c r="D12" s="10">
        <v>0.0</v>
      </c>
      <c r="E12" s="10">
        <v>0.0</v>
      </c>
      <c r="F12" s="8">
        <v>2087.0</v>
      </c>
      <c r="G12" s="8">
        <v>292.0</v>
      </c>
      <c r="H12" s="6" t="s">
        <v>19</v>
      </c>
      <c r="I12" s="7" t="str">
        <f t="shared" si="1"/>
        <v>#DIV/0!</v>
      </c>
      <c r="J12" s="7" t="str">
        <f t="shared" si="2"/>
        <v>#DIV/0!</v>
      </c>
      <c r="K12" s="7">
        <f t="shared" si="3"/>
        <v>0.05405335271</v>
      </c>
      <c r="L12" s="7">
        <f t="shared" si="4"/>
        <v>0.02679390714</v>
      </c>
      <c r="M12" s="7" t="str">
        <f t="shared" si="5"/>
        <v>#DIV/0!</v>
      </c>
    </row>
    <row r="13" ht="15.0" customHeight="1">
      <c r="A13" s="5" t="s">
        <v>35</v>
      </c>
      <c r="B13" s="5" t="s">
        <v>36</v>
      </c>
      <c r="C13" s="5" t="s">
        <v>17</v>
      </c>
      <c r="D13" s="10">
        <v>0.0</v>
      </c>
      <c r="E13" s="10">
        <v>0.0</v>
      </c>
      <c r="F13" s="8">
        <v>3286.0</v>
      </c>
      <c r="G13" s="8">
        <v>386.0</v>
      </c>
      <c r="H13" s="6" t="s">
        <v>19</v>
      </c>
      <c r="I13" s="7" t="str">
        <f t="shared" si="1"/>
        <v>#DIV/0!</v>
      </c>
      <c r="J13" s="7" t="str">
        <f t="shared" si="2"/>
        <v>#DIV/0!</v>
      </c>
      <c r="K13" s="7">
        <f t="shared" si="3"/>
        <v>0.08516711646</v>
      </c>
      <c r="L13" s="7">
        <f t="shared" si="4"/>
        <v>0.035419343</v>
      </c>
      <c r="M13" s="7" t="str">
        <f t="shared" si="5"/>
        <v>#DIV/0!</v>
      </c>
    </row>
    <row r="14" ht="15.0" customHeight="1">
      <c r="A14" s="5" t="s">
        <v>35</v>
      </c>
      <c r="B14" s="5" t="s">
        <v>37</v>
      </c>
      <c r="C14" s="5" t="s">
        <v>26</v>
      </c>
      <c r="D14" s="10">
        <v>0.0</v>
      </c>
      <c r="E14" s="10">
        <v>0.0</v>
      </c>
      <c r="F14" s="8">
        <v>2240.0</v>
      </c>
      <c r="G14" s="8">
        <v>182.0</v>
      </c>
      <c r="H14" s="6" t="s">
        <v>19</v>
      </c>
      <c r="I14" s="7" t="str">
        <f t="shared" si="1"/>
        <v>#DIV/0!</v>
      </c>
      <c r="J14" s="7" t="str">
        <f t="shared" si="2"/>
        <v>#DIV/0!</v>
      </c>
      <c r="K14" s="7">
        <f t="shared" si="3"/>
        <v>0.05802366618</v>
      </c>
      <c r="L14" s="7">
        <f t="shared" si="4"/>
        <v>0.01670031198</v>
      </c>
      <c r="M14" s="7" t="str">
        <f t="shared" si="5"/>
        <v>#DIV/0!</v>
      </c>
    </row>
    <row r="15" ht="15.0" customHeight="1">
      <c r="A15" s="5" t="s">
        <v>38</v>
      </c>
      <c r="B15" s="5" t="s">
        <v>39</v>
      </c>
      <c r="C15" s="5" t="s">
        <v>17</v>
      </c>
      <c r="D15" s="8">
        <v>0.0</v>
      </c>
      <c r="E15" s="8">
        <v>0.0</v>
      </c>
      <c r="F15" s="8">
        <v>21391.0</v>
      </c>
      <c r="G15" s="8">
        <v>848.0</v>
      </c>
      <c r="H15" s="6" t="s">
        <v>19</v>
      </c>
      <c r="I15" s="7" t="str">
        <f t="shared" si="1"/>
        <v>#DIV/0!</v>
      </c>
      <c r="J15" s="7" t="str">
        <f t="shared" si="2"/>
        <v>#DIV/0!</v>
      </c>
      <c r="K15" s="7">
        <f t="shared" si="3"/>
        <v>0.5549875441</v>
      </c>
      <c r="L15" s="7">
        <f t="shared" si="4"/>
        <v>0.07781244265</v>
      </c>
      <c r="M15" s="7" t="str">
        <f t="shared" si="5"/>
        <v>#DIV/0!</v>
      </c>
    </row>
    <row r="16" ht="15.0" customHeight="1">
      <c r="A16" s="5" t="s">
        <v>38</v>
      </c>
      <c r="B16" s="5" t="s">
        <v>40</v>
      </c>
      <c r="C16" s="5" t="s">
        <v>41</v>
      </c>
      <c r="D16" s="8">
        <v>0.0</v>
      </c>
      <c r="E16" s="8">
        <v>0.0</v>
      </c>
      <c r="F16" s="8">
        <v>21487.0</v>
      </c>
      <c r="G16" s="8">
        <v>863.0</v>
      </c>
      <c r="H16" s="6" t="s">
        <v>19</v>
      </c>
      <c r="I16" s="7" t="str">
        <f t="shared" si="1"/>
        <v>#DIV/0!</v>
      </c>
      <c r="J16" s="7" t="str">
        <f t="shared" si="2"/>
        <v>#DIV/0!</v>
      </c>
      <c r="K16" s="7">
        <f t="shared" si="3"/>
        <v>0.5574787212</v>
      </c>
      <c r="L16" s="7">
        <f t="shared" si="4"/>
        <v>0.07918884199</v>
      </c>
      <c r="M16" s="7" t="str">
        <f t="shared" si="5"/>
        <v>#DIV/0!</v>
      </c>
    </row>
    <row r="17" ht="15.0" customHeight="1">
      <c r="A17" s="5" t="s">
        <v>42</v>
      </c>
      <c r="B17" s="5" t="s">
        <v>43</v>
      </c>
      <c r="C17" s="5" t="s">
        <v>29</v>
      </c>
      <c r="D17" s="10">
        <v>0.0</v>
      </c>
      <c r="E17" s="10">
        <v>0.0</v>
      </c>
      <c r="F17" s="8">
        <v>8616.0</v>
      </c>
      <c r="G17" s="8">
        <v>8456.0</v>
      </c>
      <c r="H17" s="6" t="s">
        <v>19</v>
      </c>
      <c r="I17" s="7" t="str">
        <f t="shared" si="1"/>
        <v>#DIV/0!</v>
      </c>
      <c r="J17" s="7" t="str">
        <f t="shared" si="2"/>
        <v>#DIV/0!</v>
      </c>
      <c r="K17" s="7">
        <f t="shared" si="3"/>
        <v>0.223479344</v>
      </c>
      <c r="L17" s="7">
        <f t="shared" si="4"/>
        <v>0.7759221876</v>
      </c>
      <c r="M17" s="7" t="str">
        <f t="shared" si="5"/>
        <v>#DIV/0!</v>
      </c>
    </row>
    <row r="18" ht="15.0" customHeight="1">
      <c r="A18" s="5" t="s">
        <v>42</v>
      </c>
      <c r="B18" s="5" t="s">
        <v>44</v>
      </c>
      <c r="C18" s="5" t="s">
        <v>45</v>
      </c>
      <c r="D18" s="10">
        <v>0.0</v>
      </c>
      <c r="E18" s="10">
        <v>0.0</v>
      </c>
      <c r="F18" s="8">
        <v>7100.0</v>
      </c>
      <c r="G18" s="8">
        <v>3580.0</v>
      </c>
      <c r="H18" s="6" t="s">
        <v>19</v>
      </c>
      <c r="I18" s="7" t="str">
        <f t="shared" si="1"/>
        <v>#DIV/0!</v>
      </c>
      <c r="J18" s="7" t="str">
        <f t="shared" si="2"/>
        <v>#DIV/0!</v>
      </c>
      <c r="K18" s="7">
        <f t="shared" si="3"/>
        <v>0.1841395059</v>
      </c>
      <c r="L18" s="7">
        <f t="shared" si="4"/>
        <v>0.3285006423</v>
      </c>
      <c r="M18" s="7" t="str">
        <f t="shared" si="5"/>
        <v>#DIV/0!</v>
      </c>
    </row>
    <row r="19" ht="15.0" customHeight="1">
      <c r="A19" s="5" t="s">
        <v>46</v>
      </c>
      <c r="B19" s="5" t="s">
        <v>47</v>
      </c>
      <c r="C19" s="5" t="s">
        <v>17</v>
      </c>
      <c r="D19" s="10">
        <v>0.0</v>
      </c>
      <c r="E19" s="10">
        <v>0.0</v>
      </c>
      <c r="F19" s="8">
        <v>38540.0</v>
      </c>
      <c r="G19" s="8">
        <v>3705.0</v>
      </c>
      <c r="H19" s="6" t="s">
        <v>19</v>
      </c>
      <c r="I19" s="7" t="str">
        <f t="shared" si="1"/>
        <v>#DIV/0!</v>
      </c>
      <c r="J19" s="7" t="str">
        <f t="shared" si="2"/>
        <v>#DIV/0!</v>
      </c>
      <c r="K19" s="7">
        <f t="shared" si="3"/>
        <v>1</v>
      </c>
      <c r="L19" s="7">
        <f t="shared" si="4"/>
        <v>0.3399706368</v>
      </c>
      <c r="M19" s="7" t="str">
        <f t="shared" si="5"/>
        <v>#DIV/0!</v>
      </c>
    </row>
    <row r="20" ht="15.0" customHeight="1">
      <c r="A20" s="5" t="s">
        <v>46</v>
      </c>
      <c r="B20" s="5" t="s">
        <v>48</v>
      </c>
      <c r="C20" s="5" t="s">
        <v>26</v>
      </c>
      <c r="D20" s="10">
        <v>0.0</v>
      </c>
      <c r="E20" s="10">
        <v>0.0</v>
      </c>
      <c r="F20" s="8">
        <v>30310.0</v>
      </c>
      <c r="G20" s="8">
        <v>3712.0</v>
      </c>
      <c r="H20" s="6" t="s">
        <v>19</v>
      </c>
      <c r="I20" s="7" t="str">
        <f t="shared" si="1"/>
        <v>#DIV/0!</v>
      </c>
      <c r="J20" s="7" t="str">
        <f t="shared" si="2"/>
        <v>#DIV/0!</v>
      </c>
      <c r="K20" s="7">
        <f t="shared" si="3"/>
        <v>0.7864334648</v>
      </c>
      <c r="L20" s="7">
        <f t="shared" si="4"/>
        <v>0.3406129565</v>
      </c>
      <c r="M20" s="7" t="str">
        <f t="shared" si="5"/>
        <v>#DIV/0!</v>
      </c>
    </row>
    <row r="21" ht="15.0" customHeight="1">
      <c r="A21" s="5" t="s">
        <v>49</v>
      </c>
      <c r="B21" s="5" t="s">
        <v>50</v>
      </c>
      <c r="C21" s="5" t="s">
        <v>17</v>
      </c>
      <c r="D21" s="8">
        <v>0.0</v>
      </c>
      <c r="E21" s="8">
        <v>0.0</v>
      </c>
      <c r="F21" s="8">
        <v>1256.0</v>
      </c>
      <c r="G21" s="8">
        <v>30.0</v>
      </c>
      <c r="H21" s="6" t="s">
        <v>19</v>
      </c>
      <c r="I21" s="7" t="str">
        <f t="shared" si="1"/>
        <v>#DIV/0!</v>
      </c>
      <c r="J21" s="7" t="str">
        <f t="shared" si="2"/>
        <v>#DIV/0!</v>
      </c>
      <c r="K21" s="7">
        <f t="shared" si="3"/>
        <v>0.0324891011</v>
      </c>
      <c r="L21" s="7">
        <f t="shared" si="4"/>
        <v>0.002752798679</v>
      </c>
      <c r="M21" s="7" t="str">
        <f t="shared" si="5"/>
        <v>#DIV/0!</v>
      </c>
    </row>
    <row r="22" ht="15.0" customHeight="1">
      <c r="A22" s="5" t="s">
        <v>49</v>
      </c>
      <c r="B22" s="5" t="s">
        <v>51</v>
      </c>
      <c r="C22" s="5" t="s">
        <v>29</v>
      </c>
      <c r="D22" s="8">
        <v>0.0</v>
      </c>
      <c r="E22" s="8">
        <v>0.0</v>
      </c>
      <c r="F22" s="8">
        <v>2099.0</v>
      </c>
      <c r="G22" s="8">
        <v>61.0</v>
      </c>
      <c r="H22" s="6" t="s">
        <v>19</v>
      </c>
      <c r="I22" s="7" t="str">
        <f t="shared" si="1"/>
        <v>#DIV/0!</v>
      </c>
      <c r="J22" s="7" t="str">
        <f t="shared" si="2"/>
        <v>#DIV/0!</v>
      </c>
      <c r="K22" s="7">
        <f t="shared" si="3"/>
        <v>0.05436474984</v>
      </c>
      <c r="L22" s="7">
        <f t="shared" si="4"/>
        <v>0.005597357313</v>
      </c>
      <c r="M22" s="7" t="str">
        <f t="shared" si="5"/>
        <v>#DIV/0!</v>
      </c>
    </row>
    <row r="23" ht="15.0" customHeight="1">
      <c r="A23" s="5" t="s">
        <v>52</v>
      </c>
      <c r="B23" s="5" t="s">
        <v>53</v>
      </c>
      <c r="C23" s="5" t="s">
        <v>29</v>
      </c>
      <c r="D23" s="10">
        <v>0.0</v>
      </c>
      <c r="E23" s="10">
        <v>0.0</v>
      </c>
      <c r="F23" s="8">
        <v>7061.0</v>
      </c>
      <c r="G23" s="8">
        <v>224.0</v>
      </c>
      <c r="H23" s="6" t="s">
        <v>19</v>
      </c>
      <c r="I23" s="7" t="str">
        <f t="shared" si="1"/>
        <v>#DIV/0!</v>
      </c>
      <c r="J23" s="7" t="str">
        <f t="shared" si="2"/>
        <v>#DIV/0!</v>
      </c>
      <c r="K23" s="7">
        <f t="shared" si="3"/>
        <v>0.1831274652</v>
      </c>
      <c r="L23" s="7">
        <f t="shared" si="4"/>
        <v>0.02055423013</v>
      </c>
      <c r="M23" s="7" t="str">
        <f t="shared" si="5"/>
        <v>#DIV/0!</v>
      </c>
    </row>
    <row r="24" ht="15.0" customHeight="1">
      <c r="A24" s="5" t="s">
        <v>52</v>
      </c>
      <c r="B24" s="5" t="s">
        <v>54</v>
      </c>
      <c r="C24" s="5" t="s">
        <v>21</v>
      </c>
      <c r="D24" s="10">
        <v>0.0</v>
      </c>
      <c r="E24" s="10">
        <v>0.0</v>
      </c>
      <c r="F24" s="8">
        <v>5800.0</v>
      </c>
      <c r="G24" s="8">
        <v>311.0</v>
      </c>
      <c r="H24" s="6" t="s">
        <v>19</v>
      </c>
      <c r="I24" s="7" t="str">
        <f t="shared" si="1"/>
        <v>#DIV/0!</v>
      </c>
      <c r="J24" s="7" t="str">
        <f t="shared" si="2"/>
        <v>#DIV/0!</v>
      </c>
      <c r="K24" s="7">
        <f t="shared" si="3"/>
        <v>0.1504048163</v>
      </c>
      <c r="L24" s="7">
        <f t="shared" si="4"/>
        <v>0.0285373463</v>
      </c>
      <c r="M24" s="7" t="str">
        <f t="shared" si="5"/>
        <v>#DIV/0!</v>
      </c>
    </row>
    <row r="25" ht="15.0" customHeight="1">
      <c r="A25" s="5" t="s">
        <v>55</v>
      </c>
      <c r="B25" s="5" t="s">
        <v>56</v>
      </c>
      <c r="C25" s="5" t="s">
        <v>17</v>
      </c>
      <c r="D25" s="9">
        <v>0.0</v>
      </c>
      <c r="E25" s="9">
        <v>0.0</v>
      </c>
      <c r="F25" s="9">
        <v>1434.0</v>
      </c>
      <c r="G25" s="9">
        <v>103.0</v>
      </c>
      <c r="H25" s="6" t="s">
        <v>19</v>
      </c>
      <c r="I25" s="7" t="str">
        <f t="shared" si="1"/>
        <v>#DIV/0!</v>
      </c>
      <c r="J25" s="7" t="str">
        <f t="shared" si="2"/>
        <v>#DIV/0!</v>
      </c>
      <c r="K25" s="7">
        <f t="shared" si="3"/>
        <v>0.0371081586</v>
      </c>
      <c r="L25" s="7">
        <f t="shared" si="4"/>
        <v>0.009451275463</v>
      </c>
      <c r="M25" s="7" t="str">
        <f t="shared" si="5"/>
        <v>#DIV/0!</v>
      </c>
    </row>
    <row r="26" ht="15.0" customHeight="1">
      <c r="A26" s="5" t="s">
        <v>55</v>
      </c>
      <c r="B26" s="5" t="s">
        <v>57</v>
      </c>
      <c r="C26" s="5" t="s">
        <v>17</v>
      </c>
      <c r="D26" s="10">
        <v>0.0</v>
      </c>
      <c r="E26" s="10">
        <v>0.0</v>
      </c>
      <c r="F26" s="8">
        <v>1434.0</v>
      </c>
      <c r="G26" s="8">
        <v>103.0</v>
      </c>
      <c r="H26" s="6" t="s">
        <v>19</v>
      </c>
      <c r="I26" s="7" t="str">
        <f t="shared" si="1"/>
        <v>#DIV/0!</v>
      </c>
      <c r="J26" s="7" t="str">
        <f t="shared" si="2"/>
        <v>#DIV/0!</v>
      </c>
      <c r="K26" s="7">
        <f t="shared" si="3"/>
        <v>0.0371081586</v>
      </c>
      <c r="L26" s="7">
        <f t="shared" si="4"/>
        <v>0.009451275463</v>
      </c>
      <c r="M26" s="7" t="str">
        <f t="shared" si="5"/>
        <v>#DIV/0!</v>
      </c>
    </row>
    <row r="27" ht="15.0" customHeight="1">
      <c r="A27" s="5" t="s">
        <v>58</v>
      </c>
      <c r="B27" s="5" t="s">
        <v>59</v>
      </c>
      <c r="C27" s="5" t="s">
        <v>24</v>
      </c>
      <c r="D27" s="8">
        <v>0.0</v>
      </c>
      <c r="E27" s="8">
        <v>0.0</v>
      </c>
      <c r="F27" s="8">
        <v>651.0</v>
      </c>
      <c r="G27" s="8">
        <v>40.0</v>
      </c>
      <c r="H27" s="6" t="s">
        <v>19</v>
      </c>
      <c r="I27" s="7" t="str">
        <f t="shared" si="1"/>
        <v>#DIV/0!</v>
      </c>
      <c r="J27" s="7" t="str">
        <f t="shared" si="2"/>
        <v>#DIV/0!</v>
      </c>
      <c r="K27" s="7">
        <f t="shared" si="3"/>
        <v>0.01678949554</v>
      </c>
      <c r="L27" s="7">
        <f t="shared" si="4"/>
        <v>0.003670398238</v>
      </c>
      <c r="M27" s="7" t="str">
        <f t="shared" si="5"/>
        <v>#DIV/0!</v>
      </c>
    </row>
    <row r="28" ht="15.0" customHeight="1">
      <c r="A28" s="5" t="s">
        <v>58</v>
      </c>
      <c r="B28" s="5" t="s">
        <v>60</v>
      </c>
      <c r="C28" s="5" t="s">
        <v>26</v>
      </c>
      <c r="D28" s="8">
        <v>0.0</v>
      </c>
      <c r="E28" s="8">
        <v>0.0</v>
      </c>
      <c r="F28" s="8">
        <v>350.0</v>
      </c>
      <c r="G28" s="8">
        <v>197.0</v>
      </c>
      <c r="H28" s="6" t="s">
        <v>19</v>
      </c>
      <c r="I28" s="7" t="str">
        <f t="shared" si="1"/>
        <v>#DIV/0!</v>
      </c>
      <c r="J28" s="7" t="str">
        <f t="shared" si="2"/>
        <v>#DIV/0!</v>
      </c>
      <c r="K28" s="7">
        <f t="shared" si="3"/>
        <v>0.008978617397</v>
      </c>
      <c r="L28" s="7">
        <f t="shared" si="4"/>
        <v>0.01807671132</v>
      </c>
      <c r="M28" s="7" t="str">
        <f t="shared" si="5"/>
        <v>#DIV/0!</v>
      </c>
    </row>
    <row r="29" ht="15.0" customHeight="1">
      <c r="A29" s="5" t="s">
        <v>61</v>
      </c>
      <c r="B29" s="5" t="s">
        <v>62</v>
      </c>
      <c r="C29" s="5" t="s">
        <v>17</v>
      </c>
      <c r="D29" s="10">
        <v>0.0</v>
      </c>
      <c r="E29" s="10">
        <v>0.0</v>
      </c>
      <c r="F29" s="8">
        <v>258.0</v>
      </c>
      <c r="G29" s="8">
        <v>166.0</v>
      </c>
      <c r="H29" s="6" t="s">
        <v>19</v>
      </c>
      <c r="I29" s="7" t="str">
        <f t="shared" si="1"/>
        <v>#DIV/0!</v>
      </c>
      <c r="J29" s="7" t="str">
        <f t="shared" si="2"/>
        <v>#DIV/0!</v>
      </c>
      <c r="K29" s="7">
        <f t="shared" si="3"/>
        <v>0.006591239361</v>
      </c>
      <c r="L29" s="7">
        <f t="shared" si="4"/>
        <v>0.01523215269</v>
      </c>
      <c r="M29" s="7" t="str">
        <f t="shared" si="5"/>
        <v>#DIV/0!</v>
      </c>
    </row>
    <row r="30" ht="15.0" customHeight="1">
      <c r="A30" s="5" t="s">
        <v>61</v>
      </c>
      <c r="B30" s="5" t="s">
        <v>63</v>
      </c>
      <c r="C30" s="5" t="s">
        <v>41</v>
      </c>
      <c r="D30" s="10">
        <v>0.0</v>
      </c>
      <c r="E30" s="10">
        <v>0.0</v>
      </c>
      <c r="F30" s="8">
        <v>249.0</v>
      </c>
      <c r="G30" s="8">
        <v>124.0</v>
      </c>
      <c r="H30" s="6" t="s">
        <v>19</v>
      </c>
      <c r="I30" s="7" t="str">
        <f t="shared" si="1"/>
        <v>#DIV/0!</v>
      </c>
      <c r="J30" s="7" t="str">
        <f t="shared" si="2"/>
        <v>#DIV/0!</v>
      </c>
      <c r="K30" s="7">
        <f t="shared" si="3"/>
        <v>0.006357691509</v>
      </c>
      <c r="L30" s="7">
        <f t="shared" si="4"/>
        <v>0.01137823454</v>
      </c>
      <c r="M30" s="7" t="str">
        <f t="shared" si="5"/>
        <v>#DIV/0!</v>
      </c>
    </row>
    <row r="31" ht="15.0" customHeight="1">
      <c r="A31" s="5" t="s">
        <v>64</v>
      </c>
      <c r="B31" s="5" t="s">
        <v>65</v>
      </c>
      <c r="C31" s="5" t="s">
        <v>17</v>
      </c>
      <c r="D31" s="10">
        <v>0.0</v>
      </c>
      <c r="E31" s="10">
        <v>0.0</v>
      </c>
      <c r="F31" s="8">
        <v>7061.0</v>
      </c>
      <c r="G31" s="8">
        <v>224.0</v>
      </c>
      <c r="H31" s="6" t="s">
        <v>19</v>
      </c>
      <c r="I31" s="7" t="str">
        <f t="shared" si="1"/>
        <v>#DIV/0!</v>
      </c>
      <c r="J31" s="7" t="str">
        <f t="shared" si="2"/>
        <v>#DIV/0!</v>
      </c>
      <c r="K31" s="7">
        <f t="shared" si="3"/>
        <v>0.1831274652</v>
      </c>
      <c r="L31" s="7">
        <f t="shared" si="4"/>
        <v>0.02055423013</v>
      </c>
      <c r="M31" s="7" t="str">
        <f t="shared" si="5"/>
        <v>#DIV/0!</v>
      </c>
    </row>
    <row r="32" ht="15.0" customHeight="1">
      <c r="A32" s="5" t="s">
        <v>64</v>
      </c>
      <c r="B32" s="5" t="s">
        <v>66</v>
      </c>
      <c r="C32" s="5" t="s">
        <v>21</v>
      </c>
      <c r="D32" s="10">
        <v>0.0</v>
      </c>
      <c r="E32" s="10">
        <v>0.0</v>
      </c>
      <c r="F32" s="8">
        <v>5800.0</v>
      </c>
      <c r="G32" s="8">
        <v>311.0</v>
      </c>
      <c r="H32" s="6" t="s">
        <v>19</v>
      </c>
      <c r="I32" s="7" t="str">
        <f t="shared" si="1"/>
        <v>#DIV/0!</v>
      </c>
      <c r="J32" s="7" t="str">
        <f t="shared" si="2"/>
        <v>#DIV/0!</v>
      </c>
      <c r="K32" s="7">
        <f t="shared" si="3"/>
        <v>0.1504048163</v>
      </c>
      <c r="L32" s="7">
        <f t="shared" si="4"/>
        <v>0.0285373463</v>
      </c>
      <c r="M32" s="7" t="str">
        <f t="shared" si="5"/>
        <v>#DIV/0!</v>
      </c>
    </row>
    <row r="33" ht="15.0" customHeight="1">
      <c r="A33" s="5" t="s">
        <v>67</v>
      </c>
      <c r="B33" s="5" t="s">
        <v>68</v>
      </c>
      <c r="C33" s="5" t="s">
        <v>69</v>
      </c>
      <c r="D33" s="8">
        <v>0.0</v>
      </c>
      <c r="E33" s="8">
        <v>0.0</v>
      </c>
      <c r="F33" s="8">
        <v>4.0</v>
      </c>
      <c r="G33" s="8">
        <v>0.0</v>
      </c>
      <c r="H33" s="6" t="s">
        <v>19</v>
      </c>
      <c r="I33" s="7" t="str">
        <f t="shared" si="1"/>
        <v>#DIV/0!</v>
      </c>
      <c r="J33" s="7" t="str">
        <f t="shared" si="2"/>
        <v>#DIV/0!</v>
      </c>
      <c r="K33" s="7">
        <f t="shared" si="3"/>
        <v>0</v>
      </c>
      <c r="L33" s="7">
        <f t="shared" si="4"/>
        <v>0</v>
      </c>
      <c r="M33" s="7" t="str">
        <f t="shared" si="5"/>
        <v>#DIV/0!</v>
      </c>
    </row>
    <row r="34" ht="15.0" customHeight="1">
      <c r="A34" s="5" t="s">
        <v>67</v>
      </c>
      <c r="B34" s="5" t="s">
        <v>70</v>
      </c>
      <c r="C34" s="5" t="s">
        <v>21</v>
      </c>
      <c r="D34" s="10">
        <v>0.0</v>
      </c>
      <c r="E34" s="10">
        <v>0.0</v>
      </c>
      <c r="F34" s="8">
        <v>28.0</v>
      </c>
      <c r="G34" s="8">
        <v>9.0</v>
      </c>
      <c r="H34" s="6" t="s">
        <v>19</v>
      </c>
      <c r="I34" s="7" t="str">
        <f t="shared" si="1"/>
        <v>#DIV/0!</v>
      </c>
      <c r="J34" s="7" t="str">
        <f t="shared" si="2"/>
        <v>#DIV/0!</v>
      </c>
      <c r="K34" s="7">
        <f t="shared" si="3"/>
        <v>0.0006227942703</v>
      </c>
      <c r="L34" s="7">
        <f t="shared" si="4"/>
        <v>0.0008258396036</v>
      </c>
      <c r="M34" s="7" t="str">
        <f t="shared" si="5"/>
        <v>#DIV/0!</v>
      </c>
    </row>
    <row r="35" ht="15.75" customHeight="1">
      <c r="A35" s="3"/>
      <c r="B35" s="3"/>
      <c r="C35" s="3"/>
      <c r="H35" s="3"/>
      <c r="I35" s="3"/>
      <c r="J35" s="3"/>
      <c r="K35" s="3"/>
      <c r="L35" s="3"/>
      <c r="M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</sheetData>
  <mergeCells count="2">
    <mergeCell ref="A1:M1"/>
    <mergeCell ref="A2:M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42.0"/>
    <col customWidth="1" min="3" max="3" width="36.71"/>
    <col customWidth="1" min="4" max="9" width="20.0"/>
    <col customWidth="1" min="10" max="26" width="8.71"/>
  </cols>
  <sheetData>
    <row r="1" ht="15.0" customHeight="1">
      <c r="A1" s="1" t="s">
        <v>98</v>
      </c>
    </row>
    <row r="2" ht="15.0" customHeight="1">
      <c r="A2" s="2" t="s">
        <v>99</v>
      </c>
    </row>
    <row r="3">
      <c r="A3" s="3"/>
      <c r="B3" s="3"/>
      <c r="C3" s="3"/>
      <c r="D3" s="3"/>
      <c r="E3" s="3"/>
      <c r="F3" s="3"/>
      <c r="G3" s="3"/>
      <c r="H3" s="3"/>
      <c r="I3" s="3"/>
    </row>
    <row r="4" ht="15.0" customHeight="1">
      <c r="A4" s="4" t="s">
        <v>2</v>
      </c>
      <c r="B4" s="4" t="s">
        <v>3</v>
      </c>
      <c r="C4" s="4" t="s">
        <v>4</v>
      </c>
      <c r="D4" s="4" t="s">
        <v>100</v>
      </c>
      <c r="E4" s="4" t="s">
        <v>101</v>
      </c>
      <c r="F4" s="4" t="s">
        <v>102</v>
      </c>
      <c r="G4" s="4" t="s">
        <v>103</v>
      </c>
      <c r="H4" s="4" t="s">
        <v>104</v>
      </c>
      <c r="I4" s="4" t="s">
        <v>105</v>
      </c>
    </row>
    <row r="5" ht="15.0" customHeight="1">
      <c r="A5" s="5" t="s">
        <v>15</v>
      </c>
      <c r="B5" s="5" t="s">
        <v>16</v>
      </c>
      <c r="C5" s="5" t="s">
        <v>17</v>
      </c>
      <c r="D5" s="7" t="str">
        <f>EVS!M5</f>
        <v>#VALUE!</v>
      </c>
      <c r="E5" s="7">
        <f>TIE!M5</f>
        <v>82.16278392</v>
      </c>
      <c r="F5" s="7">
        <f>PDL!I5</f>
        <v>31.22404609</v>
      </c>
      <c r="G5" s="7" t="str">
        <f>ITS!M5</f>
        <v>#DIV/0!</v>
      </c>
      <c r="H5" s="7" t="str">
        <f t="shared" ref="H5:H34" si="1">0.3*D5+0.2*E5+0.3*F5+0.2*G5</f>
        <v>#VALUE!</v>
      </c>
      <c r="I5" s="7"/>
    </row>
    <row r="6" ht="15.0" customHeight="1">
      <c r="A6" s="5" t="s">
        <v>15</v>
      </c>
      <c r="B6" s="5" t="s">
        <v>20</v>
      </c>
      <c r="C6" s="5" t="s">
        <v>21</v>
      </c>
      <c r="D6" s="7" t="str">
        <f>EVS!M6</f>
        <v>#VALUE!</v>
      </c>
      <c r="E6" s="7">
        <f>TIE!M6</f>
        <v>63.87816225</v>
      </c>
      <c r="F6" s="7">
        <f>PDL!I6</f>
        <v>28.81462431</v>
      </c>
      <c r="G6" s="7" t="str">
        <f>ITS!M6</f>
        <v>#DIV/0!</v>
      </c>
      <c r="H6" s="7" t="str">
        <f t="shared" si="1"/>
        <v>#VALUE!</v>
      </c>
      <c r="I6" s="7"/>
    </row>
    <row r="7" ht="15.0" customHeight="1">
      <c r="A7" s="5" t="s">
        <v>22</v>
      </c>
      <c r="B7" s="5" t="s">
        <v>23</v>
      </c>
      <c r="C7" s="5" t="s">
        <v>24</v>
      </c>
      <c r="D7" s="7" t="str">
        <f>EVS!M7</f>
        <v>#VALUE!</v>
      </c>
      <c r="E7" s="7">
        <f>TIE!M7</f>
        <v>44.98553064</v>
      </c>
      <c r="F7" s="7">
        <f>PDL!I7</f>
        <v>23.07534822</v>
      </c>
      <c r="G7" s="7" t="str">
        <f>ITS!M7</f>
        <v>#DIV/0!</v>
      </c>
      <c r="H7" s="7" t="str">
        <f t="shared" si="1"/>
        <v>#VALUE!</v>
      </c>
      <c r="I7" s="7"/>
    </row>
    <row r="8" ht="15.0" customHeight="1">
      <c r="A8" s="5" t="s">
        <v>22</v>
      </c>
      <c r="B8" s="5" t="s">
        <v>25</v>
      </c>
      <c r="C8" s="5" t="s">
        <v>26</v>
      </c>
      <c r="D8" s="7" t="str">
        <f>EVS!M8</f>
        <v>#VALUE!</v>
      </c>
      <c r="E8" s="7">
        <f>TIE!M8</f>
        <v>12.54932968</v>
      </c>
      <c r="F8" s="7">
        <f>PDL!I8</f>
        <v>8.082803301</v>
      </c>
      <c r="G8" s="7" t="str">
        <f>ITS!M8</f>
        <v>#DIV/0!</v>
      </c>
      <c r="H8" s="7" t="str">
        <f t="shared" si="1"/>
        <v>#VALUE!</v>
      </c>
      <c r="I8" s="7"/>
    </row>
    <row r="9" ht="15.0" customHeight="1">
      <c r="A9" s="5" t="s">
        <v>27</v>
      </c>
      <c r="B9" s="5" t="s">
        <v>28</v>
      </c>
      <c r="C9" s="5" t="s">
        <v>29</v>
      </c>
      <c r="D9" s="7" t="str">
        <f>EVS!M9</f>
        <v>#VALUE!</v>
      </c>
      <c r="E9" s="7">
        <f>TIE!M9</f>
        <v>8.17077997</v>
      </c>
      <c r="F9" s="7">
        <f>PDL!I9</f>
        <v>11.39038724</v>
      </c>
      <c r="G9" s="7" t="str">
        <f>ITS!M9</f>
        <v>#DIV/0!</v>
      </c>
      <c r="H9" s="7" t="str">
        <f t="shared" si="1"/>
        <v>#VALUE!</v>
      </c>
      <c r="I9" s="7"/>
    </row>
    <row r="10" ht="15.0" customHeight="1">
      <c r="A10" s="5" t="s">
        <v>27</v>
      </c>
      <c r="B10" s="5" t="s">
        <v>30</v>
      </c>
      <c r="C10" s="5" t="s">
        <v>31</v>
      </c>
      <c r="D10" s="7" t="str">
        <f>EVS!M10</f>
        <v>#VALUE!</v>
      </c>
      <c r="E10" s="7">
        <f>TIE!M10</f>
        <v>3.25977731</v>
      </c>
      <c r="F10" s="7">
        <f>PDL!I10</f>
        <v>6.227918603</v>
      </c>
      <c r="G10" s="7" t="str">
        <f>ITS!M10</f>
        <v>#DIV/0!</v>
      </c>
      <c r="H10" s="7" t="str">
        <f t="shared" si="1"/>
        <v>#VALUE!</v>
      </c>
      <c r="I10" s="7"/>
    </row>
    <row r="11" ht="15.0" customHeight="1">
      <c r="A11" s="5" t="s">
        <v>32</v>
      </c>
      <c r="B11" s="5" t="s">
        <v>33</v>
      </c>
      <c r="C11" s="5" t="s">
        <v>17</v>
      </c>
      <c r="D11" s="7" t="str">
        <f>EVS!M11</f>
        <v>#VALUE!</v>
      </c>
      <c r="E11" s="7">
        <f>TIE!M11</f>
        <v>6.317882233</v>
      </c>
      <c r="F11" s="7">
        <f>PDL!I11</f>
        <v>8.647860853</v>
      </c>
      <c r="G11" s="7" t="str">
        <f>ITS!M11</f>
        <v>#DIV/0!</v>
      </c>
      <c r="H11" s="7" t="str">
        <f t="shared" si="1"/>
        <v>#VALUE!</v>
      </c>
      <c r="I11" s="7"/>
    </row>
    <row r="12" ht="15.0" customHeight="1">
      <c r="A12" s="5" t="s">
        <v>32</v>
      </c>
      <c r="B12" s="5" t="s">
        <v>34</v>
      </c>
      <c r="C12" s="5" t="s">
        <v>26</v>
      </c>
      <c r="D12" s="7" t="str">
        <f>EVS!M12</f>
        <v>#VALUE!</v>
      </c>
      <c r="E12" s="7">
        <f>TIE!M12</f>
        <v>4.328752817</v>
      </c>
      <c r="F12" s="7">
        <f>PDL!I12</f>
        <v>5.094207404</v>
      </c>
      <c r="G12" s="7" t="str">
        <f>ITS!M12</f>
        <v>#DIV/0!</v>
      </c>
      <c r="H12" s="7" t="str">
        <f t="shared" si="1"/>
        <v>#VALUE!</v>
      </c>
      <c r="I12" s="7"/>
    </row>
    <row r="13" ht="15.0" customHeight="1">
      <c r="A13" s="5" t="s">
        <v>35</v>
      </c>
      <c r="B13" s="5" t="s">
        <v>36</v>
      </c>
      <c r="C13" s="5" t="s">
        <v>17</v>
      </c>
      <c r="D13" s="7" t="str">
        <f>EVS!M13</f>
        <v>#VALUE!</v>
      </c>
      <c r="E13" s="7">
        <f>TIE!M13</f>
        <v>6.561911993</v>
      </c>
      <c r="F13" s="7">
        <f>PDL!I13</f>
        <v>14.71303522</v>
      </c>
      <c r="G13" s="7" t="str">
        <f>ITS!M13</f>
        <v>#DIV/0!</v>
      </c>
      <c r="H13" s="7" t="str">
        <f t="shared" si="1"/>
        <v>#VALUE!</v>
      </c>
      <c r="I13" s="7"/>
    </row>
    <row r="14" ht="15.0" customHeight="1">
      <c r="A14" s="5" t="s">
        <v>35</v>
      </c>
      <c r="B14" s="5" t="s">
        <v>37</v>
      </c>
      <c r="C14" s="5" t="s">
        <v>26</v>
      </c>
      <c r="D14" s="7" t="str">
        <f>EVS!M14</f>
        <v>#VALUE!</v>
      </c>
      <c r="E14" s="7">
        <f>TIE!M14</f>
        <v>3.467850314</v>
      </c>
      <c r="F14" s="7">
        <f>PDL!I14</f>
        <v>13.44325174</v>
      </c>
      <c r="G14" s="7" t="str">
        <f>ITS!M14</f>
        <v>#DIV/0!</v>
      </c>
      <c r="H14" s="7" t="str">
        <f t="shared" si="1"/>
        <v>#VALUE!</v>
      </c>
      <c r="I14" s="7"/>
    </row>
    <row r="15" ht="15.0" customHeight="1">
      <c r="A15" s="5" t="s">
        <v>38</v>
      </c>
      <c r="B15" s="5" t="s">
        <v>39</v>
      </c>
      <c r="C15" s="5" t="s">
        <v>17</v>
      </c>
      <c r="D15" s="7" t="str">
        <f>EVS!M15</f>
        <v>#VALUE!</v>
      </c>
      <c r="E15" s="7">
        <f>TIE!M15</f>
        <v>8.269192839</v>
      </c>
      <c r="F15" s="7">
        <f>PDL!I15</f>
        <v>16.00060943</v>
      </c>
      <c r="G15" s="7" t="str">
        <f>ITS!M15</f>
        <v>#DIV/0!</v>
      </c>
      <c r="H15" s="7" t="str">
        <f t="shared" si="1"/>
        <v>#VALUE!</v>
      </c>
      <c r="I15" s="7"/>
    </row>
    <row r="16" ht="15.0" customHeight="1">
      <c r="A16" s="5" t="s">
        <v>38</v>
      </c>
      <c r="B16" s="5" t="s">
        <v>40</v>
      </c>
      <c r="C16" s="5" t="s">
        <v>41</v>
      </c>
      <c r="D16" s="7" t="str">
        <f>EVS!M16</f>
        <v>#VALUE!</v>
      </c>
      <c r="E16" s="7">
        <f>TIE!M16</f>
        <v>4.856443685</v>
      </c>
      <c r="F16" s="7">
        <f>PDL!I16</f>
        <v>23.19136947</v>
      </c>
      <c r="G16" s="7" t="str">
        <f>ITS!M16</f>
        <v>#DIV/0!</v>
      </c>
      <c r="H16" s="7" t="str">
        <f t="shared" si="1"/>
        <v>#VALUE!</v>
      </c>
      <c r="I16" s="7"/>
    </row>
    <row r="17" ht="15.0" customHeight="1">
      <c r="A17" s="5" t="s">
        <v>42</v>
      </c>
      <c r="B17" s="5" t="s">
        <v>43</v>
      </c>
      <c r="C17" s="5" t="s">
        <v>29</v>
      </c>
      <c r="D17" s="7" t="str">
        <f>EVS!M17</f>
        <v>#VALUE!</v>
      </c>
      <c r="E17" s="7">
        <f>TIE!M17</f>
        <v>48.57180053</v>
      </c>
      <c r="F17" s="7">
        <f>PDL!I17</f>
        <v>24.91799718</v>
      </c>
      <c r="G17" s="7" t="str">
        <f>ITS!M17</f>
        <v>#DIV/0!</v>
      </c>
      <c r="H17" s="7" t="str">
        <f t="shared" si="1"/>
        <v>#VALUE!</v>
      </c>
      <c r="I17" s="7"/>
    </row>
    <row r="18" ht="15.0" customHeight="1">
      <c r="A18" s="5" t="s">
        <v>42</v>
      </c>
      <c r="B18" s="5" t="s">
        <v>44</v>
      </c>
      <c r="C18" s="5" t="s">
        <v>45</v>
      </c>
      <c r="D18" s="7" t="str">
        <f>EVS!M18</f>
        <v>#VALUE!</v>
      </c>
      <c r="E18" s="7">
        <f>TIE!M18</f>
        <v>36.01349</v>
      </c>
      <c r="F18" s="7">
        <f>PDL!I18</f>
        <v>17.45515651</v>
      </c>
      <c r="G18" s="7" t="str">
        <f>ITS!M18</f>
        <v>#DIV/0!</v>
      </c>
      <c r="H18" s="7" t="str">
        <f t="shared" si="1"/>
        <v>#VALUE!</v>
      </c>
      <c r="I18" s="7"/>
    </row>
    <row r="19" ht="15.0" customHeight="1">
      <c r="A19" s="5" t="s">
        <v>46</v>
      </c>
      <c r="B19" s="5" t="s">
        <v>47</v>
      </c>
      <c r="C19" s="5" t="s">
        <v>17</v>
      </c>
      <c r="D19" s="7" t="str">
        <f>EVS!M19</f>
        <v>#VALUE!</v>
      </c>
      <c r="E19" s="7">
        <f>TIE!M19</f>
        <v>57.96587758</v>
      </c>
      <c r="F19" s="7">
        <f>PDL!I19</f>
        <v>98.44353144</v>
      </c>
      <c r="G19" s="7" t="str">
        <f>ITS!M19</f>
        <v>#DIV/0!</v>
      </c>
      <c r="H19" s="7" t="str">
        <f t="shared" si="1"/>
        <v>#VALUE!</v>
      </c>
      <c r="I19" s="7"/>
    </row>
    <row r="20" ht="15.0" customHeight="1">
      <c r="A20" s="5" t="s">
        <v>46</v>
      </c>
      <c r="B20" s="5" t="s">
        <v>48</v>
      </c>
      <c r="C20" s="5" t="s">
        <v>26</v>
      </c>
      <c r="D20" s="7" t="str">
        <f>EVS!M20</f>
        <v>#VALUE!</v>
      </c>
      <c r="E20" s="7">
        <f>TIE!M20</f>
        <v>43.12127013</v>
      </c>
      <c r="F20" s="7">
        <f>PDL!I20</f>
        <v>99.7405104</v>
      </c>
      <c r="G20" s="7" t="str">
        <f>ITS!M20</f>
        <v>#DIV/0!</v>
      </c>
      <c r="H20" s="7" t="str">
        <f t="shared" si="1"/>
        <v>#VALUE!</v>
      </c>
      <c r="I20" s="7"/>
    </row>
    <row r="21" ht="15.0" customHeight="1">
      <c r="A21" s="5" t="s">
        <v>49</v>
      </c>
      <c r="B21" s="5" t="s">
        <v>50</v>
      </c>
      <c r="C21" s="5" t="s">
        <v>17</v>
      </c>
      <c r="D21" s="7" t="str">
        <f>EVS!M21</f>
        <v>#VALUE!</v>
      </c>
      <c r="E21" s="7">
        <f>TIE!M21</f>
        <v>1.164157353</v>
      </c>
      <c r="F21" s="7">
        <f>PDL!I21</f>
        <v>1.479484912</v>
      </c>
      <c r="G21" s="7" t="str">
        <f>ITS!M21</f>
        <v>#DIV/0!</v>
      </c>
      <c r="H21" s="7" t="str">
        <f t="shared" si="1"/>
        <v>#VALUE!</v>
      </c>
      <c r="I21" s="7"/>
    </row>
    <row r="22" ht="15.0" customHeight="1">
      <c r="A22" s="5" t="s">
        <v>49</v>
      </c>
      <c r="B22" s="5" t="s">
        <v>51</v>
      </c>
      <c r="C22" s="5" t="s">
        <v>29</v>
      </c>
      <c r="D22" s="7" t="str">
        <f>EVS!M22</f>
        <v>#VALUE!</v>
      </c>
      <c r="E22" s="7">
        <f>TIE!M22</f>
        <v>1.16561093</v>
      </c>
      <c r="F22" s="7">
        <f>PDL!I22</f>
        <v>4.66906924</v>
      </c>
      <c r="G22" s="7" t="str">
        <f>ITS!M22</f>
        <v>#DIV/0!</v>
      </c>
      <c r="H22" s="7" t="str">
        <f t="shared" si="1"/>
        <v>#VALUE!</v>
      </c>
      <c r="I22" s="7"/>
    </row>
    <row r="23" ht="15.0" customHeight="1">
      <c r="A23" s="5" t="s">
        <v>52</v>
      </c>
      <c r="B23" s="5" t="s">
        <v>53</v>
      </c>
      <c r="C23" s="5" t="s">
        <v>29</v>
      </c>
      <c r="D23" s="7" t="str">
        <f>EVS!M23</f>
        <v>#VALUE!</v>
      </c>
      <c r="E23" s="7">
        <f>TIE!M23</f>
        <v>4.956242781</v>
      </c>
      <c r="F23" s="7">
        <f>PDL!I23</f>
        <v>8.147418646</v>
      </c>
      <c r="G23" s="7" t="str">
        <f>ITS!M23</f>
        <v>#DIV/0!</v>
      </c>
      <c r="H23" s="7" t="str">
        <f t="shared" si="1"/>
        <v>#VALUE!</v>
      </c>
      <c r="I23" s="7"/>
    </row>
    <row r="24" ht="15.0" customHeight="1">
      <c r="A24" s="5" t="s">
        <v>52</v>
      </c>
      <c r="B24" s="5" t="s">
        <v>54</v>
      </c>
      <c r="C24" s="5" t="s">
        <v>21</v>
      </c>
      <c r="D24" s="7" t="str">
        <f>EVS!M24</f>
        <v>#VALUE!</v>
      </c>
      <c r="E24" s="7">
        <f>TIE!M24</f>
        <v>4.256488633</v>
      </c>
      <c r="F24" s="7">
        <f>PDL!I24</f>
        <v>8.921995261</v>
      </c>
      <c r="G24" s="7" t="str">
        <f>ITS!M24</f>
        <v>#DIV/0!</v>
      </c>
      <c r="H24" s="7" t="str">
        <f t="shared" si="1"/>
        <v>#VALUE!</v>
      </c>
      <c r="I24" s="7"/>
    </row>
    <row r="25" ht="15.0" customHeight="1">
      <c r="A25" s="5" t="s">
        <v>55</v>
      </c>
      <c r="B25" s="5" t="s">
        <v>56</v>
      </c>
      <c r="C25" s="5" t="s">
        <v>17</v>
      </c>
      <c r="D25" s="7" t="str">
        <f>EVS!M25</f>
        <v>#VALUE!</v>
      </c>
      <c r="E25" s="7">
        <f>TIE!M25</f>
        <v>2.133543453</v>
      </c>
      <c r="F25" s="7">
        <f>PDL!I25</f>
        <v>1.761517406</v>
      </c>
      <c r="G25" s="7" t="str">
        <f>ITS!M25</f>
        <v>#DIV/0!</v>
      </c>
      <c r="H25" s="7" t="str">
        <f t="shared" si="1"/>
        <v>#VALUE!</v>
      </c>
      <c r="I25" s="7"/>
    </row>
    <row r="26" ht="15.0" customHeight="1">
      <c r="A26" s="5" t="s">
        <v>55</v>
      </c>
      <c r="B26" s="5" t="s">
        <v>57</v>
      </c>
      <c r="C26" s="5" t="s">
        <v>17</v>
      </c>
      <c r="D26" s="7" t="str">
        <f>EVS!M26</f>
        <v>#VALUE!</v>
      </c>
      <c r="E26" s="7">
        <f>TIE!M26</f>
        <v>2.133543453</v>
      </c>
      <c r="F26" s="7">
        <f>PDL!I26</f>
        <v>1.761517406</v>
      </c>
      <c r="G26" s="7" t="str">
        <f>ITS!M26</f>
        <v>#DIV/0!</v>
      </c>
      <c r="H26" s="7" t="str">
        <f t="shared" si="1"/>
        <v>#VALUE!</v>
      </c>
      <c r="I26" s="7"/>
    </row>
    <row r="27" ht="15.0" customHeight="1">
      <c r="A27" s="5" t="s">
        <v>58</v>
      </c>
      <c r="B27" s="5" t="s">
        <v>59</v>
      </c>
      <c r="C27" s="5" t="s">
        <v>24</v>
      </c>
      <c r="D27" s="7" t="str">
        <f>EVS!M27</f>
        <v>#VALUE!</v>
      </c>
      <c r="E27" s="7">
        <f>TIE!M27</f>
        <v>12.03478419</v>
      </c>
      <c r="F27" s="7">
        <f>PDL!I27</f>
        <v>2.801273849</v>
      </c>
      <c r="G27" s="7" t="str">
        <f>ITS!M27</f>
        <v>#DIV/0!</v>
      </c>
      <c r="H27" s="7" t="str">
        <f t="shared" si="1"/>
        <v>#VALUE!</v>
      </c>
      <c r="I27" s="7"/>
    </row>
    <row r="28" ht="15.0" customHeight="1">
      <c r="A28" s="5" t="s">
        <v>58</v>
      </c>
      <c r="B28" s="5" t="s">
        <v>60</v>
      </c>
      <c r="C28" s="5" t="s">
        <v>26</v>
      </c>
      <c r="D28" s="7" t="str">
        <f>EVS!M28</f>
        <v>#VALUE!</v>
      </c>
      <c r="E28" s="7">
        <f>TIE!M28</f>
        <v>8.167085633</v>
      </c>
      <c r="F28" s="7">
        <f>PDL!I28</f>
        <v>1.837399487</v>
      </c>
      <c r="G28" s="7" t="str">
        <f>ITS!M28</f>
        <v>#DIV/0!</v>
      </c>
      <c r="H28" s="7" t="str">
        <f t="shared" si="1"/>
        <v>#VALUE!</v>
      </c>
      <c r="I28" s="7"/>
    </row>
    <row r="29" ht="15.0" customHeight="1">
      <c r="A29" s="5" t="s">
        <v>61</v>
      </c>
      <c r="B29" s="5" t="s">
        <v>62</v>
      </c>
      <c r="C29" s="5" t="s">
        <v>17</v>
      </c>
      <c r="D29" s="7" t="str">
        <f>EVS!M29</f>
        <v>#VALUE!</v>
      </c>
      <c r="E29" s="7">
        <f>TIE!M29</f>
        <v>2.651543709</v>
      </c>
      <c r="F29" s="7">
        <f>PDL!I29</f>
        <v>4.179597679</v>
      </c>
      <c r="G29" s="7" t="str">
        <f>ITS!M29</f>
        <v>#DIV/0!</v>
      </c>
      <c r="H29" s="7" t="str">
        <f t="shared" si="1"/>
        <v>#VALUE!</v>
      </c>
      <c r="I29" s="7"/>
    </row>
    <row r="30" ht="15.0" customHeight="1">
      <c r="A30" s="5" t="s">
        <v>61</v>
      </c>
      <c r="B30" s="5" t="s">
        <v>63</v>
      </c>
      <c r="C30" s="5" t="s">
        <v>41</v>
      </c>
      <c r="D30" s="7" t="str">
        <f>EVS!M30</f>
        <v>#VALUE!</v>
      </c>
      <c r="E30" s="7">
        <f>TIE!M30</f>
        <v>1.097978808</v>
      </c>
      <c r="F30" s="7">
        <f>PDL!I30</f>
        <v>2.023679179</v>
      </c>
      <c r="G30" s="7" t="str">
        <f>ITS!M30</f>
        <v>#DIV/0!</v>
      </c>
      <c r="H30" s="7" t="str">
        <f t="shared" si="1"/>
        <v>#VALUE!</v>
      </c>
      <c r="I30" s="7"/>
    </row>
    <row r="31" ht="15.0" customHeight="1">
      <c r="A31" s="5" t="s">
        <v>64</v>
      </c>
      <c r="B31" s="5" t="s">
        <v>65</v>
      </c>
      <c r="C31" s="5" t="s">
        <v>17</v>
      </c>
      <c r="D31" s="7" t="str">
        <f>EVS!M31</f>
        <v>#VALUE!</v>
      </c>
      <c r="E31" s="7">
        <f>TIE!M31</f>
        <v>3.327354731</v>
      </c>
      <c r="F31" s="7">
        <f>PDL!I31</f>
        <v>5.249868461</v>
      </c>
      <c r="G31" s="7" t="str">
        <f>ITS!M31</f>
        <v>#DIV/0!</v>
      </c>
      <c r="H31" s="7" t="str">
        <f t="shared" si="1"/>
        <v>#VALUE!</v>
      </c>
      <c r="I31" s="7"/>
    </row>
    <row r="32" ht="15.0" customHeight="1">
      <c r="A32" s="5" t="s">
        <v>64</v>
      </c>
      <c r="B32" s="5" t="s">
        <v>66</v>
      </c>
      <c r="C32" s="5" t="s">
        <v>21</v>
      </c>
      <c r="D32" s="7" t="str">
        <f>EVS!M32</f>
        <v>#VALUE!</v>
      </c>
      <c r="E32" s="7">
        <f>TIE!M32</f>
        <v>1.909576922</v>
      </c>
      <c r="F32" s="7">
        <f>PDL!I32</f>
        <v>5.084506558</v>
      </c>
      <c r="G32" s="7" t="str">
        <f>ITS!M32</f>
        <v>#DIV/0!</v>
      </c>
      <c r="H32" s="7" t="str">
        <f t="shared" si="1"/>
        <v>#VALUE!</v>
      </c>
      <c r="I32" s="7"/>
    </row>
    <row r="33" ht="15.0" customHeight="1">
      <c r="A33" s="5" t="s">
        <v>67</v>
      </c>
      <c r="B33" s="5" t="s">
        <v>68</v>
      </c>
      <c r="C33" s="5" t="s">
        <v>69</v>
      </c>
      <c r="D33" s="7" t="str">
        <f>EVS!M33</f>
        <v>#VALUE!</v>
      </c>
      <c r="E33" s="7">
        <f>TIE!M33</f>
        <v>0.0477326969</v>
      </c>
      <c r="F33" s="7">
        <f>PDL!I33</f>
        <v>0</v>
      </c>
      <c r="G33" s="7" t="str">
        <f>ITS!M33</f>
        <v>#DIV/0!</v>
      </c>
      <c r="H33" s="7" t="str">
        <f t="shared" si="1"/>
        <v>#VALUE!</v>
      </c>
      <c r="I33" s="7"/>
    </row>
    <row r="34" ht="15.0" customHeight="1">
      <c r="A34" s="5" t="s">
        <v>67</v>
      </c>
      <c r="B34" s="5" t="s">
        <v>70</v>
      </c>
      <c r="C34" s="5" t="s">
        <v>21</v>
      </c>
      <c r="D34" s="7" t="str">
        <f>EVS!M34</f>
        <v>#VALUE!</v>
      </c>
      <c r="E34" s="7">
        <f>TIE!M34</f>
        <v>0.04784643384</v>
      </c>
      <c r="F34" s="7">
        <f>PDL!I34</f>
        <v>0.05577920092</v>
      </c>
      <c r="G34" s="7" t="str">
        <f>ITS!M34</f>
        <v>#DIV/0!</v>
      </c>
      <c r="H34" s="7" t="str">
        <f t="shared" si="1"/>
        <v>#VALUE!</v>
      </c>
      <c r="I34" s="7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</row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4.43"/>
  </cols>
  <sheetData>
    <row r="1" ht="67.5" customHeight="1">
      <c r="A1" s="11" t="s">
        <v>106</v>
      </c>
    </row>
    <row r="2" ht="100.5" customHeight="1">
      <c r="A2" s="11" t="s">
        <v>107</v>
      </c>
    </row>
    <row r="3" ht="70.5" customHeight="1">
      <c r="A3" s="11" t="s">
        <v>108</v>
      </c>
    </row>
    <row r="4" ht="72.0" customHeight="1">
      <c r="A4" s="11" t="s">
        <v>109</v>
      </c>
    </row>
  </sheetData>
  <drawing r:id="rId1"/>
</worksheet>
</file>